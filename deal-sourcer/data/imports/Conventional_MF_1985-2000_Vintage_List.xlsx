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orticopropertymanagementllc.sharepoint.com/teams/HighwaterEquity/Shared Documents/General/HWE - Value Add Targets/"/>
    </mc:Choice>
  </mc:AlternateContent>
  <xr:revisionPtr revIDLastSave="47" documentId="8_{B3AEBA6E-A6EC-4C78-A9FD-BC88364634FC}" xr6:coauthVersionLast="47" xr6:coauthVersionMax="47" xr10:uidLastSave="{C13F6AD5-73A6-4270-9175-B8172987F3ED}"/>
  <bookViews>
    <workbookView xWindow="-28920" yWindow="-120" windowWidth="29040" windowHeight="15720" xr2:uid="{00000000-000D-0000-FFFF-FFFF00000000}"/>
  </bookViews>
  <sheets>
    <sheet name="Summary" sheetId="2" r:id="rId1"/>
    <sheet name="Export041626" sheetId="1" r:id="rId2"/>
  </sheets>
  <definedNames>
    <definedName name="_xlnm._FilterDatabase" localSheetId="0" hidden="1">Summary!$A$1:$BT$1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1" i="2" l="1"/>
  <c r="D681" i="2" s="1"/>
  <c r="E681" i="2" s="1"/>
  <c r="F681" i="2" s="1"/>
  <c r="G681" i="2" s="1"/>
  <c r="C10" i="2"/>
  <c r="D10" i="2" s="1"/>
  <c r="E10" i="2" s="1"/>
  <c r="F10" i="2" s="1"/>
  <c r="G10" i="2" s="1"/>
  <c r="C18" i="2"/>
  <c r="D18" i="2" s="1"/>
  <c r="E18" i="2" s="1"/>
  <c r="F18" i="2" s="1"/>
  <c r="G18" i="2" s="1"/>
  <c r="C19" i="2"/>
  <c r="D19" i="2" s="1"/>
  <c r="E19" i="2" s="1"/>
  <c r="F19" i="2" s="1"/>
  <c r="G19" i="2" s="1"/>
  <c r="C711" i="2"/>
  <c r="D711" i="2" s="1"/>
  <c r="E711" i="2" s="1"/>
  <c r="F711" i="2" s="1"/>
  <c r="G711" i="2" s="1"/>
  <c r="C14" i="2"/>
  <c r="D14" i="2" s="1"/>
  <c r="E14" i="2" s="1"/>
  <c r="F14" i="2" s="1"/>
  <c r="G14" i="2" s="1"/>
  <c r="C452" i="2"/>
  <c r="D452" i="2" s="1"/>
  <c r="E452" i="2" s="1"/>
  <c r="F452" i="2" s="1"/>
  <c r="G452" i="2" s="1"/>
  <c r="C53" i="2"/>
  <c r="D53" i="2" s="1"/>
  <c r="E53" i="2" s="1"/>
  <c r="F53" i="2" s="1"/>
  <c r="G53" i="2" s="1"/>
  <c r="C181" i="2"/>
  <c r="D181" i="2" s="1"/>
  <c r="E181" i="2" s="1"/>
  <c r="F181" i="2" s="1"/>
  <c r="G181" i="2" s="1"/>
  <c r="C490" i="2"/>
  <c r="D490" i="2" s="1"/>
  <c r="E490" i="2" s="1"/>
  <c r="F490" i="2" s="1"/>
  <c r="G490" i="2" s="1"/>
  <c r="C27" i="2"/>
  <c r="D27" i="2" s="1"/>
  <c r="E27" i="2" s="1"/>
  <c r="F27" i="2" s="1"/>
  <c r="G27" i="2" s="1"/>
  <c r="C297" i="2"/>
  <c r="D297" i="2" s="1"/>
  <c r="E297" i="2" s="1"/>
  <c r="F297" i="2" s="1"/>
  <c r="G297" i="2" s="1"/>
  <c r="C201" i="2"/>
  <c r="D201" i="2" s="1"/>
  <c r="E201" i="2" s="1"/>
  <c r="F201" i="2" s="1"/>
  <c r="G201" i="2" s="1"/>
  <c r="C457" i="2"/>
  <c r="D457" i="2" s="1"/>
  <c r="E457" i="2" s="1"/>
  <c r="F457" i="2" s="1"/>
  <c r="G457" i="2" s="1"/>
  <c r="C189" i="2"/>
  <c r="D189" i="2" s="1"/>
  <c r="E189" i="2" s="1"/>
  <c r="F189" i="2" s="1"/>
  <c r="G189" i="2" s="1"/>
  <c r="C64" i="2"/>
  <c r="D64" i="2" s="1"/>
  <c r="E64" i="2" s="1"/>
  <c r="F64" i="2" s="1"/>
  <c r="G64" i="2" s="1"/>
  <c r="C119" i="2"/>
  <c r="D119" i="2" s="1"/>
  <c r="E119" i="2" s="1"/>
  <c r="F119" i="2" s="1"/>
  <c r="G119" i="2" s="1"/>
  <c r="C33" i="2"/>
  <c r="D33" i="2" s="1"/>
  <c r="E33" i="2" s="1"/>
  <c r="F33" i="2" s="1"/>
  <c r="G33" i="2" s="1"/>
  <c r="C176" i="2"/>
  <c r="D176" i="2" s="1"/>
  <c r="E176" i="2" s="1"/>
  <c r="F176" i="2" s="1"/>
  <c r="G176" i="2" s="1"/>
  <c r="C303" i="2"/>
  <c r="D303" i="2" s="1"/>
  <c r="E303" i="2" s="1"/>
  <c r="F303" i="2" s="1"/>
  <c r="G303" i="2" s="1"/>
  <c r="C476" i="2"/>
  <c r="D476" i="2" s="1"/>
  <c r="E476" i="2" s="1"/>
  <c r="F476" i="2" s="1"/>
  <c r="G476" i="2" s="1"/>
  <c r="C567" i="2"/>
  <c r="D567" i="2" s="1"/>
  <c r="E567" i="2" s="1"/>
  <c r="F567" i="2" s="1"/>
  <c r="G567" i="2" s="1"/>
  <c r="C121" i="2"/>
  <c r="D121" i="2" s="1"/>
  <c r="E121" i="2" s="1"/>
  <c r="F121" i="2" s="1"/>
  <c r="G121" i="2" s="1"/>
  <c r="C712" i="2"/>
  <c r="D712" i="2" s="1"/>
  <c r="E712" i="2" s="1"/>
  <c r="F712" i="2" s="1"/>
  <c r="G712" i="2" s="1"/>
  <c r="C713" i="2"/>
  <c r="D713" i="2" s="1"/>
  <c r="E713" i="2" s="1"/>
  <c r="F713" i="2" s="1"/>
  <c r="G713" i="2" s="1"/>
  <c r="C714" i="2"/>
  <c r="D714" i="2" s="1"/>
  <c r="E714" i="2" s="1"/>
  <c r="F714" i="2" s="1"/>
  <c r="G714" i="2" s="1"/>
  <c r="C270" i="2"/>
  <c r="D270" i="2" s="1"/>
  <c r="E270" i="2" s="1"/>
  <c r="F270" i="2" s="1"/>
  <c r="G270" i="2" s="1"/>
  <c r="C148" i="2"/>
  <c r="D148" i="2" s="1"/>
  <c r="E148" i="2" s="1"/>
  <c r="F148" i="2" s="1"/>
  <c r="G148" i="2" s="1"/>
  <c r="C210" i="2"/>
  <c r="D210" i="2" s="1"/>
  <c r="E210" i="2" s="1"/>
  <c r="F210" i="2" s="1"/>
  <c r="G210" i="2" s="1"/>
  <c r="C28" i="2"/>
  <c r="D28" i="2" s="1"/>
  <c r="E28" i="2" s="1"/>
  <c r="F28" i="2" s="1"/>
  <c r="G28" i="2" s="1"/>
  <c r="C400" i="2"/>
  <c r="D400" i="2" s="1"/>
  <c r="E400" i="2" s="1"/>
  <c r="F400" i="2" s="1"/>
  <c r="G400" i="2" s="1"/>
  <c r="C362" i="2"/>
  <c r="D362" i="2" s="1"/>
  <c r="E362" i="2" s="1"/>
  <c r="F362" i="2" s="1"/>
  <c r="G362" i="2" s="1"/>
  <c r="C188" i="2"/>
  <c r="D188" i="2" s="1"/>
  <c r="E188" i="2" s="1"/>
  <c r="F188" i="2" s="1"/>
  <c r="G188" i="2" s="1"/>
  <c r="C84" i="2"/>
  <c r="D84" i="2" s="1"/>
  <c r="E84" i="2" s="1"/>
  <c r="F84" i="2" s="1"/>
  <c r="G84" i="2" s="1"/>
  <c r="C391" i="2"/>
  <c r="D391" i="2" s="1"/>
  <c r="E391" i="2" s="1"/>
  <c r="F391" i="2" s="1"/>
  <c r="G391" i="2" s="1"/>
  <c r="C271" i="2"/>
  <c r="D271" i="2" s="1"/>
  <c r="E271" i="2" s="1"/>
  <c r="F271" i="2" s="1"/>
  <c r="G271" i="2" s="1"/>
  <c r="C279" i="2"/>
  <c r="D279" i="2" s="1"/>
  <c r="E279" i="2" s="1"/>
  <c r="F279" i="2" s="1"/>
  <c r="G279" i="2" s="1"/>
  <c r="C79" i="2"/>
  <c r="D79" i="2" s="1"/>
  <c r="E79" i="2" s="1"/>
  <c r="F79" i="2" s="1"/>
  <c r="G79" i="2" s="1"/>
  <c r="C235" i="2"/>
  <c r="D235" i="2" s="1"/>
  <c r="E235" i="2" s="1"/>
  <c r="F235" i="2" s="1"/>
  <c r="G235" i="2" s="1"/>
  <c r="C126" i="2"/>
  <c r="D126" i="2" s="1"/>
  <c r="E126" i="2" s="1"/>
  <c r="F126" i="2" s="1"/>
  <c r="G126" i="2" s="1"/>
  <c r="C58" i="2"/>
  <c r="D58" i="2" s="1"/>
  <c r="E58" i="2" s="1"/>
  <c r="F58" i="2" s="1"/>
  <c r="G58" i="2" s="1"/>
  <c r="C215" i="2"/>
  <c r="D215" i="2" s="1"/>
  <c r="E215" i="2" s="1"/>
  <c r="F215" i="2" s="1"/>
  <c r="G215" i="2" s="1"/>
  <c r="C348" i="2"/>
  <c r="D348" i="2" s="1"/>
  <c r="E348" i="2" s="1"/>
  <c r="F348" i="2" s="1"/>
  <c r="G348" i="2" s="1"/>
  <c r="C20" i="2"/>
  <c r="D20" i="2" s="1"/>
  <c r="E20" i="2" s="1"/>
  <c r="F20" i="2" s="1"/>
  <c r="G20" i="2" s="1"/>
  <c r="C608" i="2"/>
  <c r="D608" i="2" s="1"/>
  <c r="E608" i="2" s="1"/>
  <c r="F608" i="2" s="1"/>
  <c r="G608" i="2" s="1"/>
  <c r="C317" i="2"/>
  <c r="D317" i="2" s="1"/>
  <c r="E317" i="2" s="1"/>
  <c r="F317" i="2" s="1"/>
  <c r="G317" i="2" s="1"/>
  <c r="C30" i="2"/>
  <c r="D30" i="2" s="1"/>
  <c r="E30" i="2" s="1"/>
  <c r="F30" i="2" s="1"/>
  <c r="G30" i="2" s="1"/>
  <c r="C4" i="2"/>
  <c r="D4" i="2" s="1"/>
  <c r="E4" i="2" s="1"/>
  <c r="F4" i="2" s="1"/>
  <c r="G4" i="2" s="1"/>
  <c r="C35" i="2"/>
  <c r="D35" i="2" s="1"/>
  <c r="E35" i="2" s="1"/>
  <c r="F35" i="2" s="1"/>
  <c r="G35" i="2" s="1"/>
  <c r="C557" i="2"/>
  <c r="D557" i="2" s="1"/>
  <c r="E557" i="2" s="1"/>
  <c r="F557" i="2" s="1"/>
  <c r="G557" i="2" s="1"/>
  <c r="C310" i="2"/>
  <c r="D310" i="2" s="1"/>
  <c r="E310" i="2" s="1"/>
  <c r="F310" i="2" s="1"/>
  <c r="G310" i="2" s="1"/>
  <c r="C107" i="2"/>
  <c r="D107" i="2" s="1"/>
  <c r="E107" i="2" s="1"/>
  <c r="F107" i="2" s="1"/>
  <c r="G107" i="2" s="1"/>
  <c r="C715" i="2"/>
  <c r="D715" i="2" s="1"/>
  <c r="E715" i="2" s="1"/>
  <c r="F715" i="2" s="1"/>
  <c r="G715" i="2" s="1"/>
  <c r="C45" i="2"/>
  <c r="D45" i="2" s="1"/>
  <c r="E45" i="2" s="1"/>
  <c r="F45" i="2" s="1"/>
  <c r="G45" i="2" s="1"/>
  <c r="C236" i="2"/>
  <c r="D236" i="2" s="1"/>
  <c r="E236" i="2" s="1"/>
  <c r="F236" i="2" s="1"/>
  <c r="G236" i="2" s="1"/>
  <c r="C108" i="2"/>
  <c r="D108" i="2" s="1"/>
  <c r="E108" i="2" s="1"/>
  <c r="F108" i="2" s="1"/>
  <c r="G108" i="2" s="1"/>
  <c r="C81" i="2"/>
  <c r="D81" i="2" s="1"/>
  <c r="E81" i="2" s="1"/>
  <c r="F81" i="2" s="1"/>
  <c r="G81" i="2" s="1"/>
  <c r="C54" i="2"/>
  <c r="D54" i="2" s="1"/>
  <c r="E54" i="2" s="1"/>
  <c r="F54" i="2" s="1"/>
  <c r="G54" i="2" s="1"/>
  <c r="C716" i="2"/>
  <c r="D716" i="2" s="1"/>
  <c r="E716" i="2" s="1"/>
  <c r="F716" i="2" s="1"/>
  <c r="G716" i="2" s="1"/>
  <c r="C139" i="2"/>
  <c r="D139" i="2" s="1"/>
  <c r="E139" i="2" s="1"/>
  <c r="F139" i="2" s="1"/>
  <c r="G139" i="2" s="1"/>
  <c r="C717" i="2"/>
  <c r="D717" i="2" s="1"/>
  <c r="E717" i="2" s="1"/>
  <c r="F717" i="2" s="1"/>
  <c r="G717" i="2" s="1"/>
  <c r="C178" i="2"/>
  <c r="D178" i="2" s="1"/>
  <c r="E178" i="2" s="1"/>
  <c r="F178" i="2" s="1"/>
  <c r="G178" i="2" s="1"/>
  <c r="C206" i="2"/>
  <c r="D206" i="2" s="1"/>
  <c r="E206" i="2" s="1"/>
  <c r="F206" i="2" s="1"/>
  <c r="G206" i="2" s="1"/>
  <c r="C129" i="2"/>
  <c r="D129" i="2" s="1"/>
  <c r="E129" i="2" s="1"/>
  <c r="F129" i="2" s="1"/>
  <c r="G129" i="2" s="1"/>
  <c r="C95" i="2"/>
  <c r="D95" i="2" s="1"/>
  <c r="E95" i="2" s="1"/>
  <c r="F95" i="2" s="1"/>
  <c r="G95" i="2" s="1"/>
  <c r="C31" i="2"/>
  <c r="D31" i="2" s="1"/>
  <c r="E31" i="2" s="1"/>
  <c r="F31" i="2" s="1"/>
  <c r="G31" i="2" s="1"/>
  <c r="C358" i="2"/>
  <c r="D358" i="2" s="1"/>
  <c r="E358" i="2" s="1"/>
  <c r="F358" i="2" s="1"/>
  <c r="G358" i="2" s="1"/>
  <c r="C718" i="2"/>
  <c r="D718" i="2" s="1"/>
  <c r="E718" i="2" s="1"/>
  <c r="F718" i="2" s="1"/>
  <c r="G718" i="2" s="1"/>
  <c r="C443" i="2"/>
  <c r="D443" i="2" s="1"/>
  <c r="E443" i="2" s="1"/>
  <c r="F443" i="2" s="1"/>
  <c r="G443" i="2" s="1"/>
  <c r="C86" i="2"/>
  <c r="D86" i="2" s="1"/>
  <c r="E86" i="2" s="1"/>
  <c r="F86" i="2" s="1"/>
  <c r="G86" i="2" s="1"/>
  <c r="C62" i="2"/>
  <c r="D62" i="2" s="1"/>
  <c r="E62" i="2" s="1"/>
  <c r="F62" i="2" s="1"/>
  <c r="G62" i="2" s="1"/>
  <c r="C43" i="2"/>
  <c r="D43" i="2" s="1"/>
  <c r="E43" i="2" s="1"/>
  <c r="F43" i="2" s="1"/>
  <c r="G43" i="2" s="1"/>
  <c r="C273" i="2"/>
  <c r="D273" i="2" s="1"/>
  <c r="E273" i="2" s="1"/>
  <c r="F273" i="2" s="1"/>
  <c r="G273" i="2" s="1"/>
  <c r="C719" i="2"/>
  <c r="D719" i="2" s="1"/>
  <c r="E719" i="2" s="1"/>
  <c r="F719" i="2" s="1"/>
  <c r="G719" i="2" s="1"/>
  <c r="C162" i="2"/>
  <c r="D162" i="2" s="1"/>
  <c r="E162" i="2" s="1"/>
  <c r="F162" i="2" s="1"/>
  <c r="G162" i="2" s="1"/>
  <c r="C690" i="2"/>
  <c r="D690" i="2" s="1"/>
  <c r="E690" i="2" s="1"/>
  <c r="F690" i="2" s="1"/>
  <c r="G690" i="2" s="1"/>
  <c r="C85" i="2"/>
  <c r="D85" i="2" s="1"/>
  <c r="E85" i="2" s="1"/>
  <c r="F85" i="2" s="1"/>
  <c r="G85" i="2" s="1"/>
  <c r="C36" i="2"/>
  <c r="D36" i="2" s="1"/>
  <c r="E36" i="2" s="1"/>
  <c r="F36" i="2" s="1"/>
  <c r="G36" i="2" s="1"/>
  <c r="C220" i="2"/>
  <c r="D220" i="2" s="1"/>
  <c r="E220" i="2" s="1"/>
  <c r="F220" i="2" s="1"/>
  <c r="G220" i="2" s="1"/>
  <c r="C606" i="2"/>
  <c r="D606" i="2" s="1"/>
  <c r="E606" i="2" s="1"/>
  <c r="F606" i="2" s="1"/>
  <c r="G606" i="2" s="1"/>
  <c r="C9" i="2"/>
  <c r="D9" i="2" s="1"/>
  <c r="E9" i="2" s="1"/>
  <c r="F9" i="2" s="1"/>
  <c r="G9" i="2" s="1"/>
  <c r="C131" i="2"/>
  <c r="D131" i="2" s="1"/>
  <c r="E131" i="2" s="1"/>
  <c r="F131" i="2" s="1"/>
  <c r="G131" i="2" s="1"/>
  <c r="C153" i="2"/>
  <c r="D153" i="2" s="1"/>
  <c r="E153" i="2" s="1"/>
  <c r="F153" i="2" s="1"/>
  <c r="G153" i="2" s="1"/>
  <c r="C202" i="2"/>
  <c r="D202" i="2" s="1"/>
  <c r="E202" i="2" s="1"/>
  <c r="F202" i="2" s="1"/>
  <c r="G202" i="2" s="1"/>
  <c r="C365" i="2"/>
  <c r="D365" i="2" s="1"/>
  <c r="E365" i="2" s="1"/>
  <c r="F365" i="2" s="1"/>
  <c r="G365" i="2" s="1"/>
  <c r="C198" i="2"/>
  <c r="D198" i="2" s="1"/>
  <c r="E198" i="2" s="1"/>
  <c r="F198" i="2" s="1"/>
  <c r="G198" i="2" s="1"/>
  <c r="C355" i="2"/>
  <c r="D355" i="2" s="1"/>
  <c r="E355" i="2" s="1"/>
  <c r="F355" i="2" s="1"/>
  <c r="G355" i="2" s="1"/>
  <c r="C212" i="2"/>
  <c r="D212" i="2" s="1"/>
  <c r="E212" i="2" s="1"/>
  <c r="F212" i="2" s="1"/>
  <c r="G212" i="2" s="1"/>
  <c r="C80" i="2"/>
  <c r="D80" i="2" s="1"/>
  <c r="E80" i="2" s="1"/>
  <c r="F80" i="2" s="1"/>
  <c r="G80" i="2" s="1"/>
  <c r="C140" i="2"/>
  <c r="D140" i="2" s="1"/>
  <c r="E140" i="2" s="1"/>
  <c r="F140" i="2" s="1"/>
  <c r="G140" i="2" s="1"/>
  <c r="C360" i="2"/>
  <c r="D360" i="2" s="1"/>
  <c r="E360" i="2" s="1"/>
  <c r="F360" i="2" s="1"/>
  <c r="G360" i="2" s="1"/>
  <c r="C316" i="2"/>
  <c r="D316" i="2" s="1"/>
  <c r="E316" i="2" s="1"/>
  <c r="F316" i="2" s="1"/>
  <c r="G316" i="2" s="1"/>
  <c r="C570" i="2"/>
  <c r="D570" i="2" s="1"/>
  <c r="E570" i="2" s="1"/>
  <c r="F570" i="2" s="1"/>
  <c r="G570" i="2" s="1"/>
  <c r="C132" i="2"/>
  <c r="D132" i="2" s="1"/>
  <c r="E132" i="2" s="1"/>
  <c r="F132" i="2" s="1"/>
  <c r="G132" i="2" s="1"/>
  <c r="C38" i="2"/>
  <c r="D38" i="2" s="1"/>
  <c r="E38" i="2" s="1"/>
  <c r="F38" i="2" s="1"/>
  <c r="G38" i="2" s="1"/>
  <c r="C93" i="2"/>
  <c r="D93" i="2" s="1"/>
  <c r="E93" i="2" s="1"/>
  <c r="F93" i="2" s="1"/>
  <c r="G93" i="2" s="1"/>
  <c r="C12" i="2"/>
  <c r="D12" i="2" s="1"/>
  <c r="E12" i="2" s="1"/>
  <c r="F12" i="2" s="1"/>
  <c r="G12" i="2" s="1"/>
  <c r="C65" i="2"/>
  <c r="D65" i="2" s="1"/>
  <c r="E65" i="2" s="1"/>
  <c r="F65" i="2" s="1"/>
  <c r="G65" i="2" s="1"/>
  <c r="C258" i="2"/>
  <c r="D258" i="2" s="1"/>
  <c r="E258" i="2" s="1"/>
  <c r="F258" i="2" s="1"/>
  <c r="G258" i="2" s="1"/>
  <c r="C571" i="2"/>
  <c r="D571" i="2" s="1"/>
  <c r="E571" i="2" s="1"/>
  <c r="F571" i="2" s="1"/>
  <c r="G571" i="2" s="1"/>
  <c r="C166" i="2"/>
  <c r="D166" i="2" s="1"/>
  <c r="E166" i="2" s="1"/>
  <c r="F166" i="2" s="1"/>
  <c r="G166" i="2" s="1"/>
  <c r="C492" i="2"/>
  <c r="D492" i="2" s="1"/>
  <c r="E492" i="2" s="1"/>
  <c r="F492" i="2" s="1"/>
  <c r="G492" i="2" s="1"/>
  <c r="C136" i="2"/>
  <c r="D136" i="2" s="1"/>
  <c r="E136" i="2" s="1"/>
  <c r="F136" i="2" s="1"/>
  <c r="G136" i="2" s="1"/>
  <c r="C204" i="2"/>
  <c r="D204" i="2" s="1"/>
  <c r="E204" i="2" s="1"/>
  <c r="F204" i="2" s="1"/>
  <c r="G204" i="2" s="1"/>
  <c r="C238" i="2"/>
  <c r="D238" i="2" s="1"/>
  <c r="E238" i="2" s="1"/>
  <c r="F238" i="2" s="1"/>
  <c r="G238" i="2" s="1"/>
  <c r="C177" i="2"/>
  <c r="D177" i="2" s="1"/>
  <c r="E177" i="2" s="1"/>
  <c r="F177" i="2" s="1"/>
  <c r="G177" i="2" s="1"/>
  <c r="C450" i="2"/>
  <c r="D450" i="2" s="1"/>
  <c r="E450" i="2" s="1"/>
  <c r="F450" i="2" s="1"/>
  <c r="G450" i="2" s="1"/>
  <c r="C195" i="2"/>
  <c r="D195" i="2" s="1"/>
  <c r="E195" i="2" s="1"/>
  <c r="F195" i="2" s="1"/>
  <c r="G195" i="2" s="1"/>
  <c r="C720" i="2"/>
  <c r="D720" i="2" s="1"/>
  <c r="E720" i="2" s="1"/>
  <c r="F720" i="2" s="1"/>
  <c r="G720" i="2" s="1"/>
  <c r="C228" i="2"/>
  <c r="D228" i="2" s="1"/>
  <c r="E228" i="2" s="1"/>
  <c r="F228" i="2" s="1"/>
  <c r="G228" i="2" s="1"/>
  <c r="C266" i="2"/>
  <c r="D266" i="2" s="1"/>
  <c r="E266" i="2" s="1"/>
  <c r="F266" i="2" s="1"/>
  <c r="G266" i="2" s="1"/>
  <c r="C312" i="2"/>
  <c r="D312" i="2" s="1"/>
  <c r="E312" i="2" s="1"/>
  <c r="F312" i="2" s="1"/>
  <c r="G312" i="2" s="1"/>
  <c r="C145" i="2"/>
  <c r="D145" i="2" s="1"/>
  <c r="E145" i="2" s="1"/>
  <c r="F145" i="2" s="1"/>
  <c r="G145" i="2" s="1"/>
  <c r="C167" i="2"/>
  <c r="D167" i="2" s="1"/>
  <c r="E167" i="2" s="1"/>
  <c r="F167" i="2" s="1"/>
  <c r="G167" i="2" s="1"/>
  <c r="C535" i="2"/>
  <c r="D535" i="2" s="1"/>
  <c r="E535" i="2" s="1"/>
  <c r="F535" i="2" s="1"/>
  <c r="G535" i="2" s="1"/>
  <c r="C527" i="2"/>
  <c r="D527" i="2" s="1"/>
  <c r="E527" i="2" s="1"/>
  <c r="F527" i="2" s="1"/>
  <c r="G527" i="2" s="1"/>
  <c r="C115" i="2"/>
  <c r="D115" i="2" s="1"/>
  <c r="E115" i="2" s="1"/>
  <c r="F115" i="2" s="1"/>
  <c r="G115" i="2" s="1"/>
  <c r="C245" i="2"/>
  <c r="D245" i="2" s="1"/>
  <c r="E245" i="2" s="1"/>
  <c r="F245" i="2" s="1"/>
  <c r="G245" i="2" s="1"/>
  <c r="C721" i="2"/>
  <c r="D721" i="2" s="1"/>
  <c r="E721" i="2" s="1"/>
  <c r="F721" i="2" s="1"/>
  <c r="G721" i="2" s="1"/>
  <c r="C722" i="2"/>
  <c r="D722" i="2" s="1"/>
  <c r="E722" i="2" s="1"/>
  <c r="F722" i="2" s="1"/>
  <c r="G722" i="2" s="1"/>
  <c r="C723" i="2"/>
  <c r="D723" i="2" s="1"/>
  <c r="E723" i="2" s="1"/>
  <c r="F723" i="2" s="1"/>
  <c r="G723" i="2" s="1"/>
  <c r="C293" i="2"/>
  <c r="D293" i="2" s="1"/>
  <c r="E293" i="2" s="1"/>
  <c r="F293" i="2" s="1"/>
  <c r="G293" i="2" s="1"/>
  <c r="C418" i="2"/>
  <c r="D418" i="2" s="1"/>
  <c r="E418" i="2" s="1"/>
  <c r="F418" i="2" s="1"/>
  <c r="G418" i="2" s="1"/>
  <c r="C144" i="2"/>
  <c r="D144" i="2" s="1"/>
  <c r="E144" i="2" s="1"/>
  <c r="F144" i="2" s="1"/>
  <c r="G144" i="2" s="1"/>
  <c r="C123" i="2"/>
  <c r="D123" i="2" s="1"/>
  <c r="E123" i="2" s="1"/>
  <c r="F123" i="2" s="1"/>
  <c r="G123" i="2" s="1"/>
  <c r="C73" i="2"/>
  <c r="D73" i="2" s="1"/>
  <c r="E73" i="2" s="1"/>
  <c r="F73" i="2" s="1"/>
  <c r="G73" i="2" s="1"/>
  <c r="C307" i="2"/>
  <c r="D307" i="2" s="1"/>
  <c r="E307" i="2" s="1"/>
  <c r="F307" i="2" s="1"/>
  <c r="G307" i="2" s="1"/>
  <c r="C130" i="2"/>
  <c r="D130" i="2" s="1"/>
  <c r="E130" i="2" s="1"/>
  <c r="F130" i="2" s="1"/>
  <c r="G130" i="2" s="1"/>
  <c r="C37" i="2"/>
  <c r="D37" i="2" s="1"/>
  <c r="E37" i="2" s="1"/>
  <c r="F37" i="2" s="1"/>
  <c r="G37" i="2" s="1"/>
  <c r="C157" i="2"/>
  <c r="D157" i="2" s="1"/>
  <c r="E157" i="2" s="1"/>
  <c r="F157" i="2" s="1"/>
  <c r="G157" i="2" s="1"/>
  <c r="C724" i="2"/>
  <c r="D724" i="2" s="1"/>
  <c r="E724" i="2" s="1"/>
  <c r="F724" i="2" s="1"/>
  <c r="G724" i="2" s="1"/>
  <c r="C725" i="2"/>
  <c r="D725" i="2" s="1"/>
  <c r="E725" i="2" s="1"/>
  <c r="F725" i="2" s="1"/>
  <c r="G725" i="2" s="1"/>
  <c r="C52" i="2"/>
  <c r="D52" i="2" s="1"/>
  <c r="E52" i="2" s="1"/>
  <c r="F52" i="2" s="1"/>
  <c r="G52" i="2" s="1"/>
  <c r="C143" i="2"/>
  <c r="D143" i="2" s="1"/>
  <c r="E143" i="2" s="1"/>
  <c r="F143" i="2" s="1"/>
  <c r="G143" i="2" s="1"/>
  <c r="C44" i="2"/>
  <c r="D44" i="2" s="1"/>
  <c r="E44" i="2" s="1"/>
  <c r="F44" i="2" s="1"/>
  <c r="G44" i="2" s="1"/>
  <c r="C444" i="2"/>
  <c r="D444" i="2" s="1"/>
  <c r="E444" i="2" s="1"/>
  <c r="F444" i="2" s="1"/>
  <c r="G444" i="2" s="1"/>
  <c r="C56" i="2"/>
  <c r="D56" i="2" s="1"/>
  <c r="E56" i="2" s="1"/>
  <c r="F56" i="2" s="1"/>
  <c r="G56" i="2" s="1"/>
  <c r="C197" i="2"/>
  <c r="D197" i="2" s="1"/>
  <c r="E197" i="2" s="1"/>
  <c r="F197" i="2" s="1"/>
  <c r="G197" i="2" s="1"/>
  <c r="C114" i="2"/>
  <c r="D114" i="2" s="1"/>
  <c r="E114" i="2" s="1"/>
  <c r="F114" i="2" s="1"/>
  <c r="G114" i="2" s="1"/>
  <c r="C525" i="2"/>
  <c r="D525" i="2" s="1"/>
  <c r="E525" i="2" s="1"/>
  <c r="F525" i="2" s="1"/>
  <c r="G525" i="2" s="1"/>
  <c r="C396" i="2"/>
  <c r="D396" i="2" s="1"/>
  <c r="E396" i="2" s="1"/>
  <c r="F396" i="2" s="1"/>
  <c r="G396" i="2" s="1"/>
  <c r="C96" i="2"/>
  <c r="D96" i="2" s="1"/>
  <c r="E96" i="2" s="1"/>
  <c r="F96" i="2" s="1"/>
  <c r="G96" i="2" s="1"/>
  <c r="C70" i="2"/>
  <c r="D70" i="2" s="1"/>
  <c r="E70" i="2" s="1"/>
  <c r="F70" i="2" s="1"/>
  <c r="G70" i="2" s="1"/>
  <c r="C373" i="2"/>
  <c r="D373" i="2" s="1"/>
  <c r="E373" i="2" s="1"/>
  <c r="F373" i="2" s="1"/>
  <c r="G373" i="2" s="1"/>
  <c r="C518" i="2"/>
  <c r="D518" i="2" s="1"/>
  <c r="E518" i="2" s="1"/>
  <c r="F518" i="2" s="1"/>
  <c r="G518" i="2" s="1"/>
  <c r="C91" i="2"/>
  <c r="D91" i="2" s="1"/>
  <c r="E91" i="2" s="1"/>
  <c r="F91" i="2" s="1"/>
  <c r="G91" i="2" s="1"/>
  <c r="C421" i="2"/>
  <c r="D421" i="2" s="1"/>
  <c r="E421" i="2" s="1"/>
  <c r="F421" i="2" s="1"/>
  <c r="G421" i="2" s="1"/>
  <c r="C51" i="2"/>
  <c r="D51" i="2" s="1"/>
  <c r="E51" i="2" s="1"/>
  <c r="F51" i="2" s="1"/>
  <c r="G51" i="2" s="1"/>
  <c r="C300" i="2"/>
  <c r="D300" i="2" s="1"/>
  <c r="E300" i="2" s="1"/>
  <c r="F300" i="2" s="1"/>
  <c r="G300" i="2" s="1"/>
  <c r="C385" i="2"/>
  <c r="D385" i="2" s="1"/>
  <c r="E385" i="2" s="1"/>
  <c r="F385" i="2" s="1"/>
  <c r="G385" i="2" s="1"/>
  <c r="C687" i="2"/>
  <c r="D687" i="2" s="1"/>
  <c r="E687" i="2" s="1"/>
  <c r="F687" i="2" s="1"/>
  <c r="G687" i="2" s="1"/>
  <c r="C726" i="2"/>
  <c r="D726" i="2" s="1"/>
  <c r="E726" i="2" s="1"/>
  <c r="F726" i="2" s="1"/>
  <c r="G726" i="2" s="1"/>
  <c r="C237" i="2"/>
  <c r="D237" i="2" s="1"/>
  <c r="E237" i="2" s="1"/>
  <c r="F237" i="2" s="1"/>
  <c r="G237" i="2" s="1"/>
  <c r="C214" i="2"/>
  <c r="D214" i="2" s="1"/>
  <c r="E214" i="2" s="1"/>
  <c r="F214" i="2" s="1"/>
  <c r="G214" i="2" s="1"/>
  <c r="C470" i="2"/>
  <c r="D470" i="2" s="1"/>
  <c r="E470" i="2" s="1"/>
  <c r="F470" i="2" s="1"/>
  <c r="G470" i="2" s="1"/>
  <c r="C727" i="2"/>
  <c r="D727" i="2" s="1"/>
  <c r="E727" i="2" s="1"/>
  <c r="F727" i="2" s="1"/>
  <c r="G727" i="2" s="1"/>
  <c r="C224" i="2"/>
  <c r="D224" i="2" s="1"/>
  <c r="E224" i="2" s="1"/>
  <c r="F224" i="2" s="1"/>
  <c r="G224" i="2" s="1"/>
  <c r="C67" i="2"/>
  <c r="D67" i="2" s="1"/>
  <c r="E67" i="2" s="1"/>
  <c r="F67" i="2" s="1"/>
  <c r="G67" i="2" s="1"/>
  <c r="C98" i="2"/>
  <c r="D98" i="2" s="1"/>
  <c r="E98" i="2" s="1"/>
  <c r="F98" i="2" s="1"/>
  <c r="G98" i="2" s="1"/>
  <c r="C11" i="2"/>
  <c r="D11" i="2" s="1"/>
  <c r="E11" i="2" s="1"/>
  <c r="F11" i="2" s="1"/>
  <c r="G11" i="2" s="1"/>
  <c r="C404" i="2"/>
  <c r="D404" i="2" s="1"/>
  <c r="E404" i="2" s="1"/>
  <c r="F404" i="2" s="1"/>
  <c r="G404" i="2" s="1"/>
  <c r="C309" i="2"/>
  <c r="D309" i="2" s="1"/>
  <c r="E309" i="2" s="1"/>
  <c r="F309" i="2" s="1"/>
  <c r="G309" i="2" s="1"/>
  <c r="C200" i="2"/>
  <c r="D200" i="2" s="1"/>
  <c r="E200" i="2" s="1"/>
  <c r="F200" i="2" s="1"/>
  <c r="G200" i="2" s="1"/>
  <c r="C8" i="2"/>
  <c r="D8" i="2" s="1"/>
  <c r="E8" i="2" s="1"/>
  <c r="F8" i="2" s="1"/>
  <c r="G8" i="2" s="1"/>
  <c r="C728" i="2"/>
  <c r="D728" i="2" s="1"/>
  <c r="E728" i="2" s="1"/>
  <c r="F728" i="2" s="1"/>
  <c r="G728" i="2" s="1"/>
  <c r="C454" i="2"/>
  <c r="D454" i="2" s="1"/>
  <c r="E454" i="2" s="1"/>
  <c r="F454" i="2" s="1"/>
  <c r="G454" i="2" s="1"/>
  <c r="C342" i="2"/>
  <c r="D342" i="2" s="1"/>
  <c r="E342" i="2" s="1"/>
  <c r="F342" i="2" s="1"/>
  <c r="G342" i="2" s="1"/>
  <c r="C168" i="2"/>
  <c r="D168" i="2" s="1"/>
  <c r="E168" i="2" s="1"/>
  <c r="F168" i="2" s="1"/>
  <c r="G168" i="2" s="1"/>
  <c r="C291" i="2"/>
  <c r="D291" i="2" s="1"/>
  <c r="E291" i="2" s="1"/>
  <c r="F291" i="2" s="1"/>
  <c r="G291" i="2" s="1"/>
  <c r="C141" i="2"/>
  <c r="D141" i="2" s="1"/>
  <c r="E141" i="2" s="1"/>
  <c r="F141" i="2" s="1"/>
  <c r="G141" i="2" s="1"/>
  <c r="C729" i="2"/>
  <c r="D729" i="2" s="1"/>
  <c r="E729" i="2" s="1"/>
  <c r="F729" i="2" s="1"/>
  <c r="G729" i="2" s="1"/>
  <c r="C3" i="2"/>
  <c r="D3" i="2" s="1"/>
  <c r="E3" i="2" s="1"/>
  <c r="F3" i="2" s="1"/>
  <c r="G3" i="2" s="1"/>
  <c r="C211" i="2"/>
  <c r="D211" i="2" s="1"/>
  <c r="E211" i="2" s="1"/>
  <c r="F211" i="2" s="1"/>
  <c r="G211" i="2" s="1"/>
  <c r="C225" i="2"/>
  <c r="D225" i="2" s="1"/>
  <c r="E225" i="2" s="1"/>
  <c r="F225" i="2" s="1"/>
  <c r="G225" i="2" s="1"/>
  <c r="C730" i="2"/>
  <c r="D730" i="2" s="1"/>
  <c r="E730" i="2" s="1"/>
  <c r="F730" i="2" s="1"/>
  <c r="G730" i="2" s="1"/>
  <c r="C216" i="2"/>
  <c r="D216" i="2" s="1"/>
  <c r="E216" i="2" s="1"/>
  <c r="F216" i="2" s="1"/>
  <c r="G216" i="2" s="1"/>
  <c r="C182" i="2"/>
  <c r="D182" i="2" s="1"/>
  <c r="E182" i="2" s="1"/>
  <c r="F182" i="2" s="1"/>
  <c r="G182" i="2" s="1"/>
  <c r="C311" i="2"/>
  <c r="D311" i="2" s="1"/>
  <c r="E311" i="2" s="1"/>
  <c r="F311" i="2" s="1"/>
  <c r="G311" i="2" s="1"/>
  <c r="C97" i="2"/>
  <c r="D97" i="2" s="1"/>
  <c r="E97" i="2" s="1"/>
  <c r="F97" i="2" s="1"/>
  <c r="G97" i="2" s="1"/>
  <c r="C117" i="2"/>
  <c r="D117" i="2" s="1"/>
  <c r="E117" i="2" s="1"/>
  <c r="F117" i="2" s="1"/>
  <c r="G117" i="2" s="1"/>
  <c r="C46" i="2"/>
  <c r="D46" i="2" s="1"/>
  <c r="E46" i="2" s="1"/>
  <c r="F46" i="2" s="1"/>
  <c r="G46" i="2" s="1"/>
  <c r="C229" i="2"/>
  <c r="D229" i="2" s="1"/>
  <c r="E229" i="2" s="1"/>
  <c r="F229" i="2" s="1"/>
  <c r="G229" i="2" s="1"/>
  <c r="C74" i="2"/>
  <c r="D74" i="2" s="1"/>
  <c r="E74" i="2" s="1"/>
  <c r="F74" i="2" s="1"/>
  <c r="G74" i="2" s="1"/>
  <c r="C731" i="2"/>
  <c r="D731" i="2" s="1"/>
  <c r="E731" i="2" s="1"/>
  <c r="F731" i="2" s="1"/>
  <c r="G731" i="2" s="1"/>
  <c r="C118" i="2"/>
  <c r="D118" i="2" s="1"/>
  <c r="E118" i="2" s="1"/>
  <c r="F118" i="2" s="1"/>
  <c r="G118" i="2" s="1"/>
  <c r="C21" i="2"/>
  <c r="D21" i="2" s="1"/>
  <c r="E21" i="2" s="1"/>
  <c r="F21" i="2" s="1"/>
  <c r="G21" i="2" s="1"/>
  <c r="C23" i="2"/>
  <c r="D23" i="2" s="1"/>
  <c r="E23" i="2" s="1"/>
  <c r="F23" i="2" s="1"/>
  <c r="G23" i="2" s="1"/>
  <c r="C34" i="2"/>
  <c r="D34" i="2" s="1"/>
  <c r="E34" i="2" s="1"/>
  <c r="F34" i="2" s="1"/>
  <c r="G34" i="2" s="1"/>
  <c r="C169" i="2"/>
  <c r="D169" i="2" s="1"/>
  <c r="E169" i="2" s="1"/>
  <c r="F169" i="2" s="1"/>
  <c r="G169" i="2" s="1"/>
  <c r="C732" i="2"/>
  <c r="D732" i="2" s="1"/>
  <c r="E732" i="2" s="1"/>
  <c r="F732" i="2" s="1"/>
  <c r="G732" i="2" s="1"/>
  <c r="C563" i="2"/>
  <c r="D563" i="2" s="1"/>
  <c r="E563" i="2" s="1"/>
  <c r="F563" i="2" s="1"/>
  <c r="G563" i="2" s="1"/>
  <c r="C576" i="2"/>
  <c r="D576" i="2" s="1"/>
  <c r="E576" i="2" s="1"/>
  <c r="F576" i="2" s="1"/>
  <c r="G576" i="2" s="1"/>
  <c r="C337" i="2"/>
  <c r="D337" i="2" s="1"/>
  <c r="E337" i="2" s="1"/>
  <c r="F337" i="2" s="1"/>
  <c r="G337" i="2" s="1"/>
  <c r="C48" i="2"/>
  <c r="D48" i="2" s="1"/>
  <c r="E48" i="2" s="1"/>
  <c r="F48" i="2" s="1"/>
  <c r="G48" i="2" s="1"/>
  <c r="C533" i="2"/>
  <c r="D533" i="2" s="1"/>
  <c r="E533" i="2" s="1"/>
  <c r="F533" i="2" s="1"/>
  <c r="G533" i="2" s="1"/>
  <c r="C41" i="2"/>
  <c r="D41" i="2" s="1"/>
  <c r="E41" i="2" s="1"/>
  <c r="F41" i="2" s="1"/>
  <c r="G41" i="2" s="1"/>
  <c r="C733" i="2"/>
  <c r="D733" i="2" s="1"/>
  <c r="E733" i="2" s="1"/>
  <c r="F733" i="2" s="1"/>
  <c r="G733" i="2" s="1"/>
  <c r="C29" i="2"/>
  <c r="D29" i="2" s="1"/>
  <c r="E29" i="2" s="1"/>
  <c r="F29" i="2" s="1"/>
  <c r="G29" i="2" s="1"/>
  <c r="C32" i="2"/>
  <c r="D32" i="2" s="1"/>
  <c r="E32" i="2" s="1"/>
  <c r="F32" i="2" s="1"/>
  <c r="G32" i="2" s="1"/>
  <c r="C69" i="2"/>
  <c r="D69" i="2" s="1"/>
  <c r="E69" i="2" s="1"/>
  <c r="F69" i="2" s="1"/>
  <c r="G69" i="2" s="1"/>
  <c r="C361" i="2"/>
  <c r="D361" i="2" s="1"/>
  <c r="E361" i="2" s="1"/>
  <c r="F361" i="2" s="1"/>
  <c r="G361" i="2" s="1"/>
  <c r="C350" i="2"/>
  <c r="D350" i="2" s="1"/>
  <c r="E350" i="2" s="1"/>
  <c r="F350" i="2" s="1"/>
  <c r="G350" i="2" s="1"/>
  <c r="C734" i="2"/>
  <c r="D734" i="2" s="1"/>
  <c r="E734" i="2" s="1"/>
  <c r="F734" i="2" s="1"/>
  <c r="G734" i="2" s="1"/>
  <c r="C99" i="2"/>
  <c r="D99" i="2" s="1"/>
  <c r="E99" i="2" s="1"/>
  <c r="F99" i="2" s="1"/>
  <c r="G99" i="2" s="1"/>
  <c r="C165" i="2"/>
  <c r="D165" i="2" s="1"/>
  <c r="E165" i="2" s="1"/>
  <c r="F165" i="2" s="1"/>
  <c r="G165" i="2" s="1"/>
  <c r="C247" i="2"/>
  <c r="D247" i="2" s="1"/>
  <c r="E247" i="2" s="1"/>
  <c r="F247" i="2" s="1"/>
  <c r="G247" i="2" s="1"/>
  <c r="C735" i="2"/>
  <c r="D735" i="2" s="1"/>
  <c r="E735" i="2" s="1"/>
  <c r="F735" i="2" s="1"/>
  <c r="G735" i="2" s="1"/>
  <c r="C150" i="2"/>
  <c r="D150" i="2" s="1"/>
  <c r="E150" i="2" s="1"/>
  <c r="F150" i="2" s="1"/>
  <c r="G150" i="2" s="1"/>
  <c r="C657" i="2"/>
  <c r="D657" i="2" s="1"/>
  <c r="E657" i="2" s="1"/>
  <c r="F657" i="2" s="1"/>
  <c r="G657" i="2" s="1"/>
  <c r="C308" i="2"/>
  <c r="D308" i="2" s="1"/>
  <c r="E308" i="2" s="1"/>
  <c r="F308" i="2" s="1"/>
  <c r="G308" i="2" s="1"/>
  <c r="C736" i="2"/>
  <c r="D736" i="2" s="1"/>
  <c r="E736" i="2" s="1"/>
  <c r="F736" i="2" s="1"/>
  <c r="G736" i="2" s="1"/>
  <c r="C343" i="2"/>
  <c r="D343" i="2" s="1"/>
  <c r="E343" i="2" s="1"/>
  <c r="F343" i="2" s="1"/>
  <c r="G343" i="2" s="1"/>
  <c r="C356" i="2"/>
  <c r="D356" i="2" s="1"/>
  <c r="E356" i="2" s="1"/>
  <c r="F356" i="2" s="1"/>
  <c r="G356" i="2" s="1"/>
  <c r="C133" i="2"/>
  <c r="D133" i="2" s="1"/>
  <c r="E133" i="2" s="1"/>
  <c r="F133" i="2" s="1"/>
  <c r="G133" i="2" s="1"/>
  <c r="C59" i="2"/>
  <c r="D59" i="2" s="1"/>
  <c r="E59" i="2" s="1"/>
  <c r="F59" i="2" s="1"/>
  <c r="G59" i="2" s="1"/>
  <c r="C265" i="2"/>
  <c r="D265" i="2" s="1"/>
  <c r="E265" i="2" s="1"/>
  <c r="F265" i="2" s="1"/>
  <c r="G265" i="2" s="1"/>
  <c r="C249" i="2"/>
  <c r="D249" i="2" s="1"/>
  <c r="E249" i="2" s="1"/>
  <c r="F249" i="2" s="1"/>
  <c r="G249" i="2" s="1"/>
  <c r="C261" i="2"/>
  <c r="D261" i="2" s="1"/>
  <c r="E261" i="2" s="1"/>
  <c r="F261" i="2" s="1"/>
  <c r="G261" i="2" s="1"/>
  <c r="C427" i="2"/>
  <c r="D427" i="2" s="1"/>
  <c r="E427" i="2" s="1"/>
  <c r="F427" i="2" s="1"/>
  <c r="G427" i="2" s="1"/>
  <c r="C463" i="2"/>
  <c r="D463" i="2" s="1"/>
  <c r="E463" i="2" s="1"/>
  <c r="F463" i="2" s="1"/>
  <c r="G463" i="2" s="1"/>
  <c r="C737" i="2"/>
  <c r="D737" i="2" s="1"/>
  <c r="E737" i="2" s="1"/>
  <c r="F737" i="2" s="1"/>
  <c r="G737" i="2" s="1"/>
  <c r="C68" i="2"/>
  <c r="D68" i="2" s="1"/>
  <c r="E68" i="2" s="1"/>
  <c r="F68" i="2" s="1"/>
  <c r="G68" i="2" s="1"/>
  <c r="C689" i="2"/>
  <c r="D689" i="2" s="1"/>
  <c r="E689" i="2" s="1"/>
  <c r="F689" i="2" s="1"/>
  <c r="G689" i="2" s="1"/>
  <c r="C536" i="2"/>
  <c r="D536" i="2" s="1"/>
  <c r="E536" i="2" s="1"/>
  <c r="F536" i="2" s="1"/>
  <c r="G536" i="2" s="1"/>
  <c r="C6" i="2"/>
  <c r="D6" i="2" s="1"/>
  <c r="E6" i="2" s="1"/>
  <c r="F6" i="2" s="1"/>
  <c r="G6" i="2" s="1"/>
  <c r="C100" i="2"/>
  <c r="D100" i="2" s="1"/>
  <c r="E100" i="2" s="1"/>
  <c r="F100" i="2" s="1"/>
  <c r="G100" i="2" s="1"/>
  <c r="C367" i="2"/>
  <c r="D367" i="2" s="1"/>
  <c r="E367" i="2" s="1"/>
  <c r="F367" i="2" s="1"/>
  <c r="G367" i="2" s="1"/>
  <c r="C298" i="2"/>
  <c r="D298" i="2" s="1"/>
  <c r="E298" i="2" s="1"/>
  <c r="F298" i="2" s="1"/>
  <c r="G298" i="2" s="1"/>
  <c r="C289" i="2"/>
  <c r="D289" i="2" s="1"/>
  <c r="E289" i="2" s="1"/>
  <c r="F289" i="2" s="1"/>
  <c r="G289" i="2" s="1"/>
  <c r="C274" i="2"/>
  <c r="D274" i="2" s="1"/>
  <c r="E274" i="2" s="1"/>
  <c r="F274" i="2" s="1"/>
  <c r="G274" i="2" s="1"/>
  <c r="C516" i="2"/>
  <c r="D516" i="2" s="1"/>
  <c r="E516" i="2" s="1"/>
  <c r="F516" i="2" s="1"/>
  <c r="G516" i="2" s="1"/>
  <c r="C255" i="2"/>
  <c r="D255" i="2" s="1"/>
  <c r="E255" i="2" s="1"/>
  <c r="F255" i="2" s="1"/>
  <c r="G255" i="2" s="1"/>
  <c r="C619" i="2"/>
  <c r="D619" i="2" s="1"/>
  <c r="E619" i="2" s="1"/>
  <c r="F619" i="2" s="1"/>
  <c r="G619" i="2" s="1"/>
  <c r="C496" i="2"/>
  <c r="D496" i="2" s="1"/>
  <c r="E496" i="2" s="1"/>
  <c r="F496" i="2" s="1"/>
  <c r="G496" i="2" s="1"/>
  <c r="C135" i="2"/>
  <c r="D135" i="2" s="1"/>
  <c r="E135" i="2" s="1"/>
  <c r="F135" i="2" s="1"/>
  <c r="G135" i="2" s="1"/>
  <c r="C179" i="2"/>
  <c r="D179" i="2" s="1"/>
  <c r="E179" i="2" s="1"/>
  <c r="F179" i="2" s="1"/>
  <c r="G179" i="2" s="1"/>
  <c r="C223" i="2"/>
  <c r="D223" i="2" s="1"/>
  <c r="E223" i="2" s="1"/>
  <c r="F223" i="2" s="1"/>
  <c r="G223" i="2" s="1"/>
  <c r="C275" i="2"/>
  <c r="D275" i="2" s="1"/>
  <c r="E275" i="2" s="1"/>
  <c r="F275" i="2" s="1"/>
  <c r="G275" i="2" s="1"/>
  <c r="C253" i="2"/>
  <c r="D253" i="2" s="1"/>
  <c r="E253" i="2" s="1"/>
  <c r="F253" i="2" s="1"/>
  <c r="G253" i="2" s="1"/>
  <c r="C351" i="2"/>
  <c r="D351" i="2" s="1"/>
  <c r="E351" i="2" s="1"/>
  <c r="F351" i="2" s="1"/>
  <c r="G351" i="2" s="1"/>
  <c r="C208" i="2"/>
  <c r="D208" i="2" s="1"/>
  <c r="E208" i="2" s="1"/>
  <c r="F208" i="2" s="1"/>
  <c r="G208" i="2" s="1"/>
  <c r="C292" i="2"/>
  <c r="D292" i="2" s="1"/>
  <c r="E292" i="2" s="1"/>
  <c r="F292" i="2" s="1"/>
  <c r="G292" i="2" s="1"/>
  <c r="C281" i="2"/>
  <c r="D281" i="2" s="1"/>
  <c r="E281" i="2" s="1"/>
  <c r="F281" i="2" s="1"/>
  <c r="G281" i="2" s="1"/>
  <c r="C413" i="2"/>
  <c r="D413" i="2" s="1"/>
  <c r="E413" i="2" s="1"/>
  <c r="F413" i="2" s="1"/>
  <c r="G413" i="2" s="1"/>
  <c r="C185" i="2"/>
  <c r="D185" i="2" s="1"/>
  <c r="E185" i="2" s="1"/>
  <c r="F185" i="2" s="1"/>
  <c r="G185" i="2" s="1"/>
  <c r="C554" i="2"/>
  <c r="D554" i="2" s="1"/>
  <c r="E554" i="2" s="1"/>
  <c r="F554" i="2" s="1"/>
  <c r="G554" i="2" s="1"/>
  <c r="C142" i="2"/>
  <c r="D142" i="2" s="1"/>
  <c r="E142" i="2" s="1"/>
  <c r="F142" i="2" s="1"/>
  <c r="G142" i="2" s="1"/>
  <c r="C42" i="2"/>
  <c r="D42" i="2" s="1"/>
  <c r="E42" i="2" s="1"/>
  <c r="F42" i="2" s="1"/>
  <c r="G42" i="2" s="1"/>
  <c r="C102" i="2"/>
  <c r="D102" i="2" s="1"/>
  <c r="E102" i="2" s="1"/>
  <c r="F102" i="2" s="1"/>
  <c r="G102" i="2" s="1"/>
  <c r="C738" i="2"/>
  <c r="D738" i="2" s="1"/>
  <c r="E738" i="2" s="1"/>
  <c r="F738" i="2" s="1"/>
  <c r="G738" i="2" s="1"/>
  <c r="C481" i="2"/>
  <c r="D481" i="2" s="1"/>
  <c r="E481" i="2" s="1"/>
  <c r="F481" i="2" s="1"/>
  <c r="G481" i="2" s="1"/>
  <c r="C269" i="2"/>
  <c r="D269" i="2" s="1"/>
  <c r="E269" i="2" s="1"/>
  <c r="F269" i="2" s="1"/>
  <c r="G269" i="2" s="1"/>
  <c r="C151" i="2"/>
  <c r="D151" i="2" s="1"/>
  <c r="E151" i="2" s="1"/>
  <c r="F151" i="2" s="1"/>
  <c r="G151" i="2" s="1"/>
  <c r="C55" i="2"/>
  <c r="D55" i="2" s="1"/>
  <c r="E55" i="2" s="1"/>
  <c r="F55" i="2" s="1"/>
  <c r="G55" i="2" s="1"/>
  <c r="C112" i="2"/>
  <c r="D112" i="2" s="1"/>
  <c r="E112" i="2" s="1"/>
  <c r="F112" i="2" s="1"/>
  <c r="G112" i="2" s="1"/>
  <c r="C260" i="2"/>
  <c r="D260" i="2" s="1"/>
  <c r="E260" i="2" s="1"/>
  <c r="F260" i="2" s="1"/>
  <c r="G260" i="2" s="1"/>
  <c r="C409" i="2"/>
  <c r="D409" i="2" s="1"/>
  <c r="E409" i="2" s="1"/>
  <c r="F409" i="2" s="1"/>
  <c r="G409" i="2" s="1"/>
  <c r="C474" i="2"/>
  <c r="D474" i="2" s="1"/>
  <c r="E474" i="2" s="1"/>
  <c r="F474" i="2" s="1"/>
  <c r="G474" i="2" s="1"/>
  <c r="C66" i="2"/>
  <c r="D66" i="2" s="1"/>
  <c r="E66" i="2" s="1"/>
  <c r="F66" i="2" s="1"/>
  <c r="G66" i="2" s="1"/>
  <c r="C209" i="2"/>
  <c r="D209" i="2" s="1"/>
  <c r="E209" i="2" s="1"/>
  <c r="F209" i="2" s="1"/>
  <c r="G209" i="2" s="1"/>
  <c r="C248" i="2"/>
  <c r="D248" i="2" s="1"/>
  <c r="E248" i="2" s="1"/>
  <c r="F248" i="2" s="1"/>
  <c r="G248" i="2" s="1"/>
  <c r="C431" i="2"/>
  <c r="D431" i="2" s="1"/>
  <c r="E431" i="2" s="1"/>
  <c r="F431" i="2" s="1"/>
  <c r="G431" i="2" s="1"/>
  <c r="C147" i="2"/>
  <c r="D147" i="2" s="1"/>
  <c r="E147" i="2" s="1"/>
  <c r="F147" i="2" s="1"/>
  <c r="G147" i="2" s="1"/>
  <c r="C321" i="2"/>
  <c r="D321" i="2" s="1"/>
  <c r="E321" i="2" s="1"/>
  <c r="F321" i="2" s="1"/>
  <c r="G321" i="2" s="1"/>
  <c r="C183" i="2"/>
  <c r="D183" i="2" s="1"/>
  <c r="E183" i="2" s="1"/>
  <c r="F183" i="2" s="1"/>
  <c r="G183" i="2" s="1"/>
  <c r="C103" i="2"/>
  <c r="D103" i="2" s="1"/>
  <c r="E103" i="2" s="1"/>
  <c r="F103" i="2" s="1"/>
  <c r="G103" i="2" s="1"/>
  <c r="C76" i="2"/>
  <c r="D76" i="2" s="1"/>
  <c r="E76" i="2" s="1"/>
  <c r="F76" i="2" s="1"/>
  <c r="G76" i="2" s="1"/>
  <c r="C101" i="2"/>
  <c r="D101" i="2" s="1"/>
  <c r="E101" i="2" s="1"/>
  <c r="F101" i="2" s="1"/>
  <c r="G101" i="2" s="1"/>
  <c r="C184" i="2"/>
  <c r="D184" i="2" s="1"/>
  <c r="E184" i="2" s="1"/>
  <c r="F184" i="2" s="1"/>
  <c r="G184" i="2" s="1"/>
  <c r="C22" i="2"/>
  <c r="D22" i="2" s="1"/>
  <c r="E22" i="2" s="1"/>
  <c r="F22" i="2" s="1"/>
  <c r="G22" i="2" s="1"/>
  <c r="C419" i="2"/>
  <c r="D419" i="2" s="1"/>
  <c r="E419" i="2" s="1"/>
  <c r="F419" i="2" s="1"/>
  <c r="G419" i="2" s="1"/>
  <c r="C631" i="2"/>
  <c r="D631" i="2" s="1"/>
  <c r="E631" i="2" s="1"/>
  <c r="F631" i="2" s="1"/>
  <c r="G631" i="2" s="1"/>
  <c r="C432" i="2"/>
  <c r="D432" i="2" s="1"/>
  <c r="E432" i="2" s="1"/>
  <c r="F432" i="2" s="1"/>
  <c r="G432" i="2" s="1"/>
  <c r="C186" i="2"/>
  <c r="D186" i="2" s="1"/>
  <c r="E186" i="2" s="1"/>
  <c r="F186" i="2" s="1"/>
  <c r="G186" i="2" s="1"/>
  <c r="C128" i="2"/>
  <c r="D128" i="2" s="1"/>
  <c r="E128" i="2" s="1"/>
  <c r="F128" i="2" s="1"/>
  <c r="G128" i="2" s="1"/>
  <c r="C39" i="2"/>
  <c r="D39" i="2" s="1"/>
  <c r="E39" i="2" s="1"/>
  <c r="F39" i="2" s="1"/>
  <c r="G39" i="2" s="1"/>
  <c r="C301" i="2"/>
  <c r="D301" i="2" s="1"/>
  <c r="E301" i="2" s="1"/>
  <c r="F301" i="2" s="1"/>
  <c r="G301" i="2" s="1"/>
  <c r="C207" i="2"/>
  <c r="D207" i="2" s="1"/>
  <c r="E207" i="2" s="1"/>
  <c r="F207" i="2" s="1"/>
  <c r="G207" i="2" s="1"/>
  <c r="C122" i="2"/>
  <c r="D122" i="2" s="1"/>
  <c r="E122" i="2" s="1"/>
  <c r="F122" i="2" s="1"/>
  <c r="G122" i="2" s="1"/>
  <c r="C739" i="2"/>
  <c r="D739" i="2" s="1"/>
  <c r="E739" i="2" s="1"/>
  <c r="F739" i="2" s="1"/>
  <c r="G739" i="2" s="1"/>
  <c r="C116" i="2"/>
  <c r="D116" i="2" s="1"/>
  <c r="E116" i="2" s="1"/>
  <c r="F116" i="2" s="1"/>
  <c r="G116" i="2" s="1"/>
  <c r="C648" i="2"/>
  <c r="D648" i="2" s="1"/>
  <c r="E648" i="2" s="1"/>
  <c r="F648" i="2" s="1"/>
  <c r="G648" i="2" s="1"/>
  <c r="C47" i="2"/>
  <c r="D47" i="2" s="1"/>
  <c r="E47" i="2" s="1"/>
  <c r="F47" i="2" s="1"/>
  <c r="G47" i="2" s="1"/>
  <c r="C87" i="2"/>
  <c r="D87" i="2" s="1"/>
  <c r="E87" i="2" s="1"/>
  <c r="F87" i="2" s="1"/>
  <c r="G87" i="2" s="1"/>
  <c r="C170" i="2"/>
  <c r="D170" i="2" s="1"/>
  <c r="E170" i="2" s="1"/>
  <c r="F170" i="2" s="1"/>
  <c r="G170" i="2" s="1"/>
  <c r="C191" i="2"/>
  <c r="D191" i="2" s="1"/>
  <c r="E191" i="2" s="1"/>
  <c r="F191" i="2" s="1"/>
  <c r="G191" i="2" s="1"/>
  <c r="C523" i="2"/>
  <c r="D523" i="2" s="1"/>
  <c r="E523" i="2" s="1"/>
  <c r="F523" i="2" s="1"/>
  <c r="G523" i="2" s="1"/>
  <c r="C475" i="2"/>
  <c r="D475" i="2" s="1"/>
  <c r="E475" i="2" s="1"/>
  <c r="F475" i="2" s="1"/>
  <c r="G475" i="2" s="1"/>
  <c r="C16" i="2"/>
  <c r="D16" i="2" s="1"/>
  <c r="E16" i="2" s="1"/>
  <c r="F16" i="2" s="1"/>
  <c r="G16" i="2" s="1"/>
  <c r="C104" i="2"/>
  <c r="D104" i="2" s="1"/>
  <c r="E104" i="2" s="1"/>
  <c r="F104" i="2" s="1"/>
  <c r="G104" i="2" s="1"/>
  <c r="C740" i="2"/>
  <c r="D740" i="2" s="1"/>
  <c r="E740" i="2" s="1"/>
  <c r="F740" i="2" s="1"/>
  <c r="G740" i="2" s="1"/>
  <c r="C155" i="2"/>
  <c r="D155" i="2" s="1"/>
  <c r="E155" i="2" s="1"/>
  <c r="F155" i="2" s="1"/>
  <c r="G155" i="2" s="1"/>
  <c r="C242" i="2"/>
  <c r="D242" i="2" s="1"/>
  <c r="E242" i="2" s="1"/>
  <c r="F242" i="2" s="1"/>
  <c r="G242" i="2" s="1"/>
  <c r="C89" i="2"/>
  <c r="D89" i="2" s="1"/>
  <c r="E89" i="2" s="1"/>
  <c r="F89" i="2" s="1"/>
  <c r="G89" i="2" s="1"/>
  <c r="C741" i="2"/>
  <c r="D741" i="2" s="1"/>
  <c r="E741" i="2" s="1"/>
  <c r="F741" i="2" s="1"/>
  <c r="G741" i="2" s="1"/>
  <c r="C137" i="2"/>
  <c r="D137" i="2" s="1"/>
  <c r="E137" i="2" s="1"/>
  <c r="F137" i="2" s="1"/>
  <c r="G137" i="2" s="1"/>
  <c r="C742" i="2"/>
  <c r="D742" i="2" s="1"/>
  <c r="E742" i="2" s="1"/>
  <c r="F742" i="2" s="1"/>
  <c r="G742" i="2" s="1"/>
  <c r="C57" i="2"/>
  <c r="D57" i="2" s="1"/>
  <c r="E57" i="2" s="1"/>
  <c r="F57" i="2" s="1"/>
  <c r="G57" i="2" s="1"/>
  <c r="C546" i="2"/>
  <c r="D546" i="2" s="1"/>
  <c r="E546" i="2" s="1"/>
  <c r="F546" i="2" s="1"/>
  <c r="G546" i="2" s="1"/>
  <c r="C743" i="2"/>
  <c r="D743" i="2" s="1"/>
  <c r="E743" i="2" s="1"/>
  <c r="F743" i="2" s="1"/>
  <c r="G743" i="2" s="1"/>
  <c r="C267" i="2"/>
  <c r="D267" i="2" s="1"/>
  <c r="E267" i="2" s="1"/>
  <c r="F267" i="2" s="1"/>
  <c r="G267" i="2" s="1"/>
  <c r="C164" i="2"/>
  <c r="D164" i="2" s="1"/>
  <c r="E164" i="2" s="1"/>
  <c r="F164" i="2" s="1"/>
  <c r="G164" i="2" s="1"/>
  <c r="C17" i="2"/>
  <c r="D17" i="2" s="1"/>
  <c r="E17" i="2" s="1"/>
  <c r="F17" i="2" s="1"/>
  <c r="G17" i="2" s="1"/>
  <c r="C125" i="2"/>
  <c r="D125" i="2" s="1"/>
  <c r="E125" i="2" s="1"/>
  <c r="F125" i="2" s="1"/>
  <c r="G125" i="2" s="1"/>
  <c r="C205" i="2"/>
  <c r="D205" i="2" s="1"/>
  <c r="E205" i="2" s="1"/>
  <c r="F205" i="2" s="1"/>
  <c r="G205" i="2" s="1"/>
  <c r="C302" i="2"/>
  <c r="D302" i="2" s="1"/>
  <c r="E302" i="2" s="1"/>
  <c r="F302" i="2" s="1"/>
  <c r="G302" i="2" s="1"/>
  <c r="C371" i="2"/>
  <c r="D371" i="2" s="1"/>
  <c r="E371" i="2" s="1"/>
  <c r="F371" i="2" s="1"/>
  <c r="G371" i="2" s="1"/>
  <c r="C393" i="2"/>
  <c r="D393" i="2" s="1"/>
  <c r="E393" i="2" s="1"/>
  <c r="F393" i="2" s="1"/>
  <c r="G393" i="2" s="1"/>
  <c r="C243" i="2"/>
  <c r="D243" i="2" s="1"/>
  <c r="E243" i="2" s="1"/>
  <c r="F243" i="2" s="1"/>
  <c r="G243" i="2" s="1"/>
  <c r="C78" i="2"/>
  <c r="D78" i="2" s="1"/>
  <c r="E78" i="2" s="1"/>
  <c r="F78" i="2" s="1"/>
  <c r="G78" i="2" s="1"/>
  <c r="C305" i="2"/>
  <c r="D305" i="2" s="1"/>
  <c r="E305" i="2" s="1"/>
  <c r="F305" i="2" s="1"/>
  <c r="G305" i="2" s="1"/>
  <c r="C283" i="2"/>
  <c r="D283" i="2" s="1"/>
  <c r="E283" i="2" s="1"/>
  <c r="F283" i="2" s="1"/>
  <c r="G283" i="2" s="1"/>
  <c r="C336" i="2"/>
  <c r="D336" i="2" s="1"/>
  <c r="E336" i="2" s="1"/>
  <c r="F336" i="2" s="1"/>
  <c r="G336" i="2" s="1"/>
  <c r="C654" i="2"/>
  <c r="D654" i="2" s="1"/>
  <c r="E654" i="2" s="1"/>
  <c r="F654" i="2" s="1"/>
  <c r="G654" i="2" s="1"/>
  <c r="C217" i="2"/>
  <c r="D217" i="2" s="1"/>
  <c r="E217" i="2" s="1"/>
  <c r="F217" i="2" s="1"/>
  <c r="G217" i="2" s="1"/>
  <c r="C744" i="2"/>
  <c r="D744" i="2" s="1"/>
  <c r="E744" i="2" s="1"/>
  <c r="F744" i="2" s="1"/>
  <c r="G744" i="2" s="1"/>
  <c r="C134" i="2"/>
  <c r="D134" i="2" s="1"/>
  <c r="E134" i="2" s="1"/>
  <c r="F134" i="2" s="1"/>
  <c r="G134" i="2" s="1"/>
  <c r="C494" i="2"/>
  <c r="D494" i="2" s="1"/>
  <c r="E494" i="2" s="1"/>
  <c r="F494" i="2" s="1"/>
  <c r="G494" i="2" s="1"/>
  <c r="C319" i="2"/>
  <c r="D319" i="2" s="1"/>
  <c r="E319" i="2" s="1"/>
  <c r="F319" i="2" s="1"/>
  <c r="G319" i="2" s="1"/>
  <c r="C294" i="2"/>
  <c r="D294" i="2" s="1"/>
  <c r="E294" i="2" s="1"/>
  <c r="F294" i="2" s="1"/>
  <c r="G294" i="2" s="1"/>
  <c r="C152" i="2"/>
  <c r="D152" i="2" s="1"/>
  <c r="E152" i="2" s="1"/>
  <c r="F152" i="2" s="1"/>
  <c r="G152" i="2" s="1"/>
  <c r="C745" i="2"/>
  <c r="D745" i="2" s="1"/>
  <c r="E745" i="2" s="1"/>
  <c r="F745" i="2" s="1"/>
  <c r="G745" i="2" s="1"/>
  <c r="C234" i="2"/>
  <c r="D234" i="2" s="1"/>
  <c r="E234" i="2" s="1"/>
  <c r="F234" i="2" s="1"/>
  <c r="G234" i="2" s="1"/>
  <c r="C187" i="2"/>
  <c r="D187" i="2" s="1"/>
  <c r="E187" i="2" s="1"/>
  <c r="F187" i="2" s="1"/>
  <c r="G187" i="2" s="1"/>
  <c r="C456" i="2"/>
  <c r="D456" i="2" s="1"/>
  <c r="E456" i="2" s="1"/>
  <c r="F456" i="2" s="1"/>
  <c r="G456" i="2" s="1"/>
  <c r="C268" i="2"/>
  <c r="D268" i="2" s="1"/>
  <c r="E268" i="2" s="1"/>
  <c r="F268" i="2" s="1"/>
  <c r="G268" i="2" s="1"/>
  <c r="C109" i="2"/>
  <c r="D109" i="2" s="1"/>
  <c r="E109" i="2" s="1"/>
  <c r="F109" i="2" s="1"/>
  <c r="G109" i="2" s="1"/>
  <c r="C92" i="2"/>
  <c r="D92" i="2" s="1"/>
  <c r="E92" i="2" s="1"/>
  <c r="F92" i="2" s="1"/>
  <c r="G92" i="2" s="1"/>
  <c r="C60" i="2"/>
  <c r="D60" i="2" s="1"/>
  <c r="E60" i="2" s="1"/>
  <c r="F60" i="2" s="1"/>
  <c r="G60" i="2" s="1"/>
  <c r="C299" i="2"/>
  <c r="D299" i="2" s="1"/>
  <c r="E299" i="2" s="1"/>
  <c r="F299" i="2" s="1"/>
  <c r="G299" i="2" s="1"/>
  <c r="C77" i="2"/>
  <c r="D77" i="2" s="1"/>
  <c r="E77" i="2" s="1"/>
  <c r="F77" i="2" s="1"/>
  <c r="G77" i="2" s="1"/>
  <c r="C124" i="2"/>
  <c r="D124" i="2" s="1"/>
  <c r="E124" i="2" s="1"/>
  <c r="F124" i="2" s="1"/>
  <c r="G124" i="2" s="1"/>
  <c r="C746" i="2"/>
  <c r="D746" i="2" s="1"/>
  <c r="E746" i="2" s="1"/>
  <c r="F746" i="2" s="1"/>
  <c r="G746" i="2" s="1"/>
  <c r="C747" i="2"/>
  <c r="D747" i="2" s="1"/>
  <c r="E747" i="2" s="1"/>
  <c r="F747" i="2" s="1"/>
  <c r="G747" i="2" s="1"/>
  <c r="C748" i="2"/>
  <c r="D748" i="2" s="1"/>
  <c r="E748" i="2" s="1"/>
  <c r="F748" i="2" s="1"/>
  <c r="G748" i="2" s="1"/>
  <c r="C749" i="2"/>
  <c r="D749" i="2" s="1"/>
  <c r="E749" i="2" s="1"/>
  <c r="F749" i="2" s="1"/>
  <c r="G749" i="2" s="1"/>
  <c r="C750" i="2"/>
  <c r="D750" i="2" s="1"/>
  <c r="E750" i="2" s="1"/>
  <c r="F750" i="2" s="1"/>
  <c r="G750" i="2" s="1"/>
  <c r="C751" i="2"/>
  <c r="D751" i="2" s="1"/>
  <c r="E751" i="2" s="1"/>
  <c r="F751" i="2" s="1"/>
  <c r="G751" i="2" s="1"/>
  <c r="C479" i="2"/>
  <c r="D479" i="2" s="1"/>
  <c r="E479" i="2" s="1"/>
  <c r="F479" i="2" s="1"/>
  <c r="G479" i="2" s="1"/>
  <c r="C484" i="2"/>
  <c r="D484" i="2" s="1"/>
  <c r="E484" i="2" s="1"/>
  <c r="F484" i="2" s="1"/>
  <c r="G484" i="2" s="1"/>
  <c r="C602" i="2"/>
  <c r="D602" i="2" s="1"/>
  <c r="E602" i="2" s="1"/>
  <c r="F602" i="2" s="1"/>
  <c r="G602" i="2" s="1"/>
  <c r="C752" i="2"/>
  <c r="D752" i="2" s="1"/>
  <c r="E752" i="2" s="1"/>
  <c r="F752" i="2" s="1"/>
  <c r="G752" i="2" s="1"/>
  <c r="C410" i="2"/>
  <c r="D410" i="2" s="1"/>
  <c r="E410" i="2" s="1"/>
  <c r="F410" i="2" s="1"/>
  <c r="G410" i="2" s="1"/>
  <c r="C575" i="2"/>
  <c r="D575" i="2" s="1"/>
  <c r="E575" i="2" s="1"/>
  <c r="F575" i="2" s="1"/>
  <c r="G575" i="2" s="1"/>
  <c r="C639" i="2"/>
  <c r="D639" i="2" s="1"/>
  <c r="E639" i="2" s="1"/>
  <c r="F639" i="2" s="1"/>
  <c r="G639" i="2" s="1"/>
  <c r="C472" i="2"/>
  <c r="D472" i="2" s="1"/>
  <c r="E472" i="2" s="1"/>
  <c r="F472" i="2" s="1"/>
  <c r="G472" i="2" s="1"/>
  <c r="C647" i="2"/>
  <c r="D647" i="2" s="1"/>
  <c r="E647" i="2" s="1"/>
  <c r="F647" i="2" s="1"/>
  <c r="G647" i="2" s="1"/>
  <c r="C704" i="2"/>
  <c r="D704" i="2" s="1"/>
  <c r="E704" i="2" s="1"/>
  <c r="F704" i="2" s="1"/>
  <c r="G704" i="2" s="1"/>
  <c r="C624" i="2"/>
  <c r="D624" i="2" s="1"/>
  <c r="E624" i="2" s="1"/>
  <c r="F624" i="2" s="1"/>
  <c r="G624" i="2" s="1"/>
  <c r="C641" i="2"/>
  <c r="D641" i="2" s="1"/>
  <c r="E641" i="2" s="1"/>
  <c r="F641" i="2" s="1"/>
  <c r="G641" i="2" s="1"/>
  <c r="C753" i="2"/>
  <c r="D753" i="2" s="1"/>
  <c r="E753" i="2" s="1"/>
  <c r="F753" i="2" s="1"/>
  <c r="G753" i="2" s="1"/>
  <c r="C670" i="2"/>
  <c r="D670" i="2" s="1"/>
  <c r="E670" i="2" s="1"/>
  <c r="F670" i="2" s="1"/>
  <c r="G670" i="2" s="1"/>
  <c r="C705" i="2"/>
  <c r="D705" i="2" s="1"/>
  <c r="E705" i="2" s="1"/>
  <c r="F705" i="2" s="1"/>
  <c r="G705" i="2" s="1"/>
  <c r="C530" i="2"/>
  <c r="D530" i="2" s="1"/>
  <c r="E530" i="2" s="1"/>
  <c r="F530" i="2" s="1"/>
  <c r="G530" i="2" s="1"/>
  <c r="C423" i="2"/>
  <c r="D423" i="2" s="1"/>
  <c r="E423" i="2" s="1"/>
  <c r="F423" i="2" s="1"/>
  <c r="G423" i="2" s="1"/>
  <c r="C256" i="2"/>
  <c r="D256" i="2" s="1"/>
  <c r="E256" i="2" s="1"/>
  <c r="F256" i="2" s="1"/>
  <c r="G256" i="2" s="1"/>
  <c r="C341" i="2"/>
  <c r="D341" i="2" s="1"/>
  <c r="E341" i="2" s="1"/>
  <c r="F341" i="2" s="1"/>
  <c r="G341" i="2" s="1"/>
  <c r="C105" i="2"/>
  <c r="D105" i="2" s="1"/>
  <c r="E105" i="2" s="1"/>
  <c r="F105" i="2" s="1"/>
  <c r="G105" i="2" s="1"/>
  <c r="C417" i="2"/>
  <c r="D417" i="2" s="1"/>
  <c r="E417" i="2" s="1"/>
  <c r="F417" i="2" s="1"/>
  <c r="G417" i="2" s="1"/>
  <c r="C754" i="2"/>
  <c r="D754" i="2" s="1"/>
  <c r="E754" i="2" s="1"/>
  <c r="F754" i="2" s="1"/>
  <c r="G754" i="2" s="1"/>
  <c r="C691" i="2"/>
  <c r="D691" i="2" s="1"/>
  <c r="E691" i="2" s="1"/>
  <c r="F691" i="2" s="1"/>
  <c r="G691" i="2" s="1"/>
  <c r="C502" i="2"/>
  <c r="D502" i="2" s="1"/>
  <c r="E502" i="2" s="1"/>
  <c r="F502" i="2" s="1"/>
  <c r="G502" i="2" s="1"/>
  <c r="C280" i="2"/>
  <c r="D280" i="2" s="1"/>
  <c r="E280" i="2" s="1"/>
  <c r="F280" i="2" s="1"/>
  <c r="G280" i="2" s="1"/>
  <c r="C392" i="2"/>
  <c r="D392" i="2" s="1"/>
  <c r="E392" i="2" s="1"/>
  <c r="F392" i="2" s="1"/>
  <c r="G392" i="2" s="1"/>
  <c r="C541" i="2"/>
  <c r="D541" i="2" s="1"/>
  <c r="E541" i="2" s="1"/>
  <c r="F541" i="2" s="1"/>
  <c r="G541" i="2" s="1"/>
  <c r="C613" i="2"/>
  <c r="D613" i="2" s="1"/>
  <c r="E613" i="2" s="1"/>
  <c r="F613" i="2" s="1"/>
  <c r="G613" i="2" s="1"/>
  <c r="C111" i="2"/>
  <c r="D111" i="2" s="1"/>
  <c r="E111" i="2" s="1"/>
  <c r="F111" i="2" s="1"/>
  <c r="G111" i="2" s="1"/>
  <c r="C13" i="2"/>
  <c r="D13" i="2" s="1"/>
  <c r="E13" i="2" s="1"/>
  <c r="F13" i="2" s="1"/>
  <c r="G13" i="2" s="1"/>
  <c r="C635" i="2"/>
  <c r="D635" i="2" s="1"/>
  <c r="E635" i="2" s="1"/>
  <c r="F635" i="2" s="1"/>
  <c r="G635" i="2" s="1"/>
  <c r="C582" i="2"/>
  <c r="D582" i="2" s="1"/>
  <c r="E582" i="2" s="1"/>
  <c r="F582" i="2" s="1"/>
  <c r="G582" i="2" s="1"/>
  <c r="C755" i="2"/>
  <c r="D755" i="2" s="1"/>
  <c r="E755" i="2" s="1"/>
  <c r="F755" i="2" s="1"/>
  <c r="G755" i="2" s="1"/>
  <c r="C756" i="2"/>
  <c r="D756" i="2" s="1"/>
  <c r="E756" i="2" s="1"/>
  <c r="F756" i="2" s="1"/>
  <c r="G756" i="2" s="1"/>
  <c r="C318" i="2"/>
  <c r="D318" i="2" s="1"/>
  <c r="E318" i="2" s="1"/>
  <c r="F318" i="2" s="1"/>
  <c r="G318" i="2" s="1"/>
  <c r="C757" i="2"/>
  <c r="D757" i="2" s="1"/>
  <c r="E757" i="2" s="1"/>
  <c r="F757" i="2" s="1"/>
  <c r="G757" i="2" s="1"/>
  <c r="C612" i="2"/>
  <c r="D612" i="2" s="1"/>
  <c r="E612" i="2" s="1"/>
  <c r="F612" i="2" s="1"/>
  <c r="G612" i="2" s="1"/>
  <c r="C758" i="2"/>
  <c r="D758" i="2" s="1"/>
  <c r="E758" i="2" s="1"/>
  <c r="F758" i="2" s="1"/>
  <c r="G758" i="2" s="1"/>
  <c r="C369" i="2"/>
  <c r="D369" i="2" s="1"/>
  <c r="E369" i="2" s="1"/>
  <c r="F369" i="2" s="1"/>
  <c r="G369" i="2" s="1"/>
  <c r="C759" i="2"/>
  <c r="D759" i="2" s="1"/>
  <c r="E759" i="2" s="1"/>
  <c r="F759" i="2" s="1"/>
  <c r="G759" i="2" s="1"/>
  <c r="C760" i="2"/>
  <c r="D760" i="2" s="1"/>
  <c r="E760" i="2" s="1"/>
  <c r="F760" i="2" s="1"/>
  <c r="G760" i="2" s="1"/>
  <c r="C222" i="2"/>
  <c r="D222" i="2" s="1"/>
  <c r="E222" i="2" s="1"/>
  <c r="F222" i="2" s="1"/>
  <c r="G222" i="2" s="1"/>
  <c r="C680" i="2"/>
  <c r="D680" i="2" s="1"/>
  <c r="E680" i="2" s="1"/>
  <c r="F680" i="2" s="1"/>
  <c r="G680" i="2" s="1"/>
  <c r="C88" i="2"/>
  <c r="D88" i="2" s="1"/>
  <c r="E88" i="2" s="1"/>
  <c r="F88" i="2" s="1"/>
  <c r="G88" i="2" s="1"/>
  <c r="C761" i="2"/>
  <c r="D761" i="2" s="1"/>
  <c r="E761" i="2" s="1"/>
  <c r="F761" i="2" s="1"/>
  <c r="G761" i="2" s="1"/>
  <c r="C412" i="2"/>
  <c r="D412" i="2" s="1"/>
  <c r="E412" i="2" s="1"/>
  <c r="F412" i="2" s="1"/>
  <c r="G412" i="2" s="1"/>
  <c r="C26" i="2"/>
  <c r="D26" i="2" s="1"/>
  <c r="E26" i="2" s="1"/>
  <c r="F26" i="2" s="1"/>
  <c r="G26" i="2" s="1"/>
  <c r="C668" i="2"/>
  <c r="D668" i="2" s="1"/>
  <c r="E668" i="2" s="1"/>
  <c r="F668" i="2" s="1"/>
  <c r="G668" i="2" s="1"/>
  <c r="C331" i="2"/>
  <c r="D331" i="2" s="1"/>
  <c r="E331" i="2" s="1"/>
  <c r="F331" i="2" s="1"/>
  <c r="G331" i="2" s="1"/>
  <c r="C597" i="2"/>
  <c r="D597" i="2" s="1"/>
  <c r="E597" i="2" s="1"/>
  <c r="F597" i="2" s="1"/>
  <c r="G597" i="2" s="1"/>
  <c r="C82" i="2"/>
  <c r="D82" i="2" s="1"/>
  <c r="E82" i="2" s="1"/>
  <c r="F82" i="2" s="1"/>
  <c r="G82" i="2" s="1"/>
  <c r="C625" i="2"/>
  <c r="D625" i="2" s="1"/>
  <c r="E625" i="2" s="1"/>
  <c r="F625" i="2" s="1"/>
  <c r="G625" i="2" s="1"/>
  <c r="C622" i="2"/>
  <c r="D622" i="2" s="1"/>
  <c r="E622" i="2" s="1"/>
  <c r="F622" i="2" s="1"/>
  <c r="G622" i="2" s="1"/>
  <c r="C441" i="2"/>
  <c r="D441" i="2" s="1"/>
  <c r="E441" i="2" s="1"/>
  <c r="F441" i="2" s="1"/>
  <c r="G441" i="2" s="1"/>
  <c r="C306" i="2"/>
  <c r="D306" i="2" s="1"/>
  <c r="E306" i="2" s="1"/>
  <c r="F306" i="2" s="1"/>
  <c r="G306" i="2" s="1"/>
  <c r="C352" i="2"/>
  <c r="D352" i="2" s="1"/>
  <c r="E352" i="2" s="1"/>
  <c r="F352" i="2" s="1"/>
  <c r="G352" i="2" s="1"/>
  <c r="C568" i="2"/>
  <c r="D568" i="2" s="1"/>
  <c r="E568" i="2" s="1"/>
  <c r="F568" i="2" s="1"/>
  <c r="G568" i="2" s="1"/>
  <c r="C762" i="2"/>
  <c r="D762" i="2" s="1"/>
  <c r="E762" i="2" s="1"/>
  <c r="F762" i="2" s="1"/>
  <c r="G762" i="2" s="1"/>
  <c r="C244" i="2"/>
  <c r="D244" i="2" s="1"/>
  <c r="E244" i="2" s="1"/>
  <c r="F244" i="2" s="1"/>
  <c r="G244" i="2" s="1"/>
  <c r="C485" i="2"/>
  <c r="D485" i="2" s="1"/>
  <c r="E485" i="2" s="1"/>
  <c r="F485" i="2" s="1"/>
  <c r="G485" i="2" s="1"/>
  <c r="C376" i="2"/>
  <c r="D376" i="2" s="1"/>
  <c r="E376" i="2" s="1"/>
  <c r="F376" i="2" s="1"/>
  <c r="G376" i="2" s="1"/>
  <c r="C459" i="2"/>
  <c r="D459" i="2" s="1"/>
  <c r="E459" i="2" s="1"/>
  <c r="F459" i="2" s="1"/>
  <c r="G459" i="2" s="1"/>
  <c r="C561" i="2"/>
  <c r="D561" i="2" s="1"/>
  <c r="E561" i="2" s="1"/>
  <c r="F561" i="2" s="1"/>
  <c r="G561" i="2" s="1"/>
  <c r="C511" i="2"/>
  <c r="D511" i="2" s="1"/>
  <c r="E511" i="2" s="1"/>
  <c r="F511" i="2" s="1"/>
  <c r="G511" i="2" s="1"/>
  <c r="C408" i="2"/>
  <c r="D408" i="2" s="1"/>
  <c r="E408" i="2" s="1"/>
  <c r="F408" i="2" s="1"/>
  <c r="G408" i="2" s="1"/>
  <c r="C464" i="2"/>
  <c r="D464" i="2" s="1"/>
  <c r="E464" i="2" s="1"/>
  <c r="F464" i="2" s="1"/>
  <c r="G464" i="2" s="1"/>
  <c r="C469" i="2"/>
  <c r="D469" i="2" s="1"/>
  <c r="E469" i="2" s="1"/>
  <c r="F469" i="2" s="1"/>
  <c r="G469" i="2" s="1"/>
  <c r="C763" i="2"/>
  <c r="D763" i="2" s="1"/>
  <c r="E763" i="2" s="1"/>
  <c r="F763" i="2" s="1"/>
  <c r="G763" i="2" s="1"/>
  <c r="C284" i="2"/>
  <c r="D284" i="2" s="1"/>
  <c r="E284" i="2" s="1"/>
  <c r="F284" i="2" s="1"/>
  <c r="G284" i="2" s="1"/>
  <c r="C377" i="2"/>
  <c r="D377" i="2" s="1"/>
  <c r="E377" i="2" s="1"/>
  <c r="F377" i="2" s="1"/>
  <c r="G377" i="2" s="1"/>
  <c r="C345" i="2"/>
  <c r="D345" i="2" s="1"/>
  <c r="E345" i="2" s="1"/>
  <c r="F345" i="2" s="1"/>
  <c r="G345" i="2" s="1"/>
  <c r="C491" i="2"/>
  <c r="D491" i="2" s="1"/>
  <c r="E491" i="2" s="1"/>
  <c r="F491" i="2" s="1"/>
  <c r="G491" i="2" s="1"/>
  <c r="C467" i="2"/>
  <c r="D467" i="2" s="1"/>
  <c r="E467" i="2" s="1"/>
  <c r="F467" i="2" s="1"/>
  <c r="G467" i="2" s="1"/>
  <c r="C764" i="2"/>
  <c r="D764" i="2" s="1"/>
  <c r="E764" i="2" s="1"/>
  <c r="F764" i="2" s="1"/>
  <c r="G764" i="2" s="1"/>
  <c r="C422" i="2"/>
  <c r="D422" i="2" s="1"/>
  <c r="E422" i="2" s="1"/>
  <c r="F422" i="2" s="1"/>
  <c r="G422" i="2" s="1"/>
  <c r="C706" i="2"/>
  <c r="D706" i="2" s="1"/>
  <c r="E706" i="2" s="1"/>
  <c r="F706" i="2" s="1"/>
  <c r="G706" i="2" s="1"/>
  <c r="C466" i="2"/>
  <c r="D466" i="2" s="1"/>
  <c r="E466" i="2" s="1"/>
  <c r="F466" i="2" s="1"/>
  <c r="G466" i="2" s="1"/>
  <c r="C110" i="2"/>
  <c r="D110" i="2" s="1"/>
  <c r="E110" i="2" s="1"/>
  <c r="F110" i="2" s="1"/>
  <c r="G110" i="2" s="1"/>
  <c r="C524" i="2"/>
  <c r="D524" i="2" s="1"/>
  <c r="E524" i="2" s="1"/>
  <c r="F524" i="2" s="1"/>
  <c r="G524" i="2" s="1"/>
  <c r="C440" i="2"/>
  <c r="D440" i="2" s="1"/>
  <c r="E440" i="2" s="1"/>
  <c r="F440" i="2" s="1"/>
  <c r="G440" i="2" s="1"/>
  <c r="C605" i="2"/>
  <c r="D605" i="2" s="1"/>
  <c r="E605" i="2" s="1"/>
  <c r="F605" i="2" s="1"/>
  <c r="G605" i="2" s="1"/>
  <c r="C686" i="2"/>
  <c r="D686" i="2" s="1"/>
  <c r="E686" i="2" s="1"/>
  <c r="F686" i="2" s="1"/>
  <c r="G686" i="2" s="1"/>
  <c r="C322" i="2"/>
  <c r="D322" i="2" s="1"/>
  <c r="E322" i="2" s="1"/>
  <c r="F322" i="2" s="1"/>
  <c r="G322" i="2" s="1"/>
  <c r="C465" i="2"/>
  <c r="D465" i="2" s="1"/>
  <c r="E465" i="2" s="1"/>
  <c r="F465" i="2" s="1"/>
  <c r="G465" i="2" s="1"/>
  <c r="C538" i="2"/>
  <c r="D538" i="2" s="1"/>
  <c r="E538" i="2" s="1"/>
  <c r="F538" i="2" s="1"/>
  <c r="G538" i="2" s="1"/>
  <c r="C435" i="2"/>
  <c r="D435" i="2" s="1"/>
  <c r="E435" i="2" s="1"/>
  <c r="F435" i="2" s="1"/>
  <c r="G435" i="2" s="1"/>
  <c r="C574" i="2"/>
  <c r="D574" i="2" s="1"/>
  <c r="E574" i="2" s="1"/>
  <c r="F574" i="2" s="1"/>
  <c r="G574" i="2" s="1"/>
  <c r="C25" i="2"/>
  <c r="D25" i="2" s="1"/>
  <c r="E25" i="2" s="1"/>
  <c r="F25" i="2" s="1"/>
  <c r="G25" i="2" s="1"/>
  <c r="C438" i="2"/>
  <c r="D438" i="2" s="1"/>
  <c r="E438" i="2" s="1"/>
  <c r="F438" i="2" s="1"/>
  <c r="G438" i="2" s="1"/>
  <c r="C709" i="2"/>
  <c r="D709" i="2" s="1"/>
  <c r="E709" i="2" s="1"/>
  <c r="F709" i="2" s="1"/>
  <c r="G709" i="2" s="1"/>
  <c r="C190" i="2"/>
  <c r="D190" i="2" s="1"/>
  <c r="E190" i="2" s="1"/>
  <c r="F190" i="2" s="1"/>
  <c r="G190" i="2" s="1"/>
  <c r="C672" i="2"/>
  <c r="D672" i="2" s="1"/>
  <c r="E672" i="2" s="1"/>
  <c r="F672" i="2" s="1"/>
  <c r="G672" i="2" s="1"/>
  <c r="C698" i="2"/>
  <c r="D698" i="2" s="1"/>
  <c r="E698" i="2" s="1"/>
  <c r="F698" i="2" s="1"/>
  <c r="G698" i="2" s="1"/>
  <c r="C674" i="2"/>
  <c r="D674" i="2" s="1"/>
  <c r="E674" i="2" s="1"/>
  <c r="F674" i="2" s="1"/>
  <c r="G674" i="2" s="1"/>
  <c r="C678" i="2"/>
  <c r="D678" i="2" s="1"/>
  <c r="E678" i="2" s="1"/>
  <c r="F678" i="2" s="1"/>
  <c r="G678" i="2" s="1"/>
  <c r="C708" i="2"/>
  <c r="D708" i="2" s="1"/>
  <c r="E708" i="2" s="1"/>
  <c r="F708" i="2" s="1"/>
  <c r="G708" i="2" s="1"/>
  <c r="C397" i="2"/>
  <c r="D397" i="2" s="1"/>
  <c r="E397" i="2" s="1"/>
  <c r="F397" i="2" s="1"/>
  <c r="G397" i="2" s="1"/>
  <c r="C218" i="2"/>
  <c r="D218" i="2" s="1"/>
  <c r="E218" i="2" s="1"/>
  <c r="F218" i="2" s="1"/>
  <c r="G218" i="2" s="1"/>
  <c r="C380" i="2"/>
  <c r="D380" i="2" s="1"/>
  <c r="E380" i="2" s="1"/>
  <c r="F380" i="2" s="1"/>
  <c r="G380" i="2" s="1"/>
  <c r="C683" i="2"/>
  <c r="D683" i="2" s="1"/>
  <c r="E683" i="2" s="1"/>
  <c r="F683" i="2" s="1"/>
  <c r="G683" i="2" s="1"/>
  <c r="C765" i="2"/>
  <c r="D765" i="2" s="1"/>
  <c r="E765" i="2" s="1"/>
  <c r="F765" i="2" s="1"/>
  <c r="G765" i="2" s="1"/>
  <c r="C329" i="2"/>
  <c r="D329" i="2" s="1"/>
  <c r="E329" i="2" s="1"/>
  <c r="F329" i="2" s="1"/>
  <c r="G329" i="2" s="1"/>
  <c r="C387" i="2"/>
  <c r="D387" i="2" s="1"/>
  <c r="E387" i="2" s="1"/>
  <c r="F387" i="2" s="1"/>
  <c r="G387" i="2" s="1"/>
  <c r="C766" i="2"/>
  <c r="D766" i="2" s="1"/>
  <c r="E766" i="2" s="1"/>
  <c r="F766" i="2" s="1"/>
  <c r="G766" i="2" s="1"/>
  <c r="C767" i="2"/>
  <c r="D767" i="2" s="1"/>
  <c r="E767" i="2" s="1"/>
  <c r="F767" i="2" s="1"/>
  <c r="G767" i="2" s="1"/>
  <c r="C158" i="2"/>
  <c r="D158" i="2" s="1"/>
  <c r="E158" i="2" s="1"/>
  <c r="F158" i="2" s="1"/>
  <c r="G158" i="2" s="1"/>
  <c r="C630" i="2"/>
  <c r="D630" i="2" s="1"/>
  <c r="E630" i="2" s="1"/>
  <c r="F630" i="2" s="1"/>
  <c r="G630" i="2" s="1"/>
  <c r="C638" i="2"/>
  <c r="D638" i="2" s="1"/>
  <c r="E638" i="2" s="1"/>
  <c r="F638" i="2" s="1"/>
  <c r="G638" i="2" s="1"/>
  <c r="C384" i="2"/>
  <c r="D384" i="2" s="1"/>
  <c r="E384" i="2" s="1"/>
  <c r="F384" i="2" s="1"/>
  <c r="G384" i="2" s="1"/>
  <c r="C90" i="2"/>
  <c r="D90" i="2" s="1"/>
  <c r="E90" i="2" s="1"/>
  <c r="F90" i="2" s="1"/>
  <c r="G90" i="2" s="1"/>
  <c r="C528" i="2"/>
  <c r="D528" i="2" s="1"/>
  <c r="E528" i="2" s="1"/>
  <c r="F528" i="2" s="1"/>
  <c r="G528" i="2" s="1"/>
  <c r="C653" i="2"/>
  <c r="D653" i="2" s="1"/>
  <c r="E653" i="2" s="1"/>
  <c r="F653" i="2" s="1"/>
  <c r="G653" i="2" s="1"/>
  <c r="C649" i="2"/>
  <c r="D649" i="2" s="1"/>
  <c r="E649" i="2" s="1"/>
  <c r="F649" i="2" s="1"/>
  <c r="G649" i="2" s="1"/>
  <c r="C611" i="2"/>
  <c r="D611" i="2" s="1"/>
  <c r="E611" i="2" s="1"/>
  <c r="F611" i="2" s="1"/>
  <c r="G611" i="2" s="1"/>
  <c r="C357" i="2"/>
  <c r="D357" i="2" s="1"/>
  <c r="E357" i="2" s="1"/>
  <c r="F357" i="2" s="1"/>
  <c r="G357" i="2" s="1"/>
  <c r="C587" i="2"/>
  <c r="D587" i="2" s="1"/>
  <c r="E587" i="2" s="1"/>
  <c r="F587" i="2" s="1"/>
  <c r="G587" i="2" s="1"/>
  <c r="C63" i="2"/>
  <c r="D63" i="2" s="1"/>
  <c r="E63" i="2" s="1"/>
  <c r="F63" i="2" s="1"/>
  <c r="G63" i="2" s="1"/>
  <c r="C71" i="2"/>
  <c r="D71" i="2" s="1"/>
  <c r="E71" i="2" s="1"/>
  <c r="F71" i="2" s="1"/>
  <c r="G71" i="2" s="1"/>
  <c r="C493" i="2"/>
  <c r="D493" i="2" s="1"/>
  <c r="E493" i="2" s="1"/>
  <c r="F493" i="2" s="1"/>
  <c r="G493" i="2" s="1"/>
  <c r="C697" i="2"/>
  <c r="D697" i="2" s="1"/>
  <c r="E697" i="2" s="1"/>
  <c r="F697" i="2" s="1"/>
  <c r="G697" i="2" s="1"/>
  <c r="C572" i="2"/>
  <c r="D572" i="2" s="1"/>
  <c r="E572" i="2" s="1"/>
  <c r="F572" i="2" s="1"/>
  <c r="G572" i="2" s="1"/>
  <c r="C768" i="2"/>
  <c r="D768" i="2" s="1"/>
  <c r="E768" i="2" s="1"/>
  <c r="F768" i="2" s="1"/>
  <c r="G768" i="2" s="1"/>
  <c r="C626" i="2"/>
  <c r="D626" i="2" s="1"/>
  <c r="E626" i="2" s="1"/>
  <c r="F626" i="2" s="1"/>
  <c r="G626" i="2" s="1"/>
  <c r="C106" i="2"/>
  <c r="D106" i="2" s="1"/>
  <c r="E106" i="2" s="1"/>
  <c r="F106" i="2" s="1"/>
  <c r="G106" i="2" s="1"/>
  <c r="C434" i="2"/>
  <c r="D434" i="2" s="1"/>
  <c r="E434" i="2" s="1"/>
  <c r="F434" i="2" s="1"/>
  <c r="G434" i="2" s="1"/>
  <c r="C314" i="2"/>
  <c r="D314" i="2" s="1"/>
  <c r="E314" i="2" s="1"/>
  <c r="F314" i="2" s="1"/>
  <c r="G314" i="2" s="1"/>
  <c r="C263" i="2"/>
  <c r="D263" i="2" s="1"/>
  <c r="E263" i="2" s="1"/>
  <c r="F263" i="2" s="1"/>
  <c r="G263" i="2" s="1"/>
  <c r="C537" i="2"/>
  <c r="D537" i="2" s="1"/>
  <c r="E537" i="2" s="1"/>
  <c r="F537" i="2" s="1"/>
  <c r="G537" i="2" s="1"/>
  <c r="C769" i="2"/>
  <c r="D769" i="2" s="1"/>
  <c r="E769" i="2" s="1"/>
  <c r="F769" i="2" s="1"/>
  <c r="G769" i="2" s="1"/>
  <c r="C313" i="2"/>
  <c r="D313" i="2" s="1"/>
  <c r="E313" i="2" s="1"/>
  <c r="F313" i="2" s="1"/>
  <c r="G313" i="2" s="1"/>
  <c r="C326" i="2"/>
  <c r="D326" i="2" s="1"/>
  <c r="E326" i="2" s="1"/>
  <c r="F326" i="2" s="1"/>
  <c r="G326" i="2" s="1"/>
  <c r="C154" i="2"/>
  <c r="D154" i="2" s="1"/>
  <c r="E154" i="2" s="1"/>
  <c r="F154" i="2" s="1"/>
  <c r="G154" i="2" s="1"/>
  <c r="C378" i="2"/>
  <c r="D378" i="2" s="1"/>
  <c r="E378" i="2" s="1"/>
  <c r="F378" i="2" s="1"/>
  <c r="G378" i="2" s="1"/>
  <c r="C437" i="2"/>
  <c r="D437" i="2" s="1"/>
  <c r="E437" i="2" s="1"/>
  <c r="F437" i="2" s="1"/>
  <c r="G437" i="2" s="1"/>
  <c r="C569" i="2"/>
  <c r="D569" i="2" s="1"/>
  <c r="E569" i="2" s="1"/>
  <c r="F569" i="2" s="1"/>
  <c r="G569" i="2" s="1"/>
  <c r="C707" i="2"/>
  <c r="D707" i="2" s="1"/>
  <c r="E707" i="2" s="1"/>
  <c r="F707" i="2" s="1"/>
  <c r="G707" i="2" s="1"/>
  <c r="C770" i="2"/>
  <c r="D770" i="2" s="1"/>
  <c r="E770" i="2" s="1"/>
  <c r="F770" i="2" s="1"/>
  <c r="G770" i="2" s="1"/>
  <c r="C771" i="2"/>
  <c r="D771" i="2" s="1"/>
  <c r="E771" i="2" s="1"/>
  <c r="F771" i="2" s="1"/>
  <c r="G771" i="2" s="1"/>
  <c r="C239" i="2"/>
  <c r="D239" i="2" s="1"/>
  <c r="E239" i="2" s="1"/>
  <c r="F239" i="2" s="1"/>
  <c r="G239" i="2" s="1"/>
  <c r="C175" i="2"/>
  <c r="D175" i="2" s="1"/>
  <c r="E175" i="2" s="1"/>
  <c r="F175" i="2" s="1"/>
  <c r="G175" i="2" s="1"/>
  <c r="C703" i="2"/>
  <c r="D703" i="2" s="1"/>
  <c r="E703" i="2" s="1"/>
  <c r="F703" i="2" s="1"/>
  <c r="G703" i="2" s="1"/>
  <c r="C552" i="2"/>
  <c r="D552" i="2" s="1"/>
  <c r="E552" i="2" s="1"/>
  <c r="F552" i="2" s="1"/>
  <c r="G552" i="2" s="1"/>
  <c r="C149" i="2"/>
  <c r="D149" i="2" s="1"/>
  <c r="E149" i="2" s="1"/>
  <c r="F149" i="2" s="1"/>
  <c r="G149" i="2" s="1"/>
  <c r="C424" i="2"/>
  <c r="D424" i="2" s="1"/>
  <c r="E424" i="2" s="1"/>
  <c r="F424" i="2" s="1"/>
  <c r="G424" i="2" s="1"/>
  <c r="C442" i="2"/>
  <c r="D442" i="2" s="1"/>
  <c r="E442" i="2" s="1"/>
  <c r="F442" i="2" s="1"/>
  <c r="G442" i="2" s="1"/>
  <c r="C363" i="2"/>
  <c r="D363" i="2" s="1"/>
  <c r="E363" i="2" s="1"/>
  <c r="F363" i="2" s="1"/>
  <c r="G363" i="2" s="1"/>
  <c r="C372" i="2"/>
  <c r="D372" i="2" s="1"/>
  <c r="E372" i="2" s="1"/>
  <c r="F372" i="2" s="1"/>
  <c r="G372" i="2" s="1"/>
  <c r="C295" i="2"/>
  <c r="D295" i="2" s="1"/>
  <c r="E295" i="2" s="1"/>
  <c r="F295" i="2" s="1"/>
  <c r="G295" i="2" s="1"/>
  <c r="C596" i="2"/>
  <c r="D596" i="2" s="1"/>
  <c r="E596" i="2" s="1"/>
  <c r="F596" i="2" s="1"/>
  <c r="G596" i="2" s="1"/>
  <c r="C174" i="2"/>
  <c r="D174" i="2" s="1"/>
  <c r="E174" i="2" s="1"/>
  <c r="F174" i="2" s="1"/>
  <c r="G174" i="2" s="1"/>
  <c r="C772" i="2"/>
  <c r="D772" i="2" s="1"/>
  <c r="E772" i="2" s="1"/>
  <c r="F772" i="2" s="1"/>
  <c r="G772" i="2" s="1"/>
  <c r="C332" i="2"/>
  <c r="D332" i="2" s="1"/>
  <c r="E332" i="2" s="1"/>
  <c r="F332" i="2" s="1"/>
  <c r="G332" i="2" s="1"/>
  <c r="C773" i="2"/>
  <c r="D773" i="2" s="1"/>
  <c r="E773" i="2" s="1"/>
  <c r="F773" i="2" s="1"/>
  <c r="G773" i="2" s="1"/>
  <c r="C471" i="2"/>
  <c r="D471" i="2" s="1"/>
  <c r="E471" i="2" s="1"/>
  <c r="F471" i="2" s="1"/>
  <c r="G471" i="2" s="1"/>
  <c r="C446" i="2"/>
  <c r="D446" i="2" s="1"/>
  <c r="E446" i="2" s="1"/>
  <c r="F446" i="2" s="1"/>
  <c r="G446" i="2" s="1"/>
  <c r="C553" i="2"/>
  <c r="D553" i="2" s="1"/>
  <c r="E553" i="2" s="1"/>
  <c r="F553" i="2" s="1"/>
  <c r="G553" i="2" s="1"/>
  <c r="C564" i="2"/>
  <c r="D564" i="2" s="1"/>
  <c r="E564" i="2" s="1"/>
  <c r="F564" i="2" s="1"/>
  <c r="G564" i="2" s="1"/>
  <c r="C94" i="2"/>
  <c r="D94" i="2" s="1"/>
  <c r="E94" i="2" s="1"/>
  <c r="F94" i="2" s="1"/>
  <c r="G94" i="2" s="1"/>
  <c r="C656" i="2"/>
  <c r="D656" i="2" s="1"/>
  <c r="E656" i="2" s="1"/>
  <c r="F656" i="2" s="1"/>
  <c r="G656" i="2" s="1"/>
  <c r="C588" i="2"/>
  <c r="D588" i="2" s="1"/>
  <c r="E588" i="2" s="1"/>
  <c r="F588" i="2" s="1"/>
  <c r="G588" i="2" s="1"/>
  <c r="C324" i="2"/>
  <c r="D324" i="2" s="1"/>
  <c r="E324" i="2" s="1"/>
  <c r="F324" i="2" s="1"/>
  <c r="G324" i="2" s="1"/>
  <c r="C458" i="2"/>
  <c r="D458" i="2" s="1"/>
  <c r="E458" i="2" s="1"/>
  <c r="F458" i="2" s="1"/>
  <c r="G458" i="2" s="1"/>
  <c r="C5" i="2"/>
  <c r="D5" i="2" s="1"/>
  <c r="E5" i="2" s="1"/>
  <c r="F5" i="2" s="1"/>
  <c r="G5" i="2" s="1"/>
  <c r="C566" i="2"/>
  <c r="D566" i="2" s="1"/>
  <c r="E566" i="2" s="1"/>
  <c r="F566" i="2" s="1"/>
  <c r="G566" i="2" s="1"/>
  <c r="C226" i="2"/>
  <c r="D226" i="2" s="1"/>
  <c r="E226" i="2" s="1"/>
  <c r="F226" i="2" s="1"/>
  <c r="G226" i="2" s="1"/>
  <c r="C658" i="2"/>
  <c r="D658" i="2" s="1"/>
  <c r="E658" i="2" s="1"/>
  <c r="F658" i="2" s="1"/>
  <c r="G658" i="2" s="1"/>
  <c r="C600" i="2"/>
  <c r="D600" i="2" s="1"/>
  <c r="E600" i="2" s="1"/>
  <c r="F600" i="2" s="1"/>
  <c r="G600" i="2" s="1"/>
  <c r="C603" i="2"/>
  <c r="D603" i="2" s="1"/>
  <c r="E603" i="2" s="1"/>
  <c r="F603" i="2" s="1"/>
  <c r="G603" i="2" s="1"/>
  <c r="C449" i="2"/>
  <c r="D449" i="2" s="1"/>
  <c r="E449" i="2" s="1"/>
  <c r="F449" i="2" s="1"/>
  <c r="G449" i="2" s="1"/>
  <c r="C517" i="2"/>
  <c r="D517" i="2" s="1"/>
  <c r="E517" i="2" s="1"/>
  <c r="F517" i="2" s="1"/>
  <c r="G517" i="2" s="1"/>
  <c r="C405" i="2"/>
  <c r="D405" i="2" s="1"/>
  <c r="E405" i="2" s="1"/>
  <c r="F405" i="2" s="1"/>
  <c r="G405" i="2" s="1"/>
  <c r="C616" i="2"/>
  <c r="D616" i="2" s="1"/>
  <c r="E616" i="2" s="1"/>
  <c r="F616" i="2" s="1"/>
  <c r="G616" i="2" s="1"/>
  <c r="C659" i="2"/>
  <c r="D659" i="2" s="1"/>
  <c r="E659" i="2" s="1"/>
  <c r="F659" i="2" s="1"/>
  <c r="G659" i="2" s="1"/>
  <c r="C172" i="2"/>
  <c r="D172" i="2" s="1"/>
  <c r="E172" i="2" s="1"/>
  <c r="F172" i="2" s="1"/>
  <c r="G172" i="2" s="1"/>
  <c r="C520" i="2"/>
  <c r="D520" i="2" s="1"/>
  <c r="E520" i="2" s="1"/>
  <c r="F520" i="2" s="1"/>
  <c r="G520" i="2" s="1"/>
  <c r="C333" i="2"/>
  <c r="D333" i="2" s="1"/>
  <c r="E333" i="2" s="1"/>
  <c r="F333" i="2" s="1"/>
  <c r="G333" i="2" s="1"/>
  <c r="C394" i="2"/>
  <c r="D394" i="2" s="1"/>
  <c r="E394" i="2" s="1"/>
  <c r="F394" i="2" s="1"/>
  <c r="G394" i="2" s="1"/>
  <c r="C433" i="2"/>
  <c r="D433" i="2" s="1"/>
  <c r="E433" i="2" s="1"/>
  <c r="F433" i="2" s="1"/>
  <c r="G433" i="2" s="1"/>
  <c r="C539" i="2"/>
  <c r="D539" i="2" s="1"/>
  <c r="E539" i="2" s="1"/>
  <c r="F539" i="2" s="1"/>
  <c r="G539" i="2" s="1"/>
  <c r="C473" i="2"/>
  <c r="D473" i="2" s="1"/>
  <c r="E473" i="2" s="1"/>
  <c r="F473" i="2" s="1"/>
  <c r="G473" i="2" s="1"/>
  <c r="C598" i="2"/>
  <c r="D598" i="2" s="1"/>
  <c r="E598" i="2" s="1"/>
  <c r="F598" i="2" s="1"/>
  <c r="G598" i="2" s="1"/>
  <c r="C401" i="2"/>
  <c r="D401" i="2" s="1"/>
  <c r="E401" i="2" s="1"/>
  <c r="F401" i="2" s="1"/>
  <c r="G401" i="2" s="1"/>
  <c r="C286" i="2"/>
  <c r="D286" i="2" s="1"/>
  <c r="E286" i="2" s="1"/>
  <c r="F286" i="2" s="1"/>
  <c r="G286" i="2" s="1"/>
  <c r="C439" i="2"/>
  <c r="D439" i="2" s="1"/>
  <c r="E439" i="2" s="1"/>
  <c r="F439" i="2" s="1"/>
  <c r="G439" i="2" s="1"/>
  <c r="C665" i="2"/>
  <c r="D665" i="2" s="1"/>
  <c r="E665" i="2" s="1"/>
  <c r="F665" i="2" s="1"/>
  <c r="G665" i="2" s="1"/>
  <c r="C398" i="2"/>
  <c r="D398" i="2" s="1"/>
  <c r="E398" i="2" s="1"/>
  <c r="F398" i="2" s="1"/>
  <c r="G398" i="2" s="1"/>
  <c r="C774" i="2"/>
  <c r="D774" i="2" s="1"/>
  <c r="E774" i="2" s="1"/>
  <c r="F774" i="2" s="1"/>
  <c r="G774" i="2" s="1"/>
  <c r="C510" i="2"/>
  <c r="D510" i="2" s="1"/>
  <c r="E510" i="2" s="1"/>
  <c r="F510" i="2" s="1"/>
  <c r="G510" i="2" s="1"/>
  <c r="C232" i="2"/>
  <c r="D232" i="2" s="1"/>
  <c r="E232" i="2" s="1"/>
  <c r="F232" i="2" s="1"/>
  <c r="G232" i="2" s="1"/>
  <c r="C550" i="2"/>
  <c r="D550" i="2" s="1"/>
  <c r="E550" i="2" s="1"/>
  <c r="F550" i="2" s="1"/>
  <c r="G550" i="2" s="1"/>
  <c r="C193" i="2"/>
  <c r="D193" i="2" s="1"/>
  <c r="E193" i="2" s="1"/>
  <c r="F193" i="2" s="1"/>
  <c r="G193" i="2" s="1"/>
  <c r="C775" i="2"/>
  <c r="D775" i="2" s="1"/>
  <c r="E775" i="2" s="1"/>
  <c r="F775" i="2" s="1"/>
  <c r="G775" i="2" s="1"/>
  <c r="C455" i="2"/>
  <c r="D455" i="2" s="1"/>
  <c r="E455" i="2" s="1"/>
  <c r="F455" i="2" s="1"/>
  <c r="G455" i="2" s="1"/>
  <c r="C340" i="2"/>
  <c r="D340" i="2" s="1"/>
  <c r="E340" i="2" s="1"/>
  <c r="F340" i="2" s="1"/>
  <c r="G340" i="2" s="1"/>
  <c r="C382" i="2"/>
  <c r="D382" i="2" s="1"/>
  <c r="E382" i="2" s="1"/>
  <c r="F382" i="2" s="1"/>
  <c r="G382" i="2" s="1"/>
  <c r="C555" i="2"/>
  <c r="D555" i="2" s="1"/>
  <c r="E555" i="2" s="1"/>
  <c r="F555" i="2" s="1"/>
  <c r="G555" i="2" s="1"/>
  <c r="C560" i="2"/>
  <c r="D560" i="2" s="1"/>
  <c r="E560" i="2" s="1"/>
  <c r="F560" i="2" s="1"/>
  <c r="G560" i="2" s="1"/>
  <c r="C652" i="2"/>
  <c r="D652" i="2" s="1"/>
  <c r="E652" i="2" s="1"/>
  <c r="F652" i="2" s="1"/>
  <c r="G652" i="2" s="1"/>
  <c r="C776" i="2"/>
  <c r="D776" i="2" s="1"/>
  <c r="E776" i="2" s="1"/>
  <c r="F776" i="2" s="1"/>
  <c r="G776" i="2" s="1"/>
  <c r="C671" i="2"/>
  <c r="D671" i="2" s="1"/>
  <c r="E671" i="2" s="1"/>
  <c r="F671" i="2" s="1"/>
  <c r="G671" i="2" s="1"/>
  <c r="C547" i="2"/>
  <c r="D547" i="2" s="1"/>
  <c r="E547" i="2" s="1"/>
  <c r="F547" i="2" s="1"/>
  <c r="G547" i="2" s="1"/>
  <c r="C644" i="2"/>
  <c r="D644" i="2" s="1"/>
  <c r="E644" i="2" s="1"/>
  <c r="F644" i="2" s="1"/>
  <c r="G644" i="2" s="1"/>
  <c r="C447" i="2"/>
  <c r="D447" i="2" s="1"/>
  <c r="E447" i="2" s="1"/>
  <c r="F447" i="2" s="1"/>
  <c r="G447" i="2" s="1"/>
  <c r="C72" i="2"/>
  <c r="D72" i="2" s="1"/>
  <c r="E72" i="2" s="1"/>
  <c r="F72" i="2" s="1"/>
  <c r="G72" i="2" s="1"/>
  <c r="C414" i="2"/>
  <c r="D414" i="2" s="1"/>
  <c r="E414" i="2" s="1"/>
  <c r="F414" i="2" s="1"/>
  <c r="G414" i="2" s="1"/>
  <c r="C777" i="2"/>
  <c r="D777" i="2" s="1"/>
  <c r="E777" i="2" s="1"/>
  <c r="F777" i="2" s="1"/>
  <c r="G777" i="2" s="1"/>
  <c r="C700" i="2"/>
  <c r="D700" i="2" s="1"/>
  <c r="E700" i="2" s="1"/>
  <c r="F700" i="2" s="1"/>
  <c r="G700" i="2" s="1"/>
  <c r="C478" i="2"/>
  <c r="D478" i="2" s="1"/>
  <c r="E478" i="2" s="1"/>
  <c r="F478" i="2" s="1"/>
  <c r="G478" i="2" s="1"/>
  <c r="C257" i="2"/>
  <c r="D257" i="2" s="1"/>
  <c r="E257" i="2" s="1"/>
  <c r="F257" i="2" s="1"/>
  <c r="G257" i="2" s="1"/>
  <c r="C159" i="2"/>
  <c r="D159" i="2" s="1"/>
  <c r="E159" i="2" s="1"/>
  <c r="F159" i="2" s="1"/>
  <c r="G159" i="2" s="1"/>
  <c r="C436" i="2"/>
  <c r="D436" i="2" s="1"/>
  <c r="E436" i="2" s="1"/>
  <c r="F436" i="2" s="1"/>
  <c r="G436" i="2" s="1"/>
  <c r="C407" i="2"/>
  <c r="D407" i="2" s="1"/>
  <c r="E407" i="2" s="1"/>
  <c r="F407" i="2" s="1"/>
  <c r="G407" i="2" s="1"/>
  <c r="C259" i="2"/>
  <c r="D259" i="2" s="1"/>
  <c r="E259" i="2" s="1"/>
  <c r="F259" i="2" s="1"/>
  <c r="G259" i="2" s="1"/>
  <c r="C428" i="2"/>
  <c r="D428" i="2" s="1"/>
  <c r="E428" i="2" s="1"/>
  <c r="F428" i="2" s="1"/>
  <c r="G428" i="2" s="1"/>
  <c r="C607" i="2"/>
  <c r="D607" i="2" s="1"/>
  <c r="E607" i="2" s="1"/>
  <c r="F607" i="2" s="1"/>
  <c r="G607" i="2" s="1"/>
  <c r="C637" i="2"/>
  <c r="D637" i="2" s="1"/>
  <c r="E637" i="2" s="1"/>
  <c r="F637" i="2" s="1"/>
  <c r="G637" i="2" s="1"/>
  <c r="C15" i="2"/>
  <c r="D15" i="2" s="1"/>
  <c r="E15" i="2" s="1"/>
  <c r="F15" i="2" s="1"/>
  <c r="G15" i="2" s="1"/>
  <c r="C498" i="2"/>
  <c r="D498" i="2" s="1"/>
  <c r="E498" i="2" s="1"/>
  <c r="F498" i="2" s="1"/>
  <c r="G498" i="2" s="1"/>
  <c r="C778" i="2"/>
  <c r="D778" i="2" s="1"/>
  <c r="E778" i="2" s="1"/>
  <c r="F778" i="2" s="1"/>
  <c r="G778" i="2" s="1"/>
  <c r="C160" i="2"/>
  <c r="D160" i="2" s="1"/>
  <c r="E160" i="2" s="1"/>
  <c r="F160" i="2" s="1"/>
  <c r="G160" i="2" s="1"/>
  <c r="C192" i="2"/>
  <c r="D192" i="2" s="1"/>
  <c r="E192" i="2" s="1"/>
  <c r="F192" i="2" s="1"/>
  <c r="G192" i="2" s="1"/>
  <c r="C562" i="2"/>
  <c r="D562" i="2" s="1"/>
  <c r="E562" i="2" s="1"/>
  <c r="F562" i="2" s="1"/>
  <c r="G562" i="2" s="1"/>
  <c r="C688" i="2"/>
  <c r="D688" i="2" s="1"/>
  <c r="E688" i="2" s="1"/>
  <c r="F688" i="2" s="1"/>
  <c r="G688" i="2" s="1"/>
  <c r="C632" i="2"/>
  <c r="D632" i="2" s="1"/>
  <c r="E632" i="2" s="1"/>
  <c r="F632" i="2" s="1"/>
  <c r="G632" i="2" s="1"/>
  <c r="C430" i="2"/>
  <c r="D430" i="2" s="1"/>
  <c r="E430" i="2" s="1"/>
  <c r="F430" i="2" s="1"/>
  <c r="G430" i="2" s="1"/>
  <c r="C585" i="2"/>
  <c r="D585" i="2" s="1"/>
  <c r="E585" i="2" s="1"/>
  <c r="F585" i="2" s="1"/>
  <c r="G585" i="2" s="1"/>
  <c r="C323" i="2"/>
  <c r="D323" i="2" s="1"/>
  <c r="E323" i="2" s="1"/>
  <c r="F323" i="2" s="1"/>
  <c r="G323" i="2" s="1"/>
  <c r="C445" i="2"/>
  <c r="D445" i="2" s="1"/>
  <c r="E445" i="2" s="1"/>
  <c r="F445" i="2" s="1"/>
  <c r="G445" i="2" s="1"/>
  <c r="C629" i="2"/>
  <c r="D629" i="2" s="1"/>
  <c r="E629" i="2" s="1"/>
  <c r="F629" i="2" s="1"/>
  <c r="G629" i="2" s="1"/>
  <c r="C633" i="2"/>
  <c r="D633" i="2" s="1"/>
  <c r="E633" i="2" s="1"/>
  <c r="F633" i="2" s="1"/>
  <c r="G633" i="2" s="1"/>
  <c r="C779" i="2"/>
  <c r="D779" i="2" s="1"/>
  <c r="E779" i="2" s="1"/>
  <c r="F779" i="2" s="1"/>
  <c r="G779" i="2" s="1"/>
  <c r="C330" i="2"/>
  <c r="D330" i="2" s="1"/>
  <c r="E330" i="2" s="1"/>
  <c r="F330" i="2" s="1"/>
  <c r="G330" i="2" s="1"/>
  <c r="C579" i="2"/>
  <c r="D579" i="2" s="1"/>
  <c r="E579" i="2" s="1"/>
  <c r="F579" i="2" s="1"/>
  <c r="G579" i="2" s="1"/>
  <c r="C366" i="2"/>
  <c r="D366" i="2" s="1"/>
  <c r="E366" i="2" s="1"/>
  <c r="F366" i="2" s="1"/>
  <c r="G366" i="2" s="1"/>
  <c r="C315" i="2"/>
  <c r="D315" i="2" s="1"/>
  <c r="E315" i="2" s="1"/>
  <c r="F315" i="2" s="1"/>
  <c r="G315" i="2" s="1"/>
  <c r="C661" i="2"/>
  <c r="D661" i="2" s="1"/>
  <c r="E661" i="2" s="1"/>
  <c r="F661" i="2" s="1"/>
  <c r="G661" i="2" s="1"/>
  <c r="C636" i="2"/>
  <c r="D636" i="2" s="1"/>
  <c r="E636" i="2" s="1"/>
  <c r="F636" i="2" s="1"/>
  <c r="G636" i="2" s="1"/>
  <c r="C250" i="2"/>
  <c r="D250" i="2" s="1"/>
  <c r="E250" i="2" s="1"/>
  <c r="F250" i="2" s="1"/>
  <c r="G250" i="2" s="1"/>
  <c r="C684" i="2"/>
  <c r="D684" i="2" s="1"/>
  <c r="E684" i="2" s="1"/>
  <c r="F684" i="2" s="1"/>
  <c r="G684" i="2" s="1"/>
  <c r="C780" i="2"/>
  <c r="D780" i="2" s="1"/>
  <c r="E780" i="2" s="1"/>
  <c r="F780" i="2" s="1"/>
  <c r="G780" i="2" s="1"/>
  <c r="C304" i="2"/>
  <c r="D304" i="2" s="1"/>
  <c r="E304" i="2" s="1"/>
  <c r="F304" i="2" s="1"/>
  <c r="G304" i="2" s="1"/>
  <c r="C710" i="2"/>
  <c r="D710" i="2" s="1"/>
  <c r="E710" i="2" s="1"/>
  <c r="F710" i="2" s="1"/>
  <c r="G710" i="2" s="1"/>
  <c r="C623" i="2"/>
  <c r="D623" i="2" s="1"/>
  <c r="E623" i="2" s="1"/>
  <c r="F623" i="2" s="1"/>
  <c r="G623" i="2" s="1"/>
  <c r="C604" i="2"/>
  <c r="D604" i="2" s="1"/>
  <c r="E604" i="2" s="1"/>
  <c r="F604" i="2" s="1"/>
  <c r="G604" i="2" s="1"/>
  <c r="C781" i="2"/>
  <c r="D781" i="2" s="1"/>
  <c r="E781" i="2" s="1"/>
  <c r="F781" i="2" s="1"/>
  <c r="G781" i="2" s="1"/>
  <c r="C782" i="2"/>
  <c r="D782" i="2" s="1"/>
  <c r="E782" i="2" s="1"/>
  <c r="F782" i="2" s="1"/>
  <c r="G782" i="2" s="1"/>
  <c r="C146" i="2"/>
  <c r="D146" i="2" s="1"/>
  <c r="E146" i="2" s="1"/>
  <c r="F146" i="2" s="1"/>
  <c r="G146" i="2" s="1"/>
  <c r="C543" i="2"/>
  <c r="D543" i="2" s="1"/>
  <c r="E543" i="2" s="1"/>
  <c r="F543" i="2" s="1"/>
  <c r="G543" i="2" s="1"/>
  <c r="C783" i="2"/>
  <c r="D783" i="2" s="1"/>
  <c r="E783" i="2" s="1"/>
  <c r="F783" i="2" s="1"/>
  <c r="G783" i="2" s="1"/>
  <c r="C344" i="2"/>
  <c r="D344" i="2" s="1"/>
  <c r="E344" i="2" s="1"/>
  <c r="F344" i="2" s="1"/>
  <c r="G344" i="2" s="1"/>
  <c r="C453" i="2"/>
  <c r="D453" i="2" s="1"/>
  <c r="E453" i="2" s="1"/>
  <c r="F453" i="2" s="1"/>
  <c r="G453" i="2" s="1"/>
  <c r="C620" i="2"/>
  <c r="D620" i="2" s="1"/>
  <c r="E620" i="2" s="1"/>
  <c r="F620" i="2" s="1"/>
  <c r="G620" i="2" s="1"/>
  <c r="C628" i="2"/>
  <c r="D628" i="2" s="1"/>
  <c r="E628" i="2" s="1"/>
  <c r="F628" i="2" s="1"/>
  <c r="G628" i="2" s="1"/>
  <c r="C429" i="2"/>
  <c r="D429" i="2" s="1"/>
  <c r="E429" i="2" s="1"/>
  <c r="F429" i="2" s="1"/>
  <c r="G429" i="2" s="1"/>
  <c r="C288" i="2"/>
  <c r="D288" i="2" s="1"/>
  <c r="E288" i="2" s="1"/>
  <c r="F288" i="2" s="1"/>
  <c r="G288" i="2" s="1"/>
  <c r="C276" i="2"/>
  <c r="D276" i="2" s="1"/>
  <c r="E276" i="2" s="1"/>
  <c r="F276" i="2" s="1"/>
  <c r="G276" i="2" s="1"/>
  <c r="C227" i="2"/>
  <c r="D227" i="2" s="1"/>
  <c r="E227" i="2" s="1"/>
  <c r="F227" i="2" s="1"/>
  <c r="G227" i="2" s="1"/>
  <c r="C138" i="2"/>
  <c r="D138" i="2" s="1"/>
  <c r="E138" i="2" s="1"/>
  <c r="F138" i="2" s="1"/>
  <c r="G138" i="2" s="1"/>
  <c r="C581" i="2"/>
  <c r="D581" i="2" s="1"/>
  <c r="E581" i="2" s="1"/>
  <c r="F581" i="2" s="1"/>
  <c r="G581" i="2" s="1"/>
  <c r="C240" i="2"/>
  <c r="D240" i="2" s="1"/>
  <c r="E240" i="2" s="1"/>
  <c r="F240" i="2" s="1"/>
  <c r="G240" i="2" s="1"/>
  <c r="C660" i="2"/>
  <c r="D660" i="2" s="1"/>
  <c r="E660" i="2" s="1"/>
  <c r="F660" i="2" s="1"/>
  <c r="G660" i="2" s="1"/>
  <c r="C784" i="2"/>
  <c r="D784" i="2" s="1"/>
  <c r="E784" i="2" s="1"/>
  <c r="F784" i="2" s="1"/>
  <c r="G784" i="2" s="1"/>
  <c r="C590" i="2"/>
  <c r="D590" i="2" s="1"/>
  <c r="E590" i="2" s="1"/>
  <c r="F590" i="2" s="1"/>
  <c r="G590" i="2" s="1"/>
  <c r="C676" i="2"/>
  <c r="D676" i="2" s="1"/>
  <c r="E676" i="2" s="1"/>
  <c r="F676" i="2" s="1"/>
  <c r="G676" i="2" s="1"/>
  <c r="C196" i="2"/>
  <c r="D196" i="2" s="1"/>
  <c r="E196" i="2" s="1"/>
  <c r="F196" i="2" s="1"/>
  <c r="G196" i="2" s="1"/>
  <c r="C399" i="2"/>
  <c r="D399" i="2" s="1"/>
  <c r="E399" i="2" s="1"/>
  <c r="F399" i="2" s="1"/>
  <c r="G399" i="2" s="1"/>
  <c r="C785" i="2"/>
  <c r="D785" i="2" s="1"/>
  <c r="E785" i="2" s="1"/>
  <c r="F785" i="2" s="1"/>
  <c r="G785" i="2" s="1"/>
  <c r="C127" i="2"/>
  <c r="D127" i="2" s="1"/>
  <c r="E127" i="2" s="1"/>
  <c r="F127" i="2" s="1"/>
  <c r="G127" i="2" s="1"/>
  <c r="C786" i="2"/>
  <c r="D786" i="2" s="1"/>
  <c r="E786" i="2" s="1"/>
  <c r="F786" i="2" s="1"/>
  <c r="G786" i="2" s="1"/>
  <c r="C24" i="2"/>
  <c r="D24" i="2" s="1"/>
  <c r="E24" i="2" s="1"/>
  <c r="F24" i="2" s="1"/>
  <c r="G24" i="2" s="1"/>
  <c r="C558" i="2"/>
  <c r="D558" i="2" s="1"/>
  <c r="E558" i="2" s="1"/>
  <c r="F558" i="2" s="1"/>
  <c r="G558" i="2" s="1"/>
  <c r="C787" i="2"/>
  <c r="D787" i="2" s="1"/>
  <c r="E787" i="2" s="1"/>
  <c r="F787" i="2" s="1"/>
  <c r="G787" i="2" s="1"/>
  <c r="C663" i="2"/>
  <c r="D663" i="2" s="1"/>
  <c r="E663" i="2" s="1"/>
  <c r="F663" i="2" s="1"/>
  <c r="G663" i="2" s="1"/>
  <c r="C171" i="2"/>
  <c r="D171" i="2" s="1"/>
  <c r="E171" i="2" s="1"/>
  <c r="F171" i="2" s="1"/>
  <c r="G171" i="2" s="1"/>
  <c r="C521" i="2"/>
  <c r="D521" i="2" s="1"/>
  <c r="E521" i="2" s="1"/>
  <c r="F521" i="2" s="1"/>
  <c r="G521" i="2" s="1"/>
  <c r="C788" i="2"/>
  <c r="D788" i="2" s="1"/>
  <c r="E788" i="2" s="1"/>
  <c r="F788" i="2" s="1"/>
  <c r="G788" i="2" s="1"/>
  <c r="C199" i="2"/>
  <c r="D199" i="2" s="1"/>
  <c r="E199" i="2" s="1"/>
  <c r="F199" i="2" s="1"/>
  <c r="G199" i="2" s="1"/>
  <c r="C789" i="2"/>
  <c r="D789" i="2" s="1"/>
  <c r="E789" i="2" s="1"/>
  <c r="F789" i="2" s="1"/>
  <c r="G789" i="2" s="1"/>
  <c r="C359" i="2"/>
  <c r="D359" i="2" s="1"/>
  <c r="E359" i="2" s="1"/>
  <c r="F359" i="2" s="1"/>
  <c r="G359" i="2" s="1"/>
  <c r="C285" i="2"/>
  <c r="D285" i="2" s="1"/>
  <c r="E285" i="2" s="1"/>
  <c r="F285" i="2" s="1"/>
  <c r="G285" i="2" s="1"/>
  <c r="C514" i="2"/>
  <c r="D514" i="2" s="1"/>
  <c r="E514" i="2" s="1"/>
  <c r="F514" i="2" s="1"/>
  <c r="G514" i="2" s="1"/>
  <c r="C462" i="2"/>
  <c r="D462" i="2" s="1"/>
  <c r="E462" i="2" s="1"/>
  <c r="F462" i="2" s="1"/>
  <c r="G462" i="2" s="1"/>
  <c r="C448" i="2"/>
  <c r="D448" i="2" s="1"/>
  <c r="E448" i="2" s="1"/>
  <c r="F448" i="2" s="1"/>
  <c r="G448" i="2" s="1"/>
  <c r="C790" i="2"/>
  <c r="D790" i="2" s="1"/>
  <c r="E790" i="2" s="1"/>
  <c r="F790" i="2" s="1"/>
  <c r="G790" i="2" s="1"/>
  <c r="C694" i="2"/>
  <c r="D694" i="2" s="1"/>
  <c r="E694" i="2" s="1"/>
  <c r="F694" i="2" s="1"/>
  <c r="G694" i="2" s="1"/>
  <c r="C497" i="2"/>
  <c r="D497" i="2" s="1"/>
  <c r="E497" i="2" s="1"/>
  <c r="F497" i="2" s="1"/>
  <c r="G497" i="2" s="1"/>
  <c r="C791" i="2"/>
  <c r="D791" i="2" s="1"/>
  <c r="E791" i="2" s="1"/>
  <c r="F791" i="2" s="1"/>
  <c r="G791" i="2" s="1"/>
  <c r="C264" i="2"/>
  <c r="D264" i="2" s="1"/>
  <c r="E264" i="2" s="1"/>
  <c r="F264" i="2" s="1"/>
  <c r="G264" i="2" s="1"/>
  <c r="C615" i="2"/>
  <c r="D615" i="2" s="1"/>
  <c r="E615" i="2" s="1"/>
  <c r="F615" i="2" s="1"/>
  <c r="G615" i="2" s="1"/>
  <c r="C402" i="2"/>
  <c r="D402" i="2" s="1"/>
  <c r="E402" i="2" s="1"/>
  <c r="F402" i="2" s="1"/>
  <c r="G402" i="2" s="1"/>
  <c r="C338" i="2"/>
  <c r="D338" i="2" s="1"/>
  <c r="E338" i="2" s="1"/>
  <c r="F338" i="2" s="1"/>
  <c r="G338" i="2" s="1"/>
  <c r="C551" i="2"/>
  <c r="D551" i="2" s="1"/>
  <c r="E551" i="2" s="1"/>
  <c r="F551" i="2" s="1"/>
  <c r="G551" i="2" s="1"/>
  <c r="C500" i="2"/>
  <c r="D500" i="2" s="1"/>
  <c r="E500" i="2" s="1"/>
  <c r="F500" i="2" s="1"/>
  <c r="G500" i="2" s="1"/>
  <c r="C792" i="2"/>
  <c r="D792" i="2" s="1"/>
  <c r="E792" i="2" s="1"/>
  <c r="F792" i="2" s="1"/>
  <c r="G792" i="2" s="1"/>
  <c r="C696" i="2"/>
  <c r="D696" i="2" s="1"/>
  <c r="E696" i="2" s="1"/>
  <c r="F696" i="2" s="1"/>
  <c r="G696" i="2" s="1"/>
  <c r="C406" i="2"/>
  <c r="D406" i="2" s="1"/>
  <c r="E406" i="2" s="1"/>
  <c r="F406" i="2" s="1"/>
  <c r="G406" i="2" s="1"/>
  <c r="C793" i="2"/>
  <c r="D793" i="2" s="1"/>
  <c r="E793" i="2" s="1"/>
  <c r="F793" i="2" s="1"/>
  <c r="G793" i="2" s="1"/>
  <c r="C556" i="2"/>
  <c r="D556" i="2" s="1"/>
  <c r="E556" i="2" s="1"/>
  <c r="F556" i="2" s="1"/>
  <c r="G556" i="2" s="1"/>
  <c r="C230" i="2"/>
  <c r="D230" i="2" s="1"/>
  <c r="E230" i="2" s="1"/>
  <c r="F230" i="2" s="1"/>
  <c r="G230" i="2" s="1"/>
  <c r="C578" i="2"/>
  <c r="D578" i="2" s="1"/>
  <c r="E578" i="2" s="1"/>
  <c r="F578" i="2" s="1"/>
  <c r="G578" i="2" s="1"/>
  <c r="C403" i="2"/>
  <c r="D403" i="2" s="1"/>
  <c r="E403" i="2" s="1"/>
  <c r="F403" i="2" s="1"/>
  <c r="G403" i="2" s="1"/>
  <c r="C565" i="2"/>
  <c r="D565" i="2" s="1"/>
  <c r="E565" i="2" s="1"/>
  <c r="F565" i="2" s="1"/>
  <c r="G565" i="2" s="1"/>
  <c r="C540" i="2"/>
  <c r="D540" i="2" s="1"/>
  <c r="E540" i="2" s="1"/>
  <c r="F540" i="2" s="1"/>
  <c r="G540" i="2" s="1"/>
  <c r="C794" i="2"/>
  <c r="D794" i="2" s="1"/>
  <c r="E794" i="2" s="1"/>
  <c r="F794" i="2" s="1"/>
  <c r="G794" i="2" s="1"/>
  <c r="C651" i="2"/>
  <c r="D651" i="2" s="1"/>
  <c r="E651" i="2" s="1"/>
  <c r="F651" i="2" s="1"/>
  <c r="G651" i="2" s="1"/>
  <c r="C505" i="2"/>
  <c r="D505" i="2" s="1"/>
  <c r="E505" i="2" s="1"/>
  <c r="F505" i="2" s="1"/>
  <c r="G505" i="2" s="1"/>
  <c r="C695" i="2"/>
  <c r="D695" i="2" s="1"/>
  <c r="E695" i="2" s="1"/>
  <c r="F695" i="2" s="1"/>
  <c r="G695" i="2" s="1"/>
  <c r="C486" i="2"/>
  <c r="D486" i="2" s="1"/>
  <c r="E486" i="2" s="1"/>
  <c r="F486" i="2" s="1"/>
  <c r="G486" i="2" s="1"/>
  <c r="C416" i="2"/>
  <c r="D416" i="2" s="1"/>
  <c r="E416" i="2" s="1"/>
  <c r="F416" i="2" s="1"/>
  <c r="G416" i="2" s="1"/>
  <c r="C219" i="2"/>
  <c r="D219" i="2" s="1"/>
  <c r="E219" i="2" s="1"/>
  <c r="F219" i="2" s="1"/>
  <c r="G219" i="2" s="1"/>
  <c r="C675" i="2"/>
  <c r="D675" i="2" s="1"/>
  <c r="E675" i="2" s="1"/>
  <c r="F675" i="2" s="1"/>
  <c r="G675" i="2" s="1"/>
  <c r="C795" i="2"/>
  <c r="D795" i="2" s="1"/>
  <c r="E795" i="2" s="1"/>
  <c r="F795" i="2" s="1"/>
  <c r="G795" i="2" s="1"/>
  <c r="C374" i="2"/>
  <c r="D374" i="2" s="1"/>
  <c r="E374" i="2" s="1"/>
  <c r="F374" i="2" s="1"/>
  <c r="G374" i="2" s="1"/>
  <c r="C699" i="2"/>
  <c r="D699" i="2" s="1"/>
  <c r="E699" i="2" s="1"/>
  <c r="F699" i="2" s="1"/>
  <c r="G699" i="2" s="1"/>
  <c r="C327" i="2"/>
  <c r="D327" i="2" s="1"/>
  <c r="E327" i="2" s="1"/>
  <c r="F327" i="2" s="1"/>
  <c r="G327" i="2" s="1"/>
  <c r="C601" i="2"/>
  <c r="D601" i="2" s="1"/>
  <c r="E601" i="2" s="1"/>
  <c r="F601" i="2" s="1"/>
  <c r="G601" i="2" s="1"/>
  <c r="C796" i="2"/>
  <c r="D796" i="2" s="1"/>
  <c r="E796" i="2" s="1"/>
  <c r="F796" i="2" s="1"/>
  <c r="G796" i="2" s="1"/>
  <c r="C83" i="2"/>
  <c r="D83" i="2" s="1"/>
  <c r="E83" i="2" s="1"/>
  <c r="F83" i="2" s="1"/>
  <c r="G83" i="2" s="1"/>
  <c r="C669" i="2"/>
  <c r="D669" i="2" s="1"/>
  <c r="E669" i="2" s="1"/>
  <c r="F669" i="2" s="1"/>
  <c r="G669" i="2" s="1"/>
  <c r="C503" i="2"/>
  <c r="D503" i="2" s="1"/>
  <c r="E503" i="2" s="1"/>
  <c r="F503" i="2" s="1"/>
  <c r="G503" i="2" s="1"/>
  <c r="C61" i="2"/>
  <c r="D61" i="2" s="1"/>
  <c r="E61" i="2" s="1"/>
  <c r="F61" i="2" s="1"/>
  <c r="G61" i="2" s="1"/>
  <c r="C545" i="2"/>
  <c r="D545" i="2" s="1"/>
  <c r="E545" i="2" s="1"/>
  <c r="F545" i="2" s="1"/>
  <c r="G545" i="2" s="1"/>
  <c r="C50" i="2"/>
  <c r="D50" i="2" s="1"/>
  <c r="E50" i="2" s="1"/>
  <c r="F50" i="2" s="1"/>
  <c r="G50" i="2" s="1"/>
  <c r="C389" i="2"/>
  <c r="D389" i="2" s="1"/>
  <c r="E389" i="2" s="1"/>
  <c r="F389" i="2" s="1"/>
  <c r="G389" i="2" s="1"/>
  <c r="C701" i="2"/>
  <c r="D701" i="2" s="1"/>
  <c r="E701" i="2" s="1"/>
  <c r="F701" i="2" s="1"/>
  <c r="G701" i="2" s="1"/>
  <c r="C559" i="2"/>
  <c r="D559" i="2" s="1"/>
  <c r="E559" i="2" s="1"/>
  <c r="F559" i="2" s="1"/>
  <c r="G559" i="2" s="1"/>
  <c r="C40" i="2"/>
  <c r="D40" i="2" s="1"/>
  <c r="E40" i="2" s="1"/>
  <c r="F40" i="2" s="1"/>
  <c r="G40" i="2" s="1"/>
  <c r="C529" i="2"/>
  <c r="D529" i="2" s="1"/>
  <c r="E529" i="2" s="1"/>
  <c r="F529" i="2" s="1"/>
  <c r="G529" i="2" s="1"/>
  <c r="C194" i="2"/>
  <c r="D194" i="2" s="1"/>
  <c r="E194" i="2" s="1"/>
  <c r="F194" i="2" s="1"/>
  <c r="G194" i="2" s="1"/>
  <c r="C277" i="2"/>
  <c r="D277" i="2" s="1"/>
  <c r="E277" i="2" s="1"/>
  <c r="F277" i="2" s="1"/>
  <c r="G277" i="2" s="1"/>
  <c r="C797" i="2"/>
  <c r="D797" i="2" s="1"/>
  <c r="E797" i="2" s="1"/>
  <c r="F797" i="2" s="1"/>
  <c r="G797" i="2" s="1"/>
  <c r="C254" i="2"/>
  <c r="D254" i="2" s="1"/>
  <c r="E254" i="2" s="1"/>
  <c r="F254" i="2" s="1"/>
  <c r="G254" i="2" s="1"/>
  <c r="C798" i="2"/>
  <c r="D798" i="2" s="1"/>
  <c r="E798" i="2" s="1"/>
  <c r="F798" i="2" s="1"/>
  <c r="G798" i="2" s="1"/>
  <c r="C368" i="2"/>
  <c r="D368" i="2" s="1"/>
  <c r="E368" i="2" s="1"/>
  <c r="F368" i="2" s="1"/>
  <c r="G368" i="2" s="1"/>
  <c r="C353" i="2"/>
  <c r="D353" i="2" s="1"/>
  <c r="E353" i="2" s="1"/>
  <c r="F353" i="2" s="1"/>
  <c r="G353" i="2" s="1"/>
  <c r="C594" i="2"/>
  <c r="D594" i="2" s="1"/>
  <c r="E594" i="2" s="1"/>
  <c r="F594" i="2" s="1"/>
  <c r="G594" i="2" s="1"/>
  <c r="C512" i="2"/>
  <c r="D512" i="2" s="1"/>
  <c r="E512" i="2" s="1"/>
  <c r="F512" i="2" s="1"/>
  <c r="G512" i="2" s="1"/>
  <c r="C526" i="2"/>
  <c r="D526" i="2" s="1"/>
  <c r="E526" i="2" s="1"/>
  <c r="F526" i="2" s="1"/>
  <c r="G526" i="2" s="1"/>
  <c r="C664" i="2"/>
  <c r="D664" i="2" s="1"/>
  <c r="E664" i="2" s="1"/>
  <c r="F664" i="2" s="1"/>
  <c r="G664" i="2" s="1"/>
  <c r="C180" i="2"/>
  <c r="D180" i="2" s="1"/>
  <c r="E180" i="2" s="1"/>
  <c r="F180" i="2" s="1"/>
  <c r="G180" i="2" s="1"/>
  <c r="C252" i="2"/>
  <c r="D252" i="2" s="1"/>
  <c r="E252" i="2" s="1"/>
  <c r="F252" i="2" s="1"/>
  <c r="G252" i="2" s="1"/>
  <c r="C643" i="2"/>
  <c r="D643" i="2" s="1"/>
  <c r="E643" i="2" s="1"/>
  <c r="F643" i="2" s="1"/>
  <c r="G643" i="2" s="1"/>
  <c r="C614" i="2"/>
  <c r="D614" i="2" s="1"/>
  <c r="E614" i="2" s="1"/>
  <c r="F614" i="2" s="1"/>
  <c r="G614" i="2" s="1"/>
  <c r="C586" i="2"/>
  <c r="D586" i="2" s="1"/>
  <c r="E586" i="2" s="1"/>
  <c r="F586" i="2" s="1"/>
  <c r="G586" i="2" s="1"/>
  <c r="C799" i="2"/>
  <c r="D799" i="2" s="1"/>
  <c r="E799" i="2" s="1"/>
  <c r="F799" i="2" s="1"/>
  <c r="G799" i="2" s="1"/>
  <c r="C583" i="2"/>
  <c r="D583" i="2" s="1"/>
  <c r="E583" i="2" s="1"/>
  <c r="F583" i="2" s="1"/>
  <c r="G583" i="2" s="1"/>
  <c r="C75" i="2"/>
  <c r="D75" i="2" s="1"/>
  <c r="E75" i="2" s="1"/>
  <c r="F75" i="2" s="1"/>
  <c r="G75" i="2" s="1"/>
  <c r="C161" i="2"/>
  <c r="D161" i="2" s="1"/>
  <c r="E161" i="2" s="1"/>
  <c r="F161" i="2" s="1"/>
  <c r="G161" i="2" s="1"/>
  <c r="C577" i="2"/>
  <c r="D577" i="2" s="1"/>
  <c r="E577" i="2" s="1"/>
  <c r="F577" i="2" s="1"/>
  <c r="G577" i="2" s="1"/>
  <c r="C425" i="2"/>
  <c r="D425" i="2" s="1"/>
  <c r="E425" i="2" s="1"/>
  <c r="F425" i="2" s="1"/>
  <c r="G425" i="2" s="1"/>
  <c r="C513" i="2"/>
  <c r="D513" i="2" s="1"/>
  <c r="E513" i="2" s="1"/>
  <c r="F513" i="2" s="1"/>
  <c r="G513" i="2" s="1"/>
  <c r="C655" i="2"/>
  <c r="D655" i="2" s="1"/>
  <c r="E655" i="2" s="1"/>
  <c r="F655" i="2" s="1"/>
  <c r="G655" i="2" s="1"/>
  <c r="C593" i="2"/>
  <c r="D593" i="2" s="1"/>
  <c r="E593" i="2" s="1"/>
  <c r="F593" i="2" s="1"/>
  <c r="G593" i="2" s="1"/>
  <c r="C591" i="2"/>
  <c r="D591" i="2" s="1"/>
  <c r="E591" i="2" s="1"/>
  <c r="F591" i="2" s="1"/>
  <c r="G591" i="2" s="1"/>
  <c r="C461" i="2"/>
  <c r="D461" i="2" s="1"/>
  <c r="E461" i="2" s="1"/>
  <c r="F461" i="2" s="1"/>
  <c r="G461" i="2" s="1"/>
  <c r="C580" i="2"/>
  <c r="D580" i="2" s="1"/>
  <c r="E580" i="2" s="1"/>
  <c r="F580" i="2" s="1"/>
  <c r="G580" i="2" s="1"/>
  <c r="C420" i="2"/>
  <c r="D420" i="2" s="1"/>
  <c r="E420" i="2" s="1"/>
  <c r="F420" i="2" s="1"/>
  <c r="G420" i="2" s="1"/>
  <c r="C375" i="2"/>
  <c r="D375" i="2" s="1"/>
  <c r="E375" i="2" s="1"/>
  <c r="F375" i="2" s="1"/>
  <c r="G375" i="2" s="1"/>
  <c r="C584" i="2"/>
  <c r="D584" i="2" s="1"/>
  <c r="E584" i="2" s="1"/>
  <c r="F584" i="2" s="1"/>
  <c r="G584" i="2" s="1"/>
  <c r="C501" i="2"/>
  <c r="D501" i="2" s="1"/>
  <c r="E501" i="2" s="1"/>
  <c r="F501" i="2" s="1"/>
  <c r="G501" i="2" s="1"/>
  <c r="C489" i="2"/>
  <c r="D489" i="2" s="1"/>
  <c r="E489" i="2" s="1"/>
  <c r="F489" i="2" s="1"/>
  <c r="G489" i="2" s="1"/>
  <c r="C379" i="2"/>
  <c r="D379" i="2" s="1"/>
  <c r="E379" i="2" s="1"/>
  <c r="F379" i="2" s="1"/>
  <c r="G379" i="2" s="1"/>
  <c r="C617" i="2"/>
  <c r="D617" i="2" s="1"/>
  <c r="E617" i="2" s="1"/>
  <c r="F617" i="2" s="1"/>
  <c r="G617" i="2" s="1"/>
  <c r="C548" i="2"/>
  <c r="D548" i="2" s="1"/>
  <c r="E548" i="2" s="1"/>
  <c r="F548" i="2" s="1"/>
  <c r="G548" i="2" s="1"/>
  <c r="C451" i="2"/>
  <c r="D451" i="2" s="1"/>
  <c r="E451" i="2" s="1"/>
  <c r="F451" i="2" s="1"/>
  <c r="G451" i="2" s="1"/>
  <c r="C113" i="2"/>
  <c r="D113" i="2" s="1"/>
  <c r="E113" i="2" s="1"/>
  <c r="F113" i="2" s="1"/>
  <c r="G113" i="2" s="1"/>
  <c r="C542" i="2"/>
  <c r="D542" i="2" s="1"/>
  <c r="E542" i="2" s="1"/>
  <c r="F542" i="2" s="1"/>
  <c r="G542" i="2" s="1"/>
  <c r="C213" i="2"/>
  <c r="D213" i="2" s="1"/>
  <c r="E213" i="2" s="1"/>
  <c r="F213" i="2" s="1"/>
  <c r="G213" i="2" s="1"/>
  <c r="C390" i="2"/>
  <c r="D390" i="2" s="1"/>
  <c r="E390" i="2" s="1"/>
  <c r="F390" i="2" s="1"/>
  <c r="G390" i="2" s="1"/>
  <c r="C364" i="2"/>
  <c r="D364" i="2" s="1"/>
  <c r="E364" i="2" s="1"/>
  <c r="F364" i="2" s="1"/>
  <c r="G364" i="2" s="1"/>
  <c r="C468" i="2"/>
  <c r="D468" i="2" s="1"/>
  <c r="E468" i="2" s="1"/>
  <c r="F468" i="2" s="1"/>
  <c r="G468" i="2" s="1"/>
  <c r="C544" i="2"/>
  <c r="D544" i="2" s="1"/>
  <c r="E544" i="2" s="1"/>
  <c r="F544" i="2" s="1"/>
  <c r="G544" i="2" s="1"/>
  <c r="C411" i="2"/>
  <c r="D411" i="2" s="1"/>
  <c r="E411" i="2" s="1"/>
  <c r="F411" i="2" s="1"/>
  <c r="G411" i="2" s="1"/>
  <c r="C627" i="2"/>
  <c r="D627" i="2" s="1"/>
  <c r="E627" i="2" s="1"/>
  <c r="F627" i="2" s="1"/>
  <c r="G627" i="2" s="1"/>
  <c r="C692" i="2"/>
  <c r="D692" i="2" s="1"/>
  <c r="E692" i="2" s="1"/>
  <c r="F692" i="2" s="1"/>
  <c r="G692" i="2" s="1"/>
  <c r="C339" i="2"/>
  <c r="D339" i="2" s="1"/>
  <c r="E339" i="2" s="1"/>
  <c r="F339" i="2" s="1"/>
  <c r="G339" i="2" s="1"/>
  <c r="C495" i="2"/>
  <c r="D495" i="2" s="1"/>
  <c r="E495" i="2" s="1"/>
  <c r="F495" i="2" s="1"/>
  <c r="G495" i="2" s="1"/>
  <c r="C573" i="2"/>
  <c r="D573" i="2" s="1"/>
  <c r="E573" i="2" s="1"/>
  <c r="F573" i="2" s="1"/>
  <c r="G573" i="2" s="1"/>
  <c r="C325" i="2"/>
  <c r="D325" i="2" s="1"/>
  <c r="E325" i="2" s="1"/>
  <c r="F325" i="2" s="1"/>
  <c r="G325" i="2" s="1"/>
  <c r="C599" i="2"/>
  <c r="D599" i="2" s="1"/>
  <c r="E599" i="2" s="1"/>
  <c r="F599" i="2" s="1"/>
  <c r="G599" i="2" s="1"/>
  <c r="C120" i="2"/>
  <c r="D120" i="2" s="1"/>
  <c r="E120" i="2" s="1"/>
  <c r="F120" i="2" s="1"/>
  <c r="G120" i="2" s="1"/>
  <c r="C595" i="2"/>
  <c r="D595" i="2" s="1"/>
  <c r="E595" i="2" s="1"/>
  <c r="F595" i="2" s="1"/>
  <c r="G595" i="2" s="1"/>
  <c r="C2" i="2"/>
  <c r="D2" i="2" s="1"/>
  <c r="E2" i="2" s="1"/>
  <c r="F2" i="2" s="1"/>
  <c r="G2" i="2" s="1"/>
  <c r="C522" i="2"/>
  <c r="D522" i="2" s="1"/>
  <c r="E522" i="2" s="1"/>
  <c r="F522" i="2" s="1"/>
  <c r="G522" i="2" s="1"/>
  <c r="C290" i="2"/>
  <c r="D290" i="2" s="1"/>
  <c r="E290" i="2" s="1"/>
  <c r="F290" i="2" s="1"/>
  <c r="G290" i="2" s="1"/>
  <c r="C509" i="2"/>
  <c r="D509" i="2" s="1"/>
  <c r="E509" i="2" s="1"/>
  <c r="F509" i="2" s="1"/>
  <c r="G509" i="2" s="1"/>
  <c r="C685" i="2"/>
  <c r="D685" i="2" s="1"/>
  <c r="E685" i="2" s="1"/>
  <c r="F685" i="2" s="1"/>
  <c r="G685" i="2" s="1"/>
  <c r="C482" i="2"/>
  <c r="D482" i="2" s="1"/>
  <c r="E482" i="2" s="1"/>
  <c r="F482" i="2" s="1"/>
  <c r="G482" i="2" s="1"/>
  <c r="C349" i="2"/>
  <c r="D349" i="2" s="1"/>
  <c r="E349" i="2" s="1"/>
  <c r="F349" i="2" s="1"/>
  <c r="G349" i="2" s="1"/>
  <c r="C480" i="2"/>
  <c r="D480" i="2" s="1"/>
  <c r="E480" i="2" s="1"/>
  <c r="F480" i="2" s="1"/>
  <c r="G480" i="2" s="1"/>
  <c r="C618" i="2"/>
  <c r="D618" i="2" s="1"/>
  <c r="E618" i="2" s="1"/>
  <c r="F618" i="2" s="1"/>
  <c r="G618" i="2" s="1"/>
  <c r="C800" i="2"/>
  <c r="D800" i="2" s="1"/>
  <c r="E800" i="2" s="1"/>
  <c r="F800" i="2" s="1"/>
  <c r="G800" i="2" s="1"/>
  <c r="C679" i="2"/>
  <c r="D679" i="2" s="1"/>
  <c r="E679" i="2" s="1"/>
  <c r="F679" i="2" s="1"/>
  <c r="G679" i="2" s="1"/>
  <c r="C646" i="2"/>
  <c r="D646" i="2" s="1"/>
  <c r="E646" i="2" s="1"/>
  <c r="F646" i="2" s="1"/>
  <c r="G646" i="2" s="1"/>
  <c r="C483" i="2"/>
  <c r="D483" i="2" s="1"/>
  <c r="E483" i="2" s="1"/>
  <c r="F483" i="2" s="1"/>
  <c r="G483" i="2" s="1"/>
  <c r="C610" i="2"/>
  <c r="D610" i="2" s="1"/>
  <c r="E610" i="2" s="1"/>
  <c r="F610" i="2" s="1"/>
  <c r="G610" i="2" s="1"/>
  <c r="C388" i="2"/>
  <c r="D388" i="2" s="1"/>
  <c r="E388" i="2" s="1"/>
  <c r="F388" i="2" s="1"/>
  <c r="G388" i="2" s="1"/>
  <c r="C173" i="2"/>
  <c r="D173" i="2" s="1"/>
  <c r="E173" i="2" s="1"/>
  <c r="F173" i="2" s="1"/>
  <c r="G173" i="2" s="1"/>
  <c r="C642" i="2"/>
  <c r="D642" i="2" s="1"/>
  <c r="E642" i="2" s="1"/>
  <c r="F642" i="2" s="1"/>
  <c r="G642" i="2" s="1"/>
  <c r="C7" i="2"/>
  <c r="D7" i="2" s="1"/>
  <c r="E7" i="2" s="1"/>
  <c r="F7" i="2" s="1"/>
  <c r="G7" i="2" s="1"/>
  <c r="C673" i="2"/>
  <c r="D673" i="2" s="1"/>
  <c r="E673" i="2" s="1"/>
  <c r="F673" i="2" s="1"/>
  <c r="G673" i="2" s="1"/>
  <c r="C328" i="2"/>
  <c r="D328" i="2" s="1"/>
  <c r="E328" i="2" s="1"/>
  <c r="F328" i="2" s="1"/>
  <c r="G328" i="2" s="1"/>
  <c r="C383" i="2"/>
  <c r="D383" i="2" s="1"/>
  <c r="E383" i="2" s="1"/>
  <c r="F383" i="2" s="1"/>
  <c r="G383" i="2" s="1"/>
  <c r="C395" i="2"/>
  <c r="D395" i="2" s="1"/>
  <c r="E395" i="2" s="1"/>
  <c r="F395" i="2" s="1"/>
  <c r="G395" i="2" s="1"/>
  <c r="C426" i="2"/>
  <c r="D426" i="2" s="1"/>
  <c r="E426" i="2" s="1"/>
  <c r="F426" i="2" s="1"/>
  <c r="G426" i="2" s="1"/>
  <c r="C487" i="2"/>
  <c r="D487" i="2" s="1"/>
  <c r="E487" i="2" s="1"/>
  <c r="F487" i="2" s="1"/>
  <c r="G487" i="2" s="1"/>
  <c r="C506" i="2"/>
  <c r="D506" i="2" s="1"/>
  <c r="E506" i="2" s="1"/>
  <c r="F506" i="2" s="1"/>
  <c r="G506" i="2" s="1"/>
  <c r="C621" i="2"/>
  <c r="D621" i="2" s="1"/>
  <c r="E621" i="2" s="1"/>
  <c r="F621" i="2" s="1"/>
  <c r="G621" i="2" s="1"/>
  <c r="C477" i="2"/>
  <c r="D477" i="2" s="1"/>
  <c r="E477" i="2" s="1"/>
  <c r="F477" i="2" s="1"/>
  <c r="G477" i="2" s="1"/>
  <c r="C334" i="2"/>
  <c r="D334" i="2" s="1"/>
  <c r="E334" i="2" s="1"/>
  <c r="F334" i="2" s="1"/>
  <c r="G334" i="2" s="1"/>
  <c r="C508" i="2"/>
  <c r="D508" i="2" s="1"/>
  <c r="E508" i="2" s="1"/>
  <c r="F508" i="2" s="1"/>
  <c r="G508" i="2" s="1"/>
  <c r="C801" i="2"/>
  <c r="D801" i="2" s="1"/>
  <c r="E801" i="2" s="1"/>
  <c r="F801" i="2" s="1"/>
  <c r="G801" i="2" s="1"/>
  <c r="C802" i="2"/>
  <c r="D802" i="2" s="1"/>
  <c r="E802" i="2" s="1"/>
  <c r="F802" i="2" s="1"/>
  <c r="G802" i="2" s="1"/>
  <c r="C682" i="2"/>
  <c r="D682" i="2" s="1"/>
  <c r="E682" i="2" s="1"/>
  <c r="F682" i="2" s="1"/>
  <c r="G682" i="2" s="1"/>
  <c r="C499" i="2"/>
  <c r="D499" i="2" s="1"/>
  <c r="E499" i="2" s="1"/>
  <c r="F499" i="2" s="1"/>
  <c r="G499" i="2" s="1"/>
  <c r="C233" i="2"/>
  <c r="D233" i="2" s="1"/>
  <c r="E233" i="2" s="1"/>
  <c r="F233" i="2" s="1"/>
  <c r="G233" i="2" s="1"/>
  <c r="C531" i="2"/>
  <c r="D531" i="2" s="1"/>
  <c r="E531" i="2" s="1"/>
  <c r="F531" i="2" s="1"/>
  <c r="G531" i="2" s="1"/>
  <c r="C381" i="2"/>
  <c r="D381" i="2" s="1"/>
  <c r="E381" i="2" s="1"/>
  <c r="F381" i="2" s="1"/>
  <c r="G381" i="2" s="1"/>
  <c r="C803" i="2"/>
  <c r="D803" i="2" s="1"/>
  <c r="E803" i="2" s="1"/>
  <c r="F803" i="2" s="1"/>
  <c r="G803" i="2" s="1"/>
  <c r="C640" i="2"/>
  <c r="D640" i="2" s="1"/>
  <c r="E640" i="2" s="1"/>
  <c r="F640" i="2" s="1"/>
  <c r="G640" i="2" s="1"/>
  <c r="C693" i="2"/>
  <c r="D693" i="2" s="1"/>
  <c r="E693" i="2" s="1"/>
  <c r="F693" i="2" s="1"/>
  <c r="G693" i="2" s="1"/>
  <c r="C804" i="2"/>
  <c r="D804" i="2" s="1"/>
  <c r="E804" i="2" s="1"/>
  <c r="F804" i="2" s="1"/>
  <c r="G804" i="2" s="1"/>
  <c r="C221" i="2"/>
  <c r="D221" i="2" s="1"/>
  <c r="E221" i="2" s="1"/>
  <c r="F221" i="2" s="1"/>
  <c r="G221" i="2" s="1"/>
  <c r="C287" i="2"/>
  <c r="D287" i="2" s="1"/>
  <c r="E287" i="2" s="1"/>
  <c r="F287" i="2" s="1"/>
  <c r="G287" i="2" s="1"/>
  <c r="C272" i="2"/>
  <c r="D272" i="2" s="1"/>
  <c r="E272" i="2" s="1"/>
  <c r="F272" i="2" s="1"/>
  <c r="G272" i="2" s="1"/>
  <c r="C609" i="2"/>
  <c r="D609" i="2" s="1"/>
  <c r="E609" i="2" s="1"/>
  <c r="F609" i="2" s="1"/>
  <c r="G609" i="2" s="1"/>
  <c r="C805" i="2"/>
  <c r="D805" i="2" s="1"/>
  <c r="E805" i="2" s="1"/>
  <c r="F805" i="2" s="1"/>
  <c r="G805" i="2" s="1"/>
  <c r="C203" i="2"/>
  <c r="D203" i="2" s="1"/>
  <c r="E203" i="2" s="1"/>
  <c r="F203" i="2" s="1"/>
  <c r="G203" i="2" s="1"/>
  <c r="C370" i="2"/>
  <c r="D370" i="2" s="1"/>
  <c r="E370" i="2" s="1"/>
  <c r="F370" i="2" s="1"/>
  <c r="G370" i="2" s="1"/>
  <c r="C549" i="2"/>
  <c r="D549" i="2" s="1"/>
  <c r="E549" i="2" s="1"/>
  <c r="F549" i="2" s="1"/>
  <c r="G549" i="2" s="1"/>
  <c r="C645" i="2"/>
  <c r="D645" i="2" s="1"/>
  <c r="E645" i="2" s="1"/>
  <c r="F645" i="2" s="1"/>
  <c r="G645" i="2" s="1"/>
  <c r="C278" i="2"/>
  <c r="D278" i="2" s="1"/>
  <c r="E278" i="2" s="1"/>
  <c r="F278" i="2" s="1"/>
  <c r="G278" i="2" s="1"/>
  <c r="C592" i="2"/>
  <c r="D592" i="2" s="1"/>
  <c r="E592" i="2" s="1"/>
  <c r="F592" i="2" s="1"/>
  <c r="G592" i="2" s="1"/>
  <c r="C515" i="2"/>
  <c r="D515" i="2" s="1"/>
  <c r="E515" i="2" s="1"/>
  <c r="F515" i="2" s="1"/>
  <c r="G515" i="2" s="1"/>
  <c r="C335" i="2"/>
  <c r="D335" i="2" s="1"/>
  <c r="E335" i="2" s="1"/>
  <c r="F335" i="2" s="1"/>
  <c r="G335" i="2" s="1"/>
  <c r="C347" i="2"/>
  <c r="D347" i="2" s="1"/>
  <c r="E347" i="2" s="1"/>
  <c r="F347" i="2" s="1"/>
  <c r="G347" i="2" s="1"/>
  <c r="C634" i="2"/>
  <c r="D634" i="2" s="1"/>
  <c r="E634" i="2" s="1"/>
  <c r="F634" i="2" s="1"/>
  <c r="G634" i="2" s="1"/>
  <c r="C241" i="2"/>
  <c r="D241" i="2" s="1"/>
  <c r="E241" i="2" s="1"/>
  <c r="F241" i="2" s="1"/>
  <c r="G241" i="2" s="1"/>
  <c r="C460" i="2"/>
  <c r="D460" i="2" s="1"/>
  <c r="E460" i="2" s="1"/>
  <c r="F460" i="2" s="1"/>
  <c r="G460" i="2" s="1"/>
  <c r="C296" i="2"/>
  <c r="D296" i="2" s="1"/>
  <c r="E296" i="2" s="1"/>
  <c r="F296" i="2" s="1"/>
  <c r="G296" i="2" s="1"/>
  <c r="C282" i="2"/>
  <c r="D282" i="2" s="1"/>
  <c r="E282" i="2" s="1"/>
  <c r="F282" i="2" s="1"/>
  <c r="G282" i="2" s="1"/>
  <c r="C488" i="2"/>
  <c r="D488" i="2" s="1"/>
  <c r="E488" i="2" s="1"/>
  <c r="F488" i="2" s="1"/>
  <c r="G488" i="2" s="1"/>
  <c r="C507" i="2"/>
  <c r="D507" i="2" s="1"/>
  <c r="E507" i="2" s="1"/>
  <c r="F507" i="2" s="1"/>
  <c r="G507" i="2" s="1"/>
  <c r="C519" i="2"/>
  <c r="D519" i="2" s="1"/>
  <c r="E519" i="2" s="1"/>
  <c r="F519" i="2" s="1"/>
  <c r="G519" i="2" s="1"/>
  <c r="C49" i="2"/>
  <c r="D49" i="2" s="1"/>
  <c r="E49" i="2" s="1"/>
  <c r="F49" i="2" s="1"/>
  <c r="G49" i="2" s="1"/>
  <c r="C806" i="2"/>
  <c r="D806" i="2" s="1"/>
  <c r="E806" i="2" s="1"/>
  <c r="F806" i="2" s="1"/>
  <c r="G806" i="2" s="1"/>
  <c r="C807" i="2"/>
  <c r="D807" i="2" s="1"/>
  <c r="E807" i="2" s="1"/>
  <c r="F807" i="2" s="1"/>
  <c r="G807" i="2" s="1"/>
  <c r="C808" i="2"/>
  <c r="D808" i="2" s="1"/>
  <c r="E808" i="2" s="1"/>
  <c r="F808" i="2" s="1"/>
  <c r="G808" i="2" s="1"/>
  <c r="C532" i="2"/>
  <c r="D532" i="2" s="1"/>
  <c r="E532" i="2" s="1"/>
  <c r="F532" i="2" s="1"/>
  <c r="G532" i="2" s="1"/>
  <c r="C534" i="2"/>
  <c r="D534" i="2" s="1"/>
  <c r="E534" i="2" s="1"/>
  <c r="F534" i="2" s="1"/>
  <c r="G534" i="2" s="1"/>
  <c r="C320" i="2"/>
  <c r="D320" i="2" s="1"/>
  <c r="E320" i="2" s="1"/>
  <c r="F320" i="2" s="1"/>
  <c r="G320" i="2" s="1"/>
  <c r="C504" i="2"/>
  <c r="D504" i="2" s="1"/>
  <c r="E504" i="2" s="1"/>
  <c r="F504" i="2" s="1"/>
  <c r="G504" i="2" s="1"/>
  <c r="C354" i="2"/>
  <c r="D354" i="2" s="1"/>
  <c r="E354" i="2" s="1"/>
  <c r="F354" i="2" s="1"/>
  <c r="G354" i="2" s="1"/>
  <c r="C702" i="2"/>
  <c r="D702" i="2" s="1"/>
  <c r="E702" i="2" s="1"/>
  <c r="F702" i="2" s="1"/>
  <c r="G702" i="2" s="1"/>
  <c r="C589" i="2"/>
  <c r="D589" i="2" s="1"/>
  <c r="E589" i="2" s="1"/>
  <c r="F589" i="2" s="1"/>
  <c r="G589" i="2" s="1"/>
  <c r="C662" i="2"/>
  <c r="D662" i="2" s="1"/>
  <c r="E662" i="2" s="1"/>
  <c r="F662" i="2" s="1"/>
  <c r="G662" i="2" s="1"/>
  <c r="C346" i="2"/>
  <c r="D346" i="2" s="1"/>
  <c r="E346" i="2" s="1"/>
  <c r="F346" i="2" s="1"/>
  <c r="G346" i="2" s="1"/>
  <c r="C666" i="2"/>
  <c r="D666" i="2" s="1"/>
  <c r="E666" i="2" s="1"/>
  <c r="F666" i="2" s="1"/>
  <c r="G666" i="2" s="1"/>
  <c r="C667" i="2"/>
  <c r="D667" i="2" s="1"/>
  <c r="E667" i="2" s="1"/>
  <c r="F667" i="2" s="1"/>
  <c r="G667" i="2" s="1"/>
  <c r="C251" i="2"/>
  <c r="D251" i="2" s="1"/>
  <c r="E251" i="2" s="1"/>
  <c r="F251" i="2" s="1"/>
  <c r="G251" i="2" s="1"/>
  <c r="C677" i="2"/>
  <c r="D677" i="2" s="1"/>
  <c r="E677" i="2" s="1"/>
  <c r="F677" i="2" s="1"/>
  <c r="G677" i="2" s="1"/>
  <c r="C650" i="2"/>
  <c r="D650" i="2" s="1"/>
  <c r="E650" i="2" s="1"/>
  <c r="F650" i="2" s="1"/>
  <c r="G650" i="2" s="1"/>
  <c r="C386" i="2"/>
  <c r="D386" i="2" s="1"/>
  <c r="E386" i="2" s="1"/>
  <c r="F386" i="2" s="1"/>
  <c r="G386" i="2" s="1"/>
  <c r="C809" i="2"/>
  <c r="D809" i="2" s="1"/>
  <c r="E809" i="2" s="1"/>
  <c r="F809" i="2" s="1"/>
  <c r="G809" i="2" s="1"/>
  <c r="C231" i="2"/>
  <c r="D231" i="2" s="1"/>
  <c r="E231" i="2" s="1"/>
  <c r="F231" i="2" s="1"/>
  <c r="G231" i="2" s="1"/>
  <c r="C262" i="2"/>
  <c r="D262" i="2" s="1"/>
  <c r="E262" i="2" s="1"/>
  <c r="F262" i="2" s="1"/>
  <c r="G262" i="2" s="1"/>
  <c r="C810" i="2"/>
  <c r="D810" i="2" s="1"/>
  <c r="E810" i="2" s="1"/>
  <c r="F810" i="2" s="1"/>
  <c r="G810" i="2" s="1"/>
  <c r="C415" i="2"/>
  <c r="D415" i="2" s="1"/>
  <c r="E415" i="2" s="1"/>
  <c r="F415" i="2" s="1"/>
  <c r="G415" i="2" s="1"/>
  <c r="C246" i="2"/>
  <c r="D246" i="2" s="1"/>
  <c r="E246" i="2" s="1"/>
  <c r="F246" i="2" s="1"/>
  <c r="G246" i="2" s="1"/>
  <c r="C811" i="2"/>
  <c r="D811" i="2" s="1"/>
  <c r="E811" i="2" s="1"/>
  <c r="F811" i="2" s="1"/>
  <c r="G811" i="2" s="1"/>
  <c r="C812" i="2"/>
  <c r="D812" i="2" s="1"/>
  <c r="E812" i="2" s="1"/>
  <c r="F812" i="2" s="1"/>
  <c r="G812" i="2" s="1"/>
  <c r="C156" i="2"/>
  <c r="D156" i="2" s="1"/>
  <c r="E156" i="2" s="1"/>
  <c r="F156" i="2" s="1"/>
  <c r="G156" i="2" s="1"/>
  <c r="C813" i="2"/>
  <c r="D813" i="2" s="1"/>
  <c r="E813" i="2" s="1"/>
  <c r="F813" i="2" s="1"/>
  <c r="G813" i="2" s="1"/>
  <c r="C814" i="2"/>
  <c r="D814" i="2" s="1"/>
  <c r="E814" i="2" s="1"/>
  <c r="F814" i="2" s="1"/>
  <c r="G814" i="2" s="1"/>
  <c r="C815" i="2"/>
  <c r="D815" i="2" s="1"/>
  <c r="E815" i="2" s="1"/>
  <c r="F815" i="2" s="1"/>
  <c r="G815" i="2" s="1"/>
  <c r="C816" i="2"/>
  <c r="D816" i="2" s="1"/>
  <c r="E816" i="2" s="1"/>
  <c r="F816" i="2" s="1"/>
  <c r="G816" i="2" s="1"/>
  <c r="C817" i="2"/>
  <c r="D817" i="2" s="1"/>
  <c r="E817" i="2" s="1"/>
  <c r="F817" i="2" s="1"/>
  <c r="G817" i="2" s="1"/>
  <c r="C818" i="2"/>
  <c r="D818" i="2" s="1"/>
  <c r="E818" i="2" s="1"/>
  <c r="F818" i="2" s="1"/>
  <c r="G818" i="2" s="1"/>
  <c r="C819" i="2"/>
  <c r="D819" i="2" s="1"/>
  <c r="E819" i="2" s="1"/>
  <c r="F819" i="2" s="1"/>
  <c r="G819" i="2" s="1"/>
  <c r="C820" i="2"/>
  <c r="D820" i="2" s="1"/>
  <c r="E820" i="2" s="1"/>
  <c r="F820" i="2" s="1"/>
  <c r="G820" i="2" s="1"/>
  <c r="C821" i="2"/>
  <c r="D821" i="2" s="1"/>
  <c r="E821" i="2" s="1"/>
  <c r="F821" i="2" s="1"/>
  <c r="G821" i="2" s="1"/>
  <c r="C163" i="2"/>
  <c r="D163" i="2" s="1"/>
  <c r="E163" i="2" s="1"/>
  <c r="F163" i="2" s="1"/>
  <c r="G163" i="2" s="1"/>
</calcChain>
</file>

<file path=xl/sharedStrings.xml><?xml version="1.0" encoding="utf-8"?>
<sst xmlns="http://schemas.openxmlformats.org/spreadsheetml/2006/main" count="32721" uniqueCount="4339">
  <si>
    <t>Property Address</t>
  </si>
  <si>
    <t>Property Name</t>
  </si>
  <si>
    <t>Number Of Units</t>
  </si>
  <si>
    <t>Year Built</t>
  </si>
  <si>
    <t>Market Name</t>
  </si>
  <si>
    <t>Submarket Name</t>
  </si>
  <si>
    <t>Owner Name</t>
  </si>
  <si>
    <t>Property Manager Name</t>
  </si>
  <si>
    <t>Recorded Owner Name</t>
  </si>
  <si>
    <t>True Owner Name</t>
  </si>
  <si>
    <t>Star Rating</t>
  </si>
  <si>
    <t>Building Class</t>
  </si>
  <si>
    <t>Property Type</t>
  </si>
  <si>
    <t>Secondary Type</t>
  </si>
  <si>
    <t>Affordable Type</t>
  </si>
  <si>
    <t>Building Status</t>
  </si>
  <si>
    <t>City</t>
  </si>
  <si>
    <t>State</t>
  </si>
  <si>
    <t>Zip</t>
  </si>
  <si>
    <t>Avg Unit SF</t>
  </si>
  <si>
    <t>Avg Asking/SF</t>
  </si>
  <si>
    <t>Avg Asking/Unit</t>
  </si>
  <si>
    <t>For Sale Price</t>
  </si>
  <si>
    <t>Cap Rate</t>
  </si>
  <si>
    <t>For Sale Price Per Unit</t>
  </si>
  <si>
    <t>Sale Company Name</t>
  </si>
  <si>
    <t>Sale Company Address</t>
  </si>
  <si>
    <t>Sale Company City State Zip</t>
  </si>
  <si>
    <t>Sale Company Phone</t>
  </si>
  <si>
    <t>Sale Company Fax</t>
  </si>
  <si>
    <t>Sale Company Contact</t>
  </si>
  <si>
    <t>Vacancy %</t>
  </si>
  <si>
    <t>Month Built</t>
  </si>
  <si>
    <t>Year Renovated</t>
  </si>
  <si>
    <t>Number Of Stories</t>
  </si>
  <si>
    <t>Country</t>
  </si>
  <si>
    <t>Continent</t>
  </si>
  <si>
    <t>Subcontinent</t>
  </si>
  <si>
    <t>Two Bedroom Asking Rent/SF</t>
  </si>
  <si>
    <t>Two Bedroom Asking Rent/Unit</t>
  </si>
  <si>
    <t>Two Bedroom Avg SF</t>
  </si>
  <si>
    <t>Three Bedroom Asking Rent/SF</t>
  </si>
  <si>
    <t>Three Bedroom Asking Rent/Unit</t>
  </si>
  <si>
    <t>Three Bedroom Avg SF</t>
  </si>
  <si>
    <t>Taxes Total</t>
  </si>
  <si>
    <t>Studio Asking Rent/SF</t>
  </si>
  <si>
    <t>Studio Asking Rent/Unit</t>
  </si>
  <si>
    <t>Studio Avg SF</t>
  </si>
  <si>
    <t>Rent/SF/Yr</t>
  </si>
  <si>
    <t>Ops Expense</t>
  </si>
  <si>
    <t>One Bedroom Asking Rent/SF</t>
  </si>
  <si>
    <t>One Bedroom Asking Rent/Unit</t>
  </si>
  <si>
    <t>One Bedroom Avg SF</t>
  </si>
  <si>
    <t>Number Of 1 Bedroom Units</t>
  </si>
  <si>
    <t>Number Of 2 Bedroom Units</t>
  </si>
  <si>
    <t>Number Of 3 Bedroom Units</t>
  </si>
  <si>
    <t>Number Of 4 Bedroom Units</t>
  </si>
  <si>
    <t>Maturity Date</t>
  </si>
  <si>
    <t>Loan Type</t>
  </si>
  <si>
    <t>Four Bedroom Asking Rent/SF</t>
  </si>
  <si>
    <t>Four Bedroom Asking Rent/Unit</t>
  </si>
  <si>
    <t>Four Bedroom Avg SF</t>
  </si>
  <si>
    <t>2315 Moser Ave</t>
  </si>
  <si>
    <t>Moser Gardens</t>
  </si>
  <si>
    <t>Dallas-Fort Worth, TX</t>
  </si>
  <si>
    <t>Knox Henderson</t>
  </si>
  <si>
    <t>Perry Guest Company</t>
  </si>
  <si>
    <t>Perry Guest - Moser Gardens</t>
  </si>
  <si>
    <t>Pgh Acadia Llc</t>
  </si>
  <si>
    <t>C</t>
  </si>
  <si>
    <t>Multifamily</t>
  </si>
  <si>
    <t>Apartments</t>
  </si>
  <si>
    <t>Existing</t>
  </si>
  <si>
    <t>Dallas</t>
  </si>
  <si>
    <t>TX</t>
  </si>
  <si>
    <t>75206</t>
  </si>
  <si>
    <t>2517 Thomas Ave</t>
  </si>
  <si>
    <t>Dallas, TX 75201</t>
  </si>
  <si>
    <t>3147245734</t>
  </si>
  <si>
    <t>2145288018</t>
  </si>
  <si>
    <t>Harris Arnhart</t>
  </si>
  <si>
    <t>United States</t>
  </si>
  <si>
    <t>Americas</t>
  </si>
  <si>
    <t>North America</t>
  </si>
  <si>
    <t>Not Disclosed</t>
  </si>
  <si>
    <t>3227 McKinney Ave</t>
  </si>
  <si>
    <t>Whitney Uptown</t>
  </si>
  <si>
    <t>Uptown Dallas</t>
  </si>
  <si>
    <t>KOR Real Estate Partners LLC</t>
  </si>
  <si>
    <t>Avenue5 - Whitney</t>
  </si>
  <si>
    <t>Maverick County Housing Finance Corporation</t>
  </si>
  <si>
    <t>B</t>
  </si>
  <si>
    <t>75204</t>
  </si>
  <si>
    <t>$30.00</t>
  </si>
  <si>
    <t>Assumed</t>
  </si>
  <si>
    <t>301 1st St</t>
  </si>
  <si>
    <t>Wilmer Country Isle</t>
  </si>
  <si>
    <t>South Dallas County</t>
  </si>
  <si>
    <t>Frank Becker</t>
  </si>
  <si>
    <t>OConnor - Wilmer Country Isle</t>
  </si>
  <si>
    <t>Wilmer Country View Associates LLC</t>
  </si>
  <si>
    <t>Wilmer</t>
  </si>
  <si>
    <t>75172-1167</t>
  </si>
  <si>
    <t>06/01/2026</t>
  </si>
  <si>
    <t>Bond Financing</t>
  </si>
  <si>
    <t>201 E 3rd St</t>
  </si>
  <si>
    <t>Center Chase Apartments</t>
  </si>
  <si>
    <t>Downtown Arlington</t>
  </si>
  <si>
    <t>Ekp Properties Llc</t>
  </si>
  <si>
    <t>J. Hester - Center Chase Apartments</t>
  </si>
  <si>
    <t>Arlington</t>
  </si>
  <si>
    <t>76010-7309</t>
  </si>
  <si>
    <t>110 S 14th St</t>
  </si>
  <si>
    <t>Eastwood Apartments</t>
  </si>
  <si>
    <t>Ellis County</t>
  </si>
  <si>
    <t>Colony IV, Inc.</t>
  </si>
  <si>
    <t>PK - Eastwood Apartments</t>
  </si>
  <si>
    <t>Eastwood Apts Ltd</t>
  </si>
  <si>
    <t>Rent Restricted</t>
  </si>
  <si>
    <t>Midlothian</t>
  </si>
  <si>
    <t>76065</t>
  </si>
  <si>
    <t>4000 Ace Ln</t>
  </si>
  <si>
    <t>Creekside</t>
  </si>
  <si>
    <t>Lewisville/Flower Mound</t>
  </si>
  <si>
    <t>RHP Properties</t>
  </si>
  <si>
    <t>RHP - Creekside</t>
  </si>
  <si>
    <t>Amc Creekside LLC</t>
  </si>
  <si>
    <t>Manufactured Housing/Mobile Home Park</t>
  </si>
  <si>
    <t>Affordable Units</t>
  </si>
  <si>
    <t>Lewisville</t>
  </si>
  <si>
    <t>75067</t>
  </si>
  <si>
    <t>Conventional</t>
  </si>
  <si>
    <t>9900 Adleta Blvd</t>
  </si>
  <si>
    <t>The Emerson</t>
  </si>
  <si>
    <t>Richardson</t>
  </si>
  <si>
    <t>WindMass Capital</t>
  </si>
  <si>
    <t>RPM - The Emerson</t>
  </si>
  <si>
    <t>75243</t>
  </si>
  <si>
    <t>7301 Alma Dr</t>
  </si>
  <si>
    <t>Steeplechase Apartments</t>
  </si>
  <si>
    <t>Plano</t>
  </si>
  <si>
    <t>Bridge Partners</t>
  </si>
  <si>
    <t>RPM - Steeplechase Apartments</t>
  </si>
  <si>
    <t>Fountains At Steeplechase, LP</t>
  </si>
  <si>
    <t>75025</t>
  </si>
  <si>
    <t>08/01/2028</t>
  </si>
  <si>
    <t>2515 Altamesa Blvd</t>
  </si>
  <si>
    <t>Railridge Apartments</t>
  </si>
  <si>
    <t>Wedgwood</t>
  </si>
  <si>
    <t>Thomas Robert Turner</t>
  </si>
  <si>
    <t>Alta Management - Railridge Apartments</t>
  </si>
  <si>
    <t>Railridge Ltd</t>
  </si>
  <si>
    <t>Fort Worth</t>
  </si>
  <si>
    <t>76133-5807</t>
  </si>
  <si>
    <t>4400 Ambassador Way</t>
  </si>
  <si>
    <t>Ambassador Apartments</t>
  </si>
  <si>
    <t>Greater Mesquite</t>
  </si>
  <si>
    <t>Fordgang Properties LLC</t>
  </si>
  <si>
    <t>Devonshire - Ambassador</t>
  </si>
  <si>
    <t>Florescence LLC / Fordgang Ppties II LLC / Frisco Bulldog Ppties II LLC</t>
  </si>
  <si>
    <t>Balch Springs</t>
  </si>
  <si>
    <t>75180</t>
  </si>
  <si>
    <t>1600 Amelia Ct</t>
  </si>
  <si>
    <t>Aspen Court</t>
  </si>
  <si>
    <t>Valcap Group - Aspen Court</t>
  </si>
  <si>
    <t>75075</t>
  </si>
  <si>
    <t>4701 American Blvd</t>
  </si>
  <si>
    <t>Crest Oasis</t>
  </si>
  <si>
    <t>Stonewood/Stone Creek</t>
  </si>
  <si>
    <t>Crest Asset Management</t>
  </si>
  <si>
    <t>Crest - Crest Oasis</t>
  </si>
  <si>
    <t>Crest Oasis LP</t>
  </si>
  <si>
    <t>Euless</t>
  </si>
  <si>
    <t>76040</t>
  </si>
  <si>
    <t>03/01/2031</t>
  </si>
  <si>
    <t>1121 Amherst Dr</t>
  </si>
  <si>
    <t>Amherst Apartments</t>
  </si>
  <si>
    <t>Hurst/Euless/Bedford</t>
  </si>
  <si>
    <t>Wesco Companies</t>
  </si>
  <si>
    <t>Stonemark - Amherst Apartments</t>
  </si>
  <si>
    <t>2015 Amherst LP</t>
  </si>
  <si>
    <t>Bedford</t>
  </si>
  <si>
    <t>76021</t>
  </si>
  <si>
    <t>06/01/2032</t>
  </si>
  <si>
    <t>1000 E Ash Ln</t>
  </si>
  <si>
    <t>Woodchase Apartments</t>
  </si>
  <si>
    <t>Brown, William H Jr &amp; Clare S</t>
  </si>
  <si>
    <t>Woodchase</t>
  </si>
  <si>
    <t>Brown Woodchase LLC</t>
  </si>
  <si>
    <t>76039</t>
  </si>
  <si>
    <t>02/01/2036</t>
  </si>
  <si>
    <t>1050 W Ash Ln</t>
  </si>
  <si>
    <t>Willow Ridge Townhomes</t>
  </si>
  <si>
    <t>Valcap Group</t>
  </si>
  <si>
    <t>Valcap - Willow Ridge Townhomes</t>
  </si>
  <si>
    <t>Teasley 278, LLC</t>
  </si>
  <si>
    <t>76039-2165</t>
  </si>
  <si>
    <t>2305 Ashcroft Ln</t>
  </si>
  <si>
    <t>North Arlington</t>
  </si>
  <si>
    <t>Bridge Investment Group Holdings LLC</t>
  </si>
  <si>
    <t>Bridge - Aspen Court</t>
  </si>
  <si>
    <t>Bmf Iv Tx Aspen Court Llc</t>
  </si>
  <si>
    <t>76006</t>
  </si>
  <si>
    <t>01/01/2029</t>
  </si>
  <si>
    <t>12516 Audelia Rd</t>
  </si>
  <si>
    <t>Huntington Brook Apartments</t>
  </si>
  <si>
    <t>Maged Guirguis</t>
  </si>
  <si>
    <t>Paramount Property - Huntington Brook Apartments</t>
  </si>
  <si>
    <t>MGHB LLC</t>
  </si>
  <si>
    <t>400 Audra Ln</t>
  </si>
  <si>
    <t>Mack Park Apartments</t>
  </si>
  <si>
    <t>Downtown Denton</t>
  </si>
  <si>
    <t>Wells Asset Management</t>
  </si>
  <si>
    <t>Wells Asset - Mack Park Apartments</t>
  </si>
  <si>
    <t>Valley Ranch Investors</t>
  </si>
  <si>
    <t>Denton</t>
  </si>
  <si>
    <t>76209</t>
  </si>
  <si>
    <t>4600 Barbara Rd</t>
  </si>
  <si>
    <t>River Ranch Apartments</t>
  </si>
  <si>
    <t>West Fort Worth</t>
  </si>
  <si>
    <t>AMBO Properties</t>
  </si>
  <si>
    <t>AMBO - River Ranch Apartments</t>
  </si>
  <si>
    <t>River Ranch Fw Llc</t>
  </si>
  <si>
    <t>River Oaks</t>
  </si>
  <si>
    <t>76114-3496</t>
  </si>
  <si>
    <t>08/01/2030</t>
  </si>
  <si>
    <t>5600 N Beach St</t>
  </si>
  <si>
    <t>Rise Fossil Creek</t>
  </si>
  <si>
    <t>North Fort Worth</t>
  </si>
  <si>
    <t>Rise48 Equity</t>
  </si>
  <si>
    <t>Rise48 - Rise Fossil Creek</t>
  </si>
  <si>
    <t>Rise Fossil Creek LP</t>
  </si>
  <si>
    <t>Haltom City</t>
  </si>
  <si>
    <t>76137</t>
  </si>
  <si>
    <t>5700 N Beach St</t>
  </si>
  <si>
    <t>Fossil Hill</t>
  </si>
  <si>
    <t>Ilan Investments</t>
  </si>
  <si>
    <t>Adara - Fossil Hill</t>
  </si>
  <si>
    <t>Ararat Hills Master, LLC</t>
  </si>
  <si>
    <t>76137-2824</t>
  </si>
  <si>
    <t>08/01/2031</t>
  </si>
  <si>
    <t>1130 Bear Creek Pky</t>
  </si>
  <si>
    <t>Bear Creek at Harwood</t>
  </si>
  <si>
    <t>WillMax Capital Management</t>
  </si>
  <si>
    <t>WillMax - Bear Creek at Harwood</t>
  </si>
  <si>
    <t>WMMFI II Bear Creek, LP</t>
  </si>
  <si>
    <t>76039-5228</t>
  </si>
  <si>
    <t>02/01/2031</t>
  </si>
  <si>
    <t>1500 Bear Creek Pky</t>
  </si>
  <si>
    <t>Sandstone at Bear Creek</t>
  </si>
  <si>
    <t>S &amp; H Realty Management LLP</t>
  </si>
  <si>
    <t>S &amp; H - Sandstone At Bear Creek</t>
  </si>
  <si>
    <t>Sandstone at Bear Creek LLP</t>
  </si>
  <si>
    <t>76039-5227</t>
  </si>
  <si>
    <t>5608 Bellaire Dr S</t>
  </si>
  <si>
    <t>Greenwood Creek</t>
  </si>
  <si>
    <t>TCU District</t>
  </si>
  <si>
    <t>CAF Management</t>
  </si>
  <si>
    <t>CAF - Greenwood Creek</t>
  </si>
  <si>
    <t>Benbrook</t>
  </si>
  <si>
    <t>76109</t>
  </si>
  <si>
    <t>10/01/2029</t>
  </si>
  <si>
    <t>747 Berkley Plaza</t>
  </si>
  <si>
    <t>Hidden Oaks Townhomes</t>
  </si>
  <si>
    <t>Irving</t>
  </si>
  <si>
    <t>Jenniffer L Norris</t>
  </si>
  <si>
    <t>75061-7586</t>
  </si>
  <si>
    <t>15215 Berry Trail Dr</t>
  </si>
  <si>
    <t>Berry Trail</t>
  </si>
  <si>
    <t>Prestonwood</t>
  </si>
  <si>
    <t>Ritter Management, Inc.</t>
  </si>
  <si>
    <t>Ritter - Berry Trail</t>
  </si>
  <si>
    <t>75248</t>
  </si>
  <si>
    <t>3401 Binkley Ave</t>
  </si>
  <si>
    <t>The Remington</t>
  </si>
  <si>
    <t>University Park</t>
  </si>
  <si>
    <t>75205-5048</t>
  </si>
  <si>
    <t>01/13/2006</t>
  </si>
  <si>
    <t>8301 Boat Club Rd</t>
  </si>
  <si>
    <t>Eagle's Point</t>
  </si>
  <si>
    <t>Eagle Mountain</t>
  </si>
  <si>
    <t>Kerry &amp; Bonnie Staples Trust</t>
  </si>
  <si>
    <t>Q10 - Eagle's Point</t>
  </si>
  <si>
    <t>Co3 Eagles 240 Llc</t>
  </si>
  <si>
    <t>76179</t>
  </si>
  <si>
    <t>01/01/2031</t>
  </si>
  <si>
    <t>6501 Boca Raton Blvd</t>
  </si>
  <si>
    <t>Trinity Heights Apartments</t>
  </si>
  <si>
    <t>Woodhaven</t>
  </si>
  <si>
    <t>Valcap Group - Trinity Heights Apartments</t>
  </si>
  <si>
    <t>76112-1798</t>
  </si>
  <si>
    <t>3527 Bolivar Dr</t>
  </si>
  <si>
    <t>Morelia Apartments</t>
  </si>
  <si>
    <t>Northwest Dallas</t>
  </si>
  <si>
    <t>Deborah Soldner</t>
  </si>
  <si>
    <t>Freshwater - Morelia Apartments</t>
  </si>
  <si>
    <t>SOLDNER DEBORAH 2021 TRUST</t>
  </si>
  <si>
    <t>75220</t>
  </si>
  <si>
    <t>10/10/2025</t>
  </si>
  <si>
    <t>3241 Bonnie Dr</t>
  </si>
  <si>
    <t>Bonnie Royal</t>
  </si>
  <si>
    <t>Western Hills/Ridglea</t>
  </si>
  <si>
    <t>Hamara Apartments LLC</t>
  </si>
  <si>
    <t>Hamara - Bonnie Royal</t>
  </si>
  <si>
    <t>Hamara Apartments Llc</t>
  </si>
  <si>
    <t>76116-5112</t>
  </si>
  <si>
    <t>612 Booth Calloway Rd</t>
  </si>
  <si>
    <t>Plantation West Apartments</t>
  </si>
  <si>
    <t>Outer N Richland Hill/Haltom City</t>
  </si>
  <si>
    <t>Hung Enterprises, Inc</t>
  </si>
  <si>
    <t>SunRidge - Plantation West Apartments</t>
  </si>
  <si>
    <t>Hung Properties No 3</t>
  </si>
  <si>
    <t>Hurst</t>
  </si>
  <si>
    <t>76053</t>
  </si>
  <si>
    <t>11/01/2028</t>
  </si>
  <si>
    <t>3817 Booth Calloway Rd</t>
  </si>
  <si>
    <t>North Hills Place Apartments</t>
  </si>
  <si>
    <t>Loretta Hung</t>
  </si>
  <si>
    <t>SunRidge - North Hills Place</t>
  </si>
  <si>
    <t>Hung Properties 1</t>
  </si>
  <si>
    <t>Richland Hills</t>
  </si>
  <si>
    <t>76118</t>
  </si>
  <si>
    <t>11/01/2030</t>
  </si>
  <si>
    <t>5151 Broadway Ave</t>
  </si>
  <si>
    <t>Haltom Oaks</t>
  </si>
  <si>
    <t>Blue Ocean Capital, LLC</t>
  </si>
  <si>
    <t>Class A - Haltom Oaks</t>
  </si>
  <si>
    <t>Haltom Oaks Apt Holdings Llc</t>
  </si>
  <si>
    <t>76117-3758</t>
  </si>
  <si>
    <t>9501 Brockbank Dr</t>
  </si>
  <si>
    <t>Regal Villas</t>
  </si>
  <si>
    <t>Sunridge Place Corporation</t>
  </si>
  <si>
    <t>Citec - Regals Villas Apartments</t>
  </si>
  <si>
    <t>CTC Family LP</t>
  </si>
  <si>
    <t>75220-6876</t>
  </si>
  <si>
    <t>10/14/2015</t>
  </si>
  <si>
    <t>101 N Brookside Dr</t>
  </si>
  <si>
    <t>Lakewood on the Trail</t>
  </si>
  <si>
    <t>Old East Dallas</t>
  </si>
  <si>
    <t>Weidner Property Management LLC</t>
  </si>
  <si>
    <t>Weidner - Lakewood on the Trail</t>
  </si>
  <si>
    <t>TX Lakewood Apartments LLC</t>
  </si>
  <si>
    <t>75214</t>
  </si>
  <si>
    <t>200 Brothers Blvd</t>
  </si>
  <si>
    <t>Living Oaks Apartments</t>
  </si>
  <si>
    <t>Near Southside Properties LLC</t>
  </si>
  <si>
    <t>Amalgamated Management - Living Oaks</t>
  </si>
  <si>
    <t>200 Brothers Blvd Spe Llc</t>
  </si>
  <si>
    <t>Red Oak</t>
  </si>
  <si>
    <t>75154-6147</t>
  </si>
  <si>
    <t>06/01/2030</t>
  </si>
  <si>
    <t>2200 Brown St</t>
  </si>
  <si>
    <t>Bridgepoint Apartments</t>
  </si>
  <si>
    <t>Post Investment Group</t>
  </si>
  <si>
    <t>TAM Residential - Bridgepoint Apartments</t>
  </si>
  <si>
    <t>POST Bridgepoint, LP</t>
  </si>
  <si>
    <t>Waxahachie</t>
  </si>
  <si>
    <t>75165</t>
  </si>
  <si>
    <t>9797 Bruton Rd</t>
  </si>
  <si>
    <t>Harper</t>
  </si>
  <si>
    <t>Riverway Estates</t>
  </si>
  <si>
    <t>RPM - Harper</t>
  </si>
  <si>
    <t>9797 Bruton Property LLC</t>
  </si>
  <si>
    <t>75217-2708</t>
  </si>
  <si>
    <t>06/22/2027</t>
  </si>
  <si>
    <t>Acquisition &amp; Development</t>
  </si>
  <si>
    <t>5209-5255 Bryant Irvin Rd</t>
  </si>
  <si>
    <t>Cameron Creek</t>
  </si>
  <si>
    <t>Kairoi Residential</t>
  </si>
  <si>
    <t>Kairoi - Cameron Creek</t>
  </si>
  <si>
    <t>Cameron Creek Owner, LLC</t>
  </si>
  <si>
    <t>76132-3801</t>
  </si>
  <si>
    <t>04/01/2027</t>
  </si>
  <si>
    <t>2722 Buckner Blvd</t>
  </si>
  <si>
    <t>Spanish Vida Apartments</t>
  </si>
  <si>
    <t>Piedmont</t>
  </si>
  <si>
    <t>Cross Equities</t>
  </si>
  <si>
    <t>Granite - Spanish Vida Apartments</t>
  </si>
  <si>
    <t>Buena Redelveopment Llc</t>
  </si>
  <si>
    <t>75227</t>
  </si>
  <si>
    <t>3501 N Buckner Blvd</t>
  </si>
  <si>
    <t>Windsor Station</t>
  </si>
  <si>
    <t>Everest Properties</t>
  </si>
  <si>
    <t>Maxus Properties - Windsor Station</t>
  </si>
  <si>
    <t>Everest Windsor LP</t>
  </si>
  <si>
    <t>75228-5687</t>
  </si>
  <si>
    <t>01/01/2030</t>
  </si>
  <si>
    <t>6715 Buenos Aires Dr</t>
  </si>
  <si>
    <t>The Hudson</t>
  </si>
  <si>
    <t>Holiday West</t>
  </si>
  <si>
    <t>Frontline Holdings</t>
  </si>
  <si>
    <t>Anterra - The Hudson</t>
  </si>
  <si>
    <t>Frontline Shadow Creek Lp</t>
  </si>
  <si>
    <t>North Richland Hills</t>
  </si>
  <si>
    <t>76180-6567</t>
  </si>
  <si>
    <t>4211 Cabell Dr</t>
  </si>
  <si>
    <t>Ivy Urban Living</t>
  </si>
  <si>
    <t>Strategic Property Investment Advisory</t>
  </si>
  <si>
    <t>Valiant - Ivy Urban Living</t>
  </si>
  <si>
    <t>Sunridge VI, LLC</t>
  </si>
  <si>
    <t>75204-3664</t>
  </si>
  <si>
    <t>8725 Calmont Ave</t>
  </si>
  <si>
    <t>Wind River Apartments</t>
  </si>
  <si>
    <t>Fort Worth Housing Solutions</t>
  </si>
  <si>
    <t>RPM - Wind River Apartments</t>
  </si>
  <si>
    <t>Fort Worth Housing Authority</t>
  </si>
  <si>
    <t>76116</t>
  </si>
  <si>
    <t>5223 Camino Verdes</t>
  </si>
  <si>
    <t>Palos Verdes Townhomes</t>
  </si>
  <si>
    <t>South Arlington</t>
  </si>
  <si>
    <t>Derek K Chung</t>
  </si>
  <si>
    <t>Pvt Llc</t>
  </si>
  <si>
    <t>76017</t>
  </si>
  <si>
    <t>07/01/2034</t>
  </si>
  <si>
    <t>6363 W Camp Wisdom Rd</t>
  </si>
  <si>
    <t>Cedar Glen</t>
  </si>
  <si>
    <t>Dustin Lapacka</t>
  </si>
  <si>
    <t>Richmark - Cedar Glen</t>
  </si>
  <si>
    <t>6363 Cedar Glen Llc</t>
  </si>
  <si>
    <t>75236</t>
  </si>
  <si>
    <t>1005-1057 Cascade St</t>
  </si>
  <si>
    <t>Westlake Village</t>
  </si>
  <si>
    <t>Downtown Mesquite</t>
  </si>
  <si>
    <t>Catholic Charities USA</t>
  </si>
  <si>
    <t>RPM - Westlake Village</t>
  </si>
  <si>
    <t>ST STEPHEN INC</t>
  </si>
  <si>
    <t>Rent Subsidized</t>
  </si>
  <si>
    <t>Mesquite</t>
  </si>
  <si>
    <t>75149-3317</t>
  </si>
  <si>
    <t>630 Cedar St</t>
  </si>
  <si>
    <t>La Villita Apartments</t>
  </si>
  <si>
    <t>Forney/Combine</t>
  </si>
  <si>
    <t>Fountainhead Management, Inc.</t>
  </si>
  <si>
    <t>Fountainhead - La Villita Apartments</t>
  </si>
  <si>
    <t>Forney Fountainhead</t>
  </si>
  <si>
    <t>Forney</t>
  </si>
  <si>
    <t>75126</t>
  </si>
  <si>
    <t>3224 Celeste Rd</t>
  </si>
  <si>
    <t>Cleburne Oaks Apartments</t>
  </si>
  <si>
    <t>Johnson County</t>
  </si>
  <si>
    <t>AMBO - Cleburne Oaks Apartments</t>
  </si>
  <si>
    <t>Cleburne Oaks Llc</t>
  </si>
  <si>
    <t>Cleburne</t>
  </si>
  <si>
    <t>76033</t>
  </si>
  <si>
    <t>3200 S Center St</t>
  </si>
  <si>
    <t>Arlington Hills</t>
  </si>
  <si>
    <t>Eagle Property Capital</t>
  </si>
  <si>
    <t>Vidalta - Arlington Hills</t>
  </si>
  <si>
    <t>EPC Arlington Hills, LLC</t>
  </si>
  <si>
    <t>76014-2012</t>
  </si>
  <si>
    <t>2300 Central Park Blvd</t>
  </si>
  <si>
    <t>The Bradford on the Park</t>
  </si>
  <si>
    <t>Summit Property Management</t>
  </si>
  <si>
    <t>Summit - The Bradford on the Park</t>
  </si>
  <si>
    <t>Spcp Bradford On Pk Owner Llc</t>
  </si>
  <si>
    <t>76022-6110</t>
  </si>
  <si>
    <t>1540 Chenault St</t>
  </si>
  <si>
    <t>FifteenForty</t>
  </si>
  <si>
    <t>Sarah Joseph</t>
  </si>
  <si>
    <t>SMTJ- 1540 Apartments</t>
  </si>
  <si>
    <t>1540 Realty Associates LLC</t>
  </si>
  <si>
    <t>75228</t>
  </si>
  <si>
    <t>12/01/2031</t>
  </si>
  <si>
    <t>410-412 N Cherry Ln</t>
  </si>
  <si>
    <t>Cherry Lane Mobile Home Park</t>
  </si>
  <si>
    <t>White Settlement</t>
  </si>
  <si>
    <t>Mspjc Llc</t>
  </si>
  <si>
    <t>76108-1923</t>
  </si>
  <si>
    <t>7501 Chesterfield Dr</t>
  </si>
  <si>
    <t>Mandalay Palms Shore Side</t>
  </si>
  <si>
    <t>Wolf Creek</t>
  </si>
  <si>
    <t>Rajab Ali</t>
  </si>
  <si>
    <t>7501 Palms Mandalay Apartments LLC</t>
  </si>
  <si>
    <t>75237-3492</t>
  </si>
  <si>
    <t>07/01/2027</t>
  </si>
  <si>
    <t>2612 Cinnamon Park Cir</t>
  </si>
  <si>
    <t>Westley</t>
  </si>
  <si>
    <t>West Arlington</t>
  </si>
  <si>
    <t>S2 Capital</t>
  </si>
  <si>
    <t>S2 Residential - Westley</t>
  </si>
  <si>
    <t>76016</t>
  </si>
  <si>
    <t>3150 Cliff Creek Crossing Dr</t>
  </si>
  <si>
    <t>Mandalay Palms Bay Side</t>
  </si>
  <si>
    <t>75237-3847</t>
  </si>
  <si>
    <t>6500 S Cockrell Hill Rd</t>
  </si>
  <si>
    <t>6500 South</t>
  </si>
  <si>
    <t>Redbird</t>
  </si>
  <si>
    <t>6500 Mars Leasehold Llc</t>
  </si>
  <si>
    <t>MARS - 6500 South</t>
  </si>
  <si>
    <t>75236-9573</t>
  </si>
  <si>
    <t>04/06/2030</t>
  </si>
  <si>
    <t>1900 S College Ave</t>
  </si>
  <si>
    <t>Stone Hill Apartments</t>
  </si>
  <si>
    <t>Wise County</t>
  </si>
  <si>
    <t>Klement Distribution, Inc.</t>
  </si>
  <si>
    <t>Karl Klement Properties - Stone Hill</t>
  </si>
  <si>
    <t>Karl Klement Properties Inc</t>
  </si>
  <si>
    <t>Decatur</t>
  </si>
  <si>
    <t>76234-3501</t>
  </si>
  <si>
    <t>4951 Collett Little Rd</t>
  </si>
  <si>
    <t>Briarwood Mobile Home Park</t>
  </si>
  <si>
    <t>South Fort Worth</t>
  </si>
  <si>
    <t>Westwind Enterprises</t>
  </si>
  <si>
    <t>Forest Glen Fort Worth Llc</t>
  </si>
  <si>
    <t>76119</t>
  </si>
  <si>
    <t>07/01/2031</t>
  </si>
  <si>
    <t>4712 Columbia Ave</t>
  </si>
  <si>
    <t>Columbia Villas</t>
  </si>
  <si>
    <t>Yahav Dinai</t>
  </si>
  <si>
    <t>Lead Equity - Columbia Villas</t>
  </si>
  <si>
    <t>Columbia Villas LLC</t>
  </si>
  <si>
    <t>75226-1030</t>
  </si>
  <si>
    <t>6201 Colwell Blvd</t>
  </si>
  <si>
    <t>AT&amp;T University Housing</t>
  </si>
  <si>
    <t>Las Colinas</t>
  </si>
  <si>
    <t>AT&amp;T, Inc.</t>
  </si>
  <si>
    <t>Southwestern Bell</t>
  </si>
  <si>
    <t>75039</t>
  </si>
  <si>
    <t>525 Commerce St</t>
  </si>
  <si>
    <t>Crestwood Apartments</t>
  </si>
  <si>
    <t>Outer Parker County</t>
  </si>
  <si>
    <t>Audrey Watt</t>
  </si>
  <si>
    <t>Legend - Crestwood Apartment</t>
  </si>
  <si>
    <t>Azle</t>
  </si>
  <si>
    <t>76020-2420</t>
  </si>
  <si>
    <t>09/25/2029</t>
  </si>
  <si>
    <t>3056 Commodore Dr</t>
  </si>
  <si>
    <t>Ronan</t>
  </si>
  <si>
    <t>Ashland Greene Capital</t>
  </si>
  <si>
    <t>AGL – The Ronan</t>
  </si>
  <si>
    <t>3056 Commodore Owner, LLC</t>
  </si>
  <si>
    <t>Grand Prairie</t>
  </si>
  <si>
    <t>75052</t>
  </si>
  <si>
    <t>247 E Corporate Dr</t>
  </si>
  <si>
    <t>The Vines</t>
  </si>
  <si>
    <t>Silverlands Management</t>
  </si>
  <si>
    <t>Silverlands - The Vines</t>
  </si>
  <si>
    <t>Vines 168 Llc</t>
  </si>
  <si>
    <t>256 E Corporate Dr</t>
  </si>
  <si>
    <t>Somerset</t>
  </si>
  <si>
    <t>Western Wealth Capital</t>
  </si>
  <si>
    <t>Western Wealth Communities - Somerset Apartments</t>
  </si>
  <si>
    <t>WWC Somerset, LP</t>
  </si>
  <si>
    <t>4700 Country Creek Dr</t>
  </si>
  <si>
    <t>Barbara Jordan Square</t>
  </si>
  <si>
    <t>South Oak Cliff</t>
  </si>
  <si>
    <t>Dallas Housing Authority</t>
  </si>
  <si>
    <t>DHA - Barbara Jordan</t>
  </si>
  <si>
    <t>75236-1278</t>
  </si>
  <si>
    <t>3560 Country Square Dr</t>
  </si>
  <si>
    <t>The Lochley</t>
  </si>
  <si>
    <t>Carrollton</t>
  </si>
  <si>
    <t>Madera Companies</t>
  </si>
  <si>
    <t>Greystar - The Lochley</t>
  </si>
  <si>
    <t>75006</t>
  </si>
  <si>
    <t>8325 County Rd 409</t>
  </si>
  <si>
    <t>Sean Ratliff</t>
  </si>
  <si>
    <t>Eagle Ridge Rv Dlg Llc</t>
  </si>
  <si>
    <t>Grandview</t>
  </si>
  <si>
    <t>76050</t>
  </si>
  <si>
    <t>6909 Custer Rd</t>
  </si>
  <si>
    <t>Legacy Apartments</t>
  </si>
  <si>
    <t>Anterra Management Corporation</t>
  </si>
  <si>
    <t>Anterra - Legacy Apartments</t>
  </si>
  <si>
    <t>Cornerstone Legacy, LP</t>
  </si>
  <si>
    <t>75023</t>
  </si>
  <si>
    <t>09/01/2030</t>
  </si>
  <si>
    <t>9211 Dale Lane Ct</t>
  </si>
  <si>
    <t>The Ridge/Parkdale Apartments</t>
  </si>
  <si>
    <t>Lackland Holdings, LLC</t>
  </si>
  <si>
    <t>Lackland Holdings - The Ridge &amp; Parkdale</t>
  </si>
  <si>
    <t>DEEPDALE INVESTMENTS LTD</t>
  </si>
  <si>
    <t>76108</t>
  </si>
  <si>
    <t>1030 Dallas Dr</t>
  </si>
  <si>
    <t>Camino Del Sol Apartment Homes</t>
  </si>
  <si>
    <t>Westdale Real Estate Investment and Management</t>
  </si>
  <si>
    <t>Westdale - Camino Del Sol Apartment Homes</t>
  </si>
  <si>
    <t>Westdale Camino Del Sol Lp</t>
  </si>
  <si>
    <t>76205-5278</t>
  </si>
  <si>
    <t>11/01/2031</t>
  </si>
  <si>
    <t>1901 W Davis St</t>
  </si>
  <si>
    <t>Casa Trevino Apartments</t>
  </si>
  <si>
    <t>Kessler</t>
  </si>
  <si>
    <t>Capital Realty Group, Inc.</t>
  </si>
  <si>
    <t>Associa</t>
  </si>
  <si>
    <t>Casa Trevino Elderly Apts Lp</t>
  </si>
  <si>
    <t>75208</t>
  </si>
  <si>
    <t>2479 Deer Run</t>
  </si>
  <si>
    <t>Wellington Park</t>
  </si>
  <si>
    <t>Allmark Properties, Inc.</t>
  </si>
  <si>
    <t>Allmark - Wellington Park</t>
  </si>
  <si>
    <t>Wellington Allmark</t>
  </si>
  <si>
    <t>05/01/2030</t>
  </si>
  <si>
    <t>3130 Devonshire Dr</t>
  </si>
  <si>
    <t>Cobblestone Condominiums</t>
  </si>
  <si>
    <t>Atlantic Community Management Corporation</t>
  </si>
  <si>
    <t>75075-3373</t>
  </si>
  <si>
    <t>2305 Driftwood Dr</t>
  </si>
  <si>
    <t>Raleigh at Towne Crossing</t>
  </si>
  <si>
    <t>S2 Residential - Raleigh at Towne Crossing</t>
  </si>
  <si>
    <t>75150</t>
  </si>
  <si>
    <t>4501 Druid Ln</t>
  </si>
  <si>
    <t>Parke at UP</t>
  </si>
  <si>
    <t>Love Field</t>
  </si>
  <si>
    <t>Silver Oak Multifamily Capital</t>
  </si>
  <si>
    <t>Indio - Parke at UP</t>
  </si>
  <si>
    <t>Somp-Parke, Lp</t>
  </si>
  <si>
    <t>75205</t>
  </si>
  <si>
    <t>07/01/2030</t>
  </si>
  <si>
    <t>4328 Duck Creek Dr</t>
  </si>
  <si>
    <t>Serena Vista</t>
  </si>
  <si>
    <t>Garland</t>
  </si>
  <si>
    <t>Cirrus Asset Management, Inc.</t>
  </si>
  <si>
    <t>Cirrus - Serena Vista</t>
  </si>
  <si>
    <t>Forest At Duck Creek LLC</t>
  </si>
  <si>
    <t>75043</t>
  </si>
  <si>
    <t>12/23/2026</t>
  </si>
  <si>
    <t>950 Duncan Perry Rd</t>
  </si>
  <si>
    <t>Sugar Creek</t>
  </si>
  <si>
    <t>Texas Master Investment Group</t>
  </si>
  <si>
    <t>Texas Master - Sugar Creek</t>
  </si>
  <si>
    <t>Sugar Creek Properties LLC</t>
  </si>
  <si>
    <t>75050-2928</t>
  </si>
  <si>
    <t>2626 Duncanville Rd</t>
  </si>
  <si>
    <t>Mountain Ridge</t>
  </si>
  <si>
    <t>Mountain View</t>
  </si>
  <si>
    <t>Threshold Capital</t>
  </si>
  <si>
    <t>Westdale - Mountain Ridge</t>
  </si>
  <si>
    <t>Threshold H-mr Llc</t>
  </si>
  <si>
    <t>75211-7423</t>
  </si>
  <si>
    <t>4753 Duncanville Rd</t>
  </si>
  <si>
    <t>Solaire</t>
  </si>
  <si>
    <t>Sequoia Investment, Inc</t>
  </si>
  <si>
    <t>Capstone - Solaire</t>
  </si>
  <si>
    <t>Solaire Partners Llc</t>
  </si>
  <si>
    <t>01/01/2028</t>
  </si>
  <si>
    <t>151 Ebo St</t>
  </si>
  <si>
    <t>Windtree Apartments</t>
  </si>
  <si>
    <t>Kaufman County</t>
  </si>
  <si>
    <t>Arturo Martinez</t>
  </si>
  <si>
    <t>Kaufman</t>
  </si>
  <si>
    <t>75142-1877</t>
  </si>
  <si>
    <t>06/01/2036</t>
  </si>
  <si>
    <t>Construction</t>
  </si>
  <si>
    <t>7301 Ederville Rd</t>
  </si>
  <si>
    <t>The Campbell</t>
  </si>
  <si>
    <t>Ryanwood</t>
  </si>
  <si>
    <t>RPM - The Campbell</t>
  </si>
  <si>
    <t>7301 Ederville Road LLC</t>
  </si>
  <si>
    <t>76112-3509</t>
  </si>
  <si>
    <t>08/01/2029</t>
  </si>
  <si>
    <t>8551 Ederville Rd</t>
  </si>
  <si>
    <t>Woods of Eastchase</t>
  </si>
  <si>
    <t>Outer East Fort Worth</t>
  </si>
  <si>
    <t>Roberts Realty Advisors</t>
  </si>
  <si>
    <t>Walker Holder - Woods of Eastchase</t>
  </si>
  <si>
    <t>WOODS OF EASTCHASE LLC</t>
  </si>
  <si>
    <t>76120-5158</t>
  </si>
  <si>
    <t>1500 Eldorado Pky</t>
  </si>
  <si>
    <t>The Gables of McKinney</t>
  </si>
  <si>
    <t>Allen/McKinney</t>
  </si>
  <si>
    <t>Brookfield Properties</t>
  </si>
  <si>
    <t>Brookfield - The Gables of McKinney</t>
  </si>
  <si>
    <t>GABLES MCKINNEY OWNER LP</t>
  </si>
  <si>
    <t>McKinney</t>
  </si>
  <si>
    <t>75069</t>
  </si>
  <si>
    <t>06/09/2026</t>
  </si>
  <si>
    <t>3602 Eldridge St</t>
  </si>
  <si>
    <t>Hulen Park Place Townhomes</t>
  </si>
  <si>
    <t>Chittaranjan Joshi</t>
  </si>
  <si>
    <t>U.S. Property - Hulen Park Place Townhomes</t>
  </si>
  <si>
    <t>HULEN PARK TOWNHOMES LLC</t>
  </si>
  <si>
    <t>76107-6833</t>
  </si>
  <si>
    <t>1400 Esters Rd</t>
  </si>
  <si>
    <t>Foxborough Apartments</t>
  </si>
  <si>
    <t>Omninet Capital</t>
  </si>
  <si>
    <t>Pioneer Property Management - Foxborough</t>
  </si>
  <si>
    <t>Omninet Foxborough, LP</t>
  </si>
  <si>
    <t>75061</t>
  </si>
  <si>
    <t>12/01/2027</t>
  </si>
  <si>
    <t>1826-1829 Esters Rd</t>
  </si>
  <si>
    <t>Irving Park</t>
  </si>
  <si>
    <t>BMG Real Estate Investments</t>
  </si>
  <si>
    <t>BMG - Irving Park</t>
  </si>
  <si>
    <t>Bmgrei Esters Llc</t>
  </si>
  <si>
    <t>1814 Estrada Pky</t>
  </si>
  <si>
    <t>Wythe Apartment Homes</t>
  </si>
  <si>
    <t>AG Living</t>
  </si>
  <si>
    <t>AGL - Wythe Apartment Homes</t>
  </si>
  <si>
    <t>1402 Fannidella Dr</t>
  </si>
  <si>
    <t>Meadows Apartments</t>
  </si>
  <si>
    <t>Original Town</t>
  </si>
  <si>
    <t>Mohammad S &amp; Rona Walizada</t>
  </si>
  <si>
    <t>Rona Walizada</t>
  </si>
  <si>
    <t>75006-8903</t>
  </si>
  <si>
    <t>8850 Ferguson Rd</t>
  </si>
  <si>
    <t>Halston</t>
  </si>
  <si>
    <t>Knightvest Management</t>
  </si>
  <si>
    <t>Knightvest - Halston</t>
  </si>
  <si>
    <t>Knightvest Halston LLC</t>
  </si>
  <si>
    <t>3601 Fielders Glen Dr</t>
  </si>
  <si>
    <t>Rise West Arlington</t>
  </si>
  <si>
    <t>Rise48 - Rise West Arlington</t>
  </si>
  <si>
    <t>DFO West Arlington Tic, LLC</t>
  </si>
  <si>
    <t>76015</t>
  </si>
  <si>
    <t>401 Fleming St</t>
  </si>
  <si>
    <t>Rustic Oaks</t>
  </si>
  <si>
    <t>Downtown Wylie</t>
  </si>
  <si>
    <t>Westdale - Rustic Oaks Apartments</t>
  </si>
  <si>
    <t>Westdale Rustic Oaks Ltd</t>
  </si>
  <si>
    <t>Wylie</t>
  </si>
  <si>
    <t>75098-4300</t>
  </si>
  <si>
    <t>08/01/2033</t>
  </si>
  <si>
    <t>1552 Forest Park Cir</t>
  </si>
  <si>
    <t>Forest Park</t>
  </si>
  <si>
    <t>S &amp; H - Forest Park Apartments</t>
  </si>
  <si>
    <t>Forest Park Apartments LLP</t>
  </si>
  <si>
    <t>76021-5670</t>
  </si>
  <si>
    <t>2200 Forest Ridge Dr</t>
  </si>
  <si>
    <t>Arbors on Forest Ridge Apartments</t>
  </si>
  <si>
    <t>NexPoint Residential Trust</t>
  </si>
  <si>
    <t>BH - Arbors on Forest Ridge</t>
  </si>
  <si>
    <t>Frbh Arbors Llc</t>
  </si>
  <si>
    <t>2626 Frankford Rd</t>
  </si>
  <si>
    <t>Centerpoint Apartments</t>
  </si>
  <si>
    <t>Timberglen</t>
  </si>
  <si>
    <t>Zidell Property Management Company</t>
  </si>
  <si>
    <t>Zidell Properties - Centerpoint</t>
  </si>
  <si>
    <t>Centerpoint Apt Ltd P/s</t>
  </si>
  <si>
    <t>A</t>
  </si>
  <si>
    <t>75287</t>
  </si>
  <si>
    <t>09/01/2031</t>
  </si>
  <si>
    <t>18383 Gallery Dr</t>
  </si>
  <si>
    <t>Gallery</t>
  </si>
  <si>
    <t>Far North Dallas</t>
  </si>
  <si>
    <t>Glorious Sun</t>
  </si>
  <si>
    <t>Glorious Sun - Gallery Apartments</t>
  </si>
  <si>
    <t>Busy Day Usa Inc</t>
  </si>
  <si>
    <t>75252</t>
  </si>
  <si>
    <t>3801 Gannon Ln</t>
  </si>
  <si>
    <t>The Interlace</t>
  </si>
  <si>
    <t>Texas Essential Housing Public Facility Corp.</t>
  </si>
  <si>
    <t>KPM - The Interlace</t>
  </si>
  <si>
    <t>75237</t>
  </si>
  <si>
    <t>Line of Credit</t>
  </si>
  <si>
    <t>3913 Gannon Ln</t>
  </si>
  <si>
    <t>Cadence</t>
  </si>
  <si>
    <t>Polaris Real Estate Partners</t>
  </si>
  <si>
    <t>Iridium AM - Cadence</t>
  </si>
  <si>
    <t>Polaris Tx19 Llc</t>
  </si>
  <si>
    <t>75237-4293</t>
  </si>
  <si>
    <t>2015 N Garrett Ave</t>
  </si>
  <si>
    <t>Garrett Gardens</t>
  </si>
  <si>
    <t>Perry Guest - Garrett Gardens Apartments</t>
  </si>
  <si>
    <t>7777 Glen America Dr</t>
  </si>
  <si>
    <t>Tonti Lakeside</t>
  </si>
  <si>
    <t>North Dallas</t>
  </si>
  <si>
    <t>Tonti Properties</t>
  </si>
  <si>
    <t>Tonti - Tonti Lakeside</t>
  </si>
  <si>
    <t>Creekwood Lakeside Ltd</t>
  </si>
  <si>
    <t>75225-1844</t>
  </si>
  <si>
    <t>6525 Glenview Dr</t>
  </si>
  <si>
    <t>Barrett Creek</t>
  </si>
  <si>
    <t>BeazWorkz Investing</t>
  </si>
  <si>
    <t>U.S Property Consultants- Barrett Creek</t>
  </si>
  <si>
    <t>Bw Barrett Creek Llc</t>
  </si>
  <si>
    <t>76180</t>
  </si>
  <si>
    <t>01/01/2033</t>
  </si>
  <si>
    <t>2710 Golden Creek Ln</t>
  </si>
  <si>
    <t>Copperchase Apartments</t>
  </si>
  <si>
    <t>Apartment Service Management Company</t>
  </si>
  <si>
    <t>ASC - Copperchase</t>
  </si>
  <si>
    <t>Armore-copperchase Ltd</t>
  </si>
  <si>
    <t>76006-3528</t>
  </si>
  <si>
    <t>10/01/2031</t>
  </si>
  <si>
    <t>6250 Granbury Cut Off St</t>
  </si>
  <si>
    <t>Park at LeBlanc</t>
  </si>
  <si>
    <t>Citadel Real Estate Group, LLC</t>
  </si>
  <si>
    <t>Stonemark  - Park at LeBlanc</t>
  </si>
  <si>
    <t>Pecos Housing Finance Corporation</t>
  </si>
  <si>
    <t>76132</t>
  </si>
  <si>
    <t>05/06/2027</t>
  </si>
  <si>
    <t>7150 E Grand Ave</t>
  </si>
  <si>
    <t>The Eagle at Lakewood</t>
  </si>
  <si>
    <t>Tides Equities</t>
  </si>
  <si>
    <t>Summit - The Eagle at Lakewood</t>
  </si>
  <si>
    <t>Tides At Lakewood Owner Llc</t>
  </si>
  <si>
    <t>75223</t>
  </si>
  <si>
    <t>7510 E Grand Ave</t>
  </si>
  <si>
    <t>Bluffs of Lakewood</t>
  </si>
  <si>
    <t>MLG Asset Management LLC</t>
  </si>
  <si>
    <t>Valiant - Bluffs of Lakewood</t>
  </si>
  <si>
    <t>Bluffs At Lakewood Acquisition</t>
  </si>
  <si>
    <t>600 S Graves St</t>
  </si>
  <si>
    <t>Brixton McKinney</t>
  </si>
  <si>
    <t>Western Wealth Communities - Brixton McKinney</t>
  </si>
  <si>
    <t>New Mckinney Lp</t>
  </si>
  <si>
    <t>75069-4986</t>
  </si>
  <si>
    <t>2300 Grayson Dr</t>
  </si>
  <si>
    <t>MAA Grapevine</t>
  </si>
  <si>
    <t>Grapevine</t>
  </si>
  <si>
    <t>Mid-America Apartment Communities, Inc.</t>
  </si>
  <si>
    <t>MAA - MAA Grapevine</t>
  </si>
  <si>
    <t>76051</t>
  </si>
  <si>
    <t>01/28/2005</t>
  </si>
  <si>
    <t>1705 NE Green Oaks Blvd</t>
  </si>
  <si>
    <t>Verandahs at Cliffside Apartments</t>
  </si>
  <si>
    <t>EQT Real Estate</t>
  </si>
  <si>
    <t>BH - Verandahs at Cliffside Apartments</t>
  </si>
  <si>
    <t>MLSFP VERANDAH I LLC</t>
  </si>
  <si>
    <t>76006-4227</t>
  </si>
  <si>
    <t>09/01/2027</t>
  </si>
  <si>
    <t>449 Harris St</t>
  </si>
  <si>
    <t>Windance</t>
  </si>
  <si>
    <t>Coppell</t>
  </si>
  <si>
    <t>Kara Cadue</t>
  </si>
  <si>
    <t>75019</t>
  </si>
  <si>
    <t>2400 Harwood Rd</t>
  </si>
  <si>
    <t>Copper Canyon Apartments</t>
  </si>
  <si>
    <t>Westdale - Copper Canyon Apartments</t>
  </si>
  <si>
    <t>Westdale Copper Canyon Ltd</t>
  </si>
  <si>
    <t>3800 Harwood Rd</t>
  </si>
  <si>
    <t>Oakwood Condominiums</t>
  </si>
  <si>
    <t>Warren Properties, Inc</t>
  </si>
  <si>
    <t>Warren - Oakwood Condominiums</t>
  </si>
  <si>
    <t>Oakwood Bedford Properties Llc</t>
  </si>
  <si>
    <t>4909 Haverwood Ln</t>
  </si>
  <si>
    <t>The Monte</t>
  </si>
  <si>
    <t>S2 Residential - The Monte</t>
  </si>
  <si>
    <t>200 N Henderson Ave</t>
  </si>
  <si>
    <t>The Vail</t>
  </si>
  <si>
    <t>Lakewood on Henderson LLC</t>
  </si>
  <si>
    <t>Freshwater Group - The Vail</t>
  </si>
  <si>
    <t>1600 Heritage Dr</t>
  </si>
  <si>
    <t>Oaklyn Apartment Homes</t>
  </si>
  <si>
    <t>Eastham Capital, Inc.</t>
  </si>
  <si>
    <t>Greystar - Oaklyn Apartment Homes</t>
  </si>
  <si>
    <t>1600 Heritage Mckinney LLC</t>
  </si>
  <si>
    <t>Mckinney</t>
  </si>
  <si>
    <t>7275 Hickory St</t>
  </si>
  <si>
    <t>Fox Haven Apartments</t>
  </si>
  <si>
    <t>Frisco</t>
  </si>
  <si>
    <t>Daniel Anzualda</t>
  </si>
  <si>
    <t>Anterra - Fox Haven Apartments</t>
  </si>
  <si>
    <t>Cornerstone Fox Haven Lp</t>
  </si>
  <si>
    <t>75034</t>
  </si>
  <si>
    <t>1127 Hidden Rdg</t>
  </si>
  <si>
    <t>Resort at Jefferson Park</t>
  </si>
  <si>
    <t>Paramount Investments</t>
  </si>
  <si>
    <t>Paramount - The Resort at Jefferson Park</t>
  </si>
  <si>
    <t>Paramount JR, LLC</t>
  </si>
  <si>
    <t>75038</t>
  </si>
  <si>
    <t>5836 Highland Park Dr</t>
  </si>
  <si>
    <t>Highland Park Apartments</t>
  </si>
  <si>
    <t>Rockwood Capital</t>
  </si>
  <si>
    <t>Rockwood Capital - Highland Park</t>
  </si>
  <si>
    <t>SW Highland LLC</t>
  </si>
  <si>
    <t>2106 N Highway 175</t>
  </si>
  <si>
    <t>Cedar Point</t>
  </si>
  <si>
    <t>Wealth Grow Investments</t>
  </si>
  <si>
    <t>Centra - Cedar Point</t>
  </si>
  <si>
    <t>Seagoville CP LLC</t>
  </si>
  <si>
    <t>Seagoville</t>
  </si>
  <si>
    <t>75159-2238</t>
  </si>
  <si>
    <t>2510 Highway 175N</t>
  </si>
  <si>
    <t>Creekside in Texas</t>
  </si>
  <si>
    <t>YES! Communities</t>
  </si>
  <si>
    <t>YES! - Creekside in Texas</t>
  </si>
  <si>
    <t>Yes Creekside TX LLC</t>
  </si>
  <si>
    <t>75159</t>
  </si>
  <si>
    <t>1001 S Highway 78</t>
  </si>
  <si>
    <t>Wylie Propane &amp; Mobile Home Park</t>
  </si>
  <si>
    <t>Rowlett/Wylie</t>
  </si>
  <si>
    <t>Comfort Communities, LLC</t>
  </si>
  <si>
    <t>Casa Piena Mhc Llc</t>
  </si>
  <si>
    <t>75098-5501</t>
  </si>
  <si>
    <t>12660 Hillcrest Rd</t>
  </si>
  <si>
    <t>Williamsburg Condominiums</t>
  </si>
  <si>
    <t>Joyce E Bartsch</t>
  </si>
  <si>
    <t>75230</t>
  </si>
  <si>
    <t>355 NW Hillery St</t>
  </si>
  <si>
    <t>The Arbors of Burleson</t>
  </si>
  <si>
    <t>The Paskin Group</t>
  </si>
  <si>
    <t>Paskin - The Arbors of Burleson</t>
  </si>
  <si>
    <t>Christopher Armour</t>
  </si>
  <si>
    <t>Burleson</t>
  </si>
  <si>
    <t>76028</t>
  </si>
  <si>
    <t>06/01/2031</t>
  </si>
  <si>
    <t>501 Houston St</t>
  </si>
  <si>
    <t>Heritage Square Townhomes</t>
  </si>
  <si>
    <t>Masina Multifamily LLC</t>
  </si>
  <si>
    <t>Skanda Investments LLC</t>
  </si>
  <si>
    <t>05/01/2041</t>
  </si>
  <si>
    <t>6351 Hulen Bend Blvd</t>
  </si>
  <si>
    <t>Tides on Hulen</t>
  </si>
  <si>
    <t>FPI - Tides on Hulen</t>
  </si>
  <si>
    <t>Tides On Hulen Owner LLC</t>
  </si>
  <si>
    <t>6401 Hulen Bend Blvd</t>
  </si>
  <si>
    <t>The Hub at Chisholm Trail</t>
  </si>
  <si>
    <t>Summit - The Hub at Chisholm Trail</t>
  </si>
  <si>
    <t>SPCP Hulen Bend Owner LLC</t>
  </si>
  <si>
    <t>76132-2808</t>
  </si>
  <si>
    <t>6500 Hulen Bend Blvd</t>
  </si>
  <si>
    <t>Mylo Apartments</t>
  </si>
  <si>
    <t>BH - Mylo Apartment Homes</t>
  </si>
  <si>
    <t>BDS IV TX MYLO APARTMENTS LLC</t>
  </si>
  <si>
    <t>715 Hustead St</t>
  </si>
  <si>
    <t>Highlands of Duncanville</t>
  </si>
  <si>
    <t>Monticello Real Estate</t>
  </si>
  <si>
    <t>Monticello - Highlands of Duncanville</t>
  </si>
  <si>
    <t>Rbt Inc</t>
  </si>
  <si>
    <t>Duncanville</t>
  </si>
  <si>
    <t>75116-3564</t>
  </si>
  <si>
    <t>901 N I-45</t>
  </si>
  <si>
    <t>Emerald Garden Apartments</t>
  </si>
  <si>
    <t>Serge Perusse</t>
  </si>
  <si>
    <t>Eg Apartments Llc</t>
  </si>
  <si>
    <t>Ennis</t>
  </si>
  <si>
    <t>75119</t>
  </si>
  <si>
    <t>10/01/2030</t>
  </si>
  <si>
    <t>2500 N Interstate 35</t>
  </si>
  <si>
    <t>Prairie Hollow Apartments</t>
  </si>
  <si>
    <t>Uptown Denton</t>
  </si>
  <si>
    <t>Feras Properties, LLC</t>
  </si>
  <si>
    <t>Feras - Prairie Hollow Apartments</t>
  </si>
  <si>
    <t>State Of Texas / Dept Of Transportation</t>
  </si>
  <si>
    <t>76201-5123</t>
  </si>
  <si>
    <t>2411 S Interstate 35 E</t>
  </si>
  <si>
    <t>Paces Crossing</t>
  </si>
  <si>
    <t>Luma Residential</t>
  </si>
  <si>
    <t>Luma Residential - Paces Crossing</t>
  </si>
  <si>
    <t>Denton Pcr Ltd</t>
  </si>
  <si>
    <t>76210-4987</t>
  </si>
  <si>
    <t>820 Isbell Rd</t>
  </si>
  <si>
    <t>Brookside Mobile Home Park</t>
  </si>
  <si>
    <t>Usonia Partners</t>
  </si>
  <si>
    <t>Usonia Mh Brookside Property Llc</t>
  </si>
  <si>
    <t>76114-3459</t>
  </si>
  <si>
    <t>700 Jarvis Ln</t>
  </si>
  <si>
    <t>Azle Oaks Apartments</t>
  </si>
  <si>
    <t>76020-3249</t>
  </si>
  <si>
    <t>5015 Joe Ramsey Blvd</t>
  </si>
  <si>
    <t>Ridge Apartments</t>
  </si>
  <si>
    <t>Hunt County</t>
  </si>
  <si>
    <t>Pardue - The Ridge Apartments</t>
  </si>
  <si>
    <t>Greenville</t>
  </si>
  <si>
    <t>75401</t>
  </si>
  <si>
    <t>4900 Joe Ramsey Blvd E</t>
  </si>
  <si>
    <t>Solarium</t>
  </si>
  <si>
    <t>Valcap Group - Solarium</t>
  </si>
  <si>
    <t>160 Joe Ramsey Llc</t>
  </si>
  <si>
    <t>75401-7862</t>
  </si>
  <si>
    <t>1919 Joe Ramsey Blvd N</t>
  </si>
  <si>
    <t>Garden Park Apartments</t>
  </si>
  <si>
    <t>Michael Halberstam</t>
  </si>
  <si>
    <t>Van Skyer, LLC</t>
  </si>
  <si>
    <t>05/01/2029</t>
  </si>
  <si>
    <t>301 N Joe Wilson Rd</t>
  </si>
  <si>
    <t>Wilson Crossing</t>
  </si>
  <si>
    <t>Luma Residential - Wilson Crossing Apartments</t>
  </si>
  <si>
    <t>LXD-WSC LLC</t>
  </si>
  <si>
    <t>Cedar Hill</t>
  </si>
  <si>
    <t>75104</t>
  </si>
  <si>
    <t>7040 John T White Rd</t>
  </si>
  <si>
    <t>Griffin</t>
  </si>
  <si>
    <t>Sentinel Peak Capital Partners</t>
  </si>
  <si>
    <t>Summit - Griffin</t>
  </si>
  <si>
    <t>76120-3212</t>
  </si>
  <si>
    <t>04/09/2029</t>
  </si>
  <si>
    <t>7050 John T White Rd</t>
  </si>
  <si>
    <t>Valencia Plaza</t>
  </si>
  <si>
    <t>LM Max Realty</t>
  </si>
  <si>
    <t>LiveNJoy - Valencia Plaza</t>
  </si>
  <si>
    <t>Valencia Plaza Ruby Apartments, LLC</t>
  </si>
  <si>
    <t>76120-3206</t>
  </si>
  <si>
    <t>1720 John West Rd</t>
  </si>
  <si>
    <t>The Elise</t>
  </si>
  <si>
    <t>Pensam</t>
  </si>
  <si>
    <t>BH - The Elise</t>
  </si>
  <si>
    <t>1720 John West LLC</t>
  </si>
  <si>
    <t>11/01/2032</t>
  </si>
  <si>
    <t>4600 N Josey Ln</t>
  </si>
  <si>
    <t>Keystone At Castle Hills</t>
  </si>
  <si>
    <t>Starwood Real Estate Income Trust, Inc.</t>
  </si>
  <si>
    <t>Highmark - Keystone at Castle Hills</t>
  </si>
  <si>
    <t>Sreit Castle Hills LLC</t>
  </si>
  <si>
    <t>75010</t>
  </si>
  <si>
    <t>12/01/2032</t>
  </si>
  <si>
    <t>4747 N Josey Ln</t>
  </si>
  <si>
    <t>Fieldcrest</t>
  </si>
  <si>
    <t>Dream Unlimited Corporation</t>
  </si>
  <si>
    <t>Willow Bridge - Fieldcrest</t>
  </si>
  <si>
    <t>Dream/Pauls Fieldcrest LLC</t>
  </si>
  <si>
    <t>12610 Jupiter Rd</t>
  </si>
  <si>
    <t>Birch Apartment Homes</t>
  </si>
  <si>
    <t>Lake Highlands</t>
  </si>
  <si>
    <t>BH - Birch</t>
  </si>
  <si>
    <t>75238</t>
  </si>
  <si>
    <t>12993 Jupiter Rd</t>
  </si>
  <si>
    <t>Fountains Of Jupiter</t>
  </si>
  <si>
    <t>Clover Capital Partners</t>
  </si>
  <si>
    <t>Devonshire- Fountains of Jupiter</t>
  </si>
  <si>
    <t>Clover Fountains Of Jupiter Owner Llc</t>
  </si>
  <si>
    <t>3501 N Jupiter Rd</t>
  </si>
  <si>
    <t>Spring Pointe Apartments</t>
  </si>
  <si>
    <t>Leste Group</t>
  </si>
  <si>
    <t>Valiant - Spring Pointe</t>
  </si>
  <si>
    <t>75082</t>
  </si>
  <si>
    <t>1500 S Jupiter Rd</t>
  </si>
  <si>
    <t>The Jove Apartment Homes</t>
  </si>
  <si>
    <t>Q10 - The Jove Apartment Homes</t>
  </si>
  <si>
    <t>CO3 Presidio 202 Borrower DE LLC</t>
  </si>
  <si>
    <t>Allen</t>
  </si>
  <si>
    <t>75002</t>
  </si>
  <si>
    <t>3201 Kari Ln</t>
  </si>
  <si>
    <t>Southridge Apartments</t>
  </si>
  <si>
    <t>Struga Management L.L.C.</t>
  </si>
  <si>
    <t>Struga - Southridge Apartments</t>
  </si>
  <si>
    <t>Alba Southridge Partners Ltd</t>
  </si>
  <si>
    <t>75402</t>
  </si>
  <si>
    <t>2050 Keller Springs Rd</t>
  </si>
  <si>
    <t>Villas of Josey Ranch</t>
  </si>
  <si>
    <t>Domain Communities</t>
  </si>
  <si>
    <t>The Tipton Group - Villas of Josey Ranch</t>
  </si>
  <si>
    <t>Domain Josey Apartments, LLC</t>
  </si>
  <si>
    <t>04/01/2026</t>
  </si>
  <si>
    <t>17910 Kelly Blvd</t>
  </si>
  <si>
    <t>Savannah at North Dallas</t>
  </si>
  <si>
    <t>Archway Holdings Corp.</t>
  </si>
  <si>
    <t>Arete - Savanah at North Dallas</t>
  </si>
  <si>
    <t>Arch Toscana Owner, LLC</t>
  </si>
  <si>
    <t>18050 Kelly Blvd</t>
  </si>
  <si>
    <t>Slate Apartments</t>
  </si>
  <si>
    <t>TwinkleStar Asset</t>
  </si>
  <si>
    <t>Richmark - Slate Apartments</t>
  </si>
  <si>
    <t>Ts Asset Slate Ii Llc</t>
  </si>
  <si>
    <t>18211 Kelly Blvd</t>
  </si>
  <si>
    <t>Carrollton Park Of North Dallas</t>
  </si>
  <si>
    <t>Frankel Family Trust</t>
  </si>
  <si>
    <t>Management Support - Carrollton Park of N Dallas</t>
  </si>
  <si>
    <t>17250 Knoll Trail Dr</t>
  </si>
  <si>
    <t>The Courts of Bent Tree</t>
  </si>
  <si>
    <t>Blue Lake Capital</t>
  </si>
  <si>
    <t>Willow Bridge - The Courts of Bent Tree</t>
  </si>
  <si>
    <t>BLV Bent Tree LLC</t>
  </si>
  <si>
    <t>75248-1155</t>
  </si>
  <si>
    <t>1608-1612 L Ave</t>
  </si>
  <si>
    <t>Plano Community Home</t>
  </si>
  <si>
    <t>Downtown Plano</t>
  </si>
  <si>
    <t>Plano Community Home Inc</t>
  </si>
  <si>
    <t>75074</t>
  </si>
  <si>
    <t>07/01/2042</t>
  </si>
  <si>
    <t>7440 La Vista Dr</t>
  </si>
  <si>
    <t>The Tenison at White Rock</t>
  </si>
  <si>
    <t>Greystar - Tenison at White Rock</t>
  </si>
  <si>
    <t>7440 La Vista Dallas Llc</t>
  </si>
  <si>
    <t>16500 Lauder Ln</t>
  </si>
  <si>
    <t>MAA Highlands North</t>
  </si>
  <si>
    <t>MAA - MAA Highlands North</t>
  </si>
  <si>
    <t>Mid-America Apartments, LP</t>
  </si>
  <si>
    <t>07/22/1999</t>
  </si>
  <si>
    <t>600 Legacy Dr</t>
  </si>
  <si>
    <t>Villas at Chase Oaks</t>
  </si>
  <si>
    <t>CAF - Villas at Chase Oaks</t>
  </si>
  <si>
    <t>Wwc Chase Oaks Lp</t>
  </si>
  <si>
    <t>75023-2230</t>
  </si>
  <si>
    <t>04/09/2026</t>
  </si>
  <si>
    <t>700 Leisure Dr</t>
  </si>
  <si>
    <t>Leisure Living MHP</t>
  </si>
  <si>
    <t>Tamara J Linn</t>
  </si>
  <si>
    <t>76120</t>
  </si>
  <si>
    <t>06/06/2031</t>
  </si>
  <si>
    <t>18800 Lina St</t>
  </si>
  <si>
    <t>Dallas North Park Apartments</t>
  </si>
  <si>
    <t>Bridge - Dallas North Park Apartments</t>
  </si>
  <si>
    <t>BMF IV TX Ashlar LLC</t>
  </si>
  <si>
    <t>09/11/2026</t>
  </si>
  <si>
    <t>18809 Lina St</t>
  </si>
  <si>
    <t>City Limits Apartments</t>
  </si>
  <si>
    <t>Cypress Company</t>
  </si>
  <si>
    <t>Cypress - City Limits Apartments</t>
  </si>
  <si>
    <t>Champlain Investments</t>
  </si>
  <si>
    <t>75287-2500</t>
  </si>
  <si>
    <t>18959 Lina St</t>
  </si>
  <si>
    <t>Eagle Creek Apartments</t>
  </si>
  <si>
    <t>Cypress - Eagle Creek Apartments</t>
  </si>
  <si>
    <t>Eagle Ck Prop P/s</t>
  </si>
  <si>
    <t>75287-2400</t>
  </si>
  <si>
    <t>616 Linda Dr</t>
  </si>
  <si>
    <t>Woodstock III Square</t>
  </si>
  <si>
    <t>Fountainhead - Woodstock Square</t>
  </si>
  <si>
    <t>Woodstock III Ltd</t>
  </si>
  <si>
    <t>Joshua</t>
  </si>
  <si>
    <t>76058-3015</t>
  </si>
  <si>
    <t>151 E Little Creek Rd</t>
  </si>
  <si>
    <t>Little Creek of Cedar Hill</t>
  </si>
  <si>
    <t>Tri City Equity Group</t>
  </si>
  <si>
    <t>Blacksand -  Little Creek Apartments</t>
  </si>
  <si>
    <t>TEG Creek LLC</t>
  </si>
  <si>
    <t>75104-3329</t>
  </si>
  <si>
    <t>18909 Lloyd Cir</t>
  </si>
  <si>
    <t>Preston Village Apartments</t>
  </si>
  <si>
    <t>Preston Village</t>
  </si>
  <si>
    <t>Richdale - Preston Village Apartments</t>
  </si>
  <si>
    <t>Texas Sfi Ppartnership 48 Ltd</t>
  </si>
  <si>
    <t>18790 Lloyd Dr</t>
  </si>
  <si>
    <t>Preston Bend Apartments</t>
  </si>
  <si>
    <t>Brown Family Ventures LTD</t>
  </si>
  <si>
    <t>Anterra - Preston Bend Apartments</t>
  </si>
  <si>
    <t>Brown Preston Bend LLC</t>
  </si>
  <si>
    <t>75252-3208</t>
  </si>
  <si>
    <t>1408 Longhorn Trl</t>
  </si>
  <si>
    <t>St Charles Place</t>
  </si>
  <si>
    <t>Fountainhead - St Charles Place</t>
  </si>
  <si>
    <t>Crowley Fountainhead</t>
  </si>
  <si>
    <t>Crowley</t>
  </si>
  <si>
    <t>76036-4760</t>
  </si>
  <si>
    <t>5045 E Loop 820 S</t>
  </si>
  <si>
    <t>Lake Arlington Ranch</t>
  </si>
  <si>
    <t>BlackBeard Operating, LLC</t>
  </si>
  <si>
    <t>Blackbeard Resources Royalty Llc</t>
  </si>
  <si>
    <t>5301 N MacArthur Blvd</t>
  </si>
  <si>
    <t>Resort at Jefferson Ridge</t>
  </si>
  <si>
    <t>Paramount - The Resorts at Jefferson Ridge</t>
  </si>
  <si>
    <t>02/01/2058</t>
  </si>
  <si>
    <t>6300 N MacArthur Blvd</t>
  </si>
  <si>
    <t>Jefferson Place Apartments</t>
  </si>
  <si>
    <t>Westdale - Jefferson Place Apartments</t>
  </si>
  <si>
    <t>Westdale Jefferson Place Tx</t>
  </si>
  <si>
    <t>75039-3854</t>
  </si>
  <si>
    <t>12/01/2026</t>
  </si>
  <si>
    <t>10201 N Macarthur Blvd</t>
  </si>
  <si>
    <t>Hyde Park at Valley Ranch</t>
  </si>
  <si>
    <t>Valley Ranch</t>
  </si>
  <si>
    <t>S2 Residential - Hyde Park at Valley Ranch</t>
  </si>
  <si>
    <t>S2 Hyde Park LLC</t>
  </si>
  <si>
    <t>75063-5303</t>
  </si>
  <si>
    <t>09/01/2032</t>
  </si>
  <si>
    <t>230 S Macarthur Blvd</t>
  </si>
  <si>
    <t>Wellington Place</t>
  </si>
  <si>
    <t>Orion Realty Advisors</t>
  </si>
  <si>
    <t>RPM - Wellington Place- Coppell</t>
  </si>
  <si>
    <t>St Martin De Porres Inc</t>
  </si>
  <si>
    <t>75019-3676</t>
  </si>
  <si>
    <t>05/01/2044</t>
  </si>
  <si>
    <t>3443 Mahanna St</t>
  </si>
  <si>
    <t>Parkford Oaks Apartments</t>
  </si>
  <si>
    <t>Medical District</t>
  </si>
  <si>
    <t>Michael Stevens Interests, Inc.</t>
  </si>
  <si>
    <t>Michael Stevens - Parkford Oaks Apartments</t>
  </si>
  <si>
    <t>Texas Msi Ltd</t>
  </si>
  <si>
    <t>75209</t>
  </si>
  <si>
    <t>1550 N Main St</t>
  </si>
  <si>
    <t>Silver Leaf</t>
  </si>
  <si>
    <t>Downtown Mansfield</t>
  </si>
  <si>
    <t>GIC Real Estate</t>
  </si>
  <si>
    <t>YES! - Silver Leaf</t>
  </si>
  <si>
    <t>Yes Silver Leaf Llc</t>
  </si>
  <si>
    <t>Mansfield</t>
  </si>
  <si>
    <t>76063</t>
  </si>
  <si>
    <t>413 S Main St</t>
  </si>
  <si>
    <t>Mansfield Plaza Apartments</t>
  </si>
  <si>
    <t>Boston Capital Corporation</t>
  </si>
  <si>
    <t>Pinnacle Homestead - Mansfield Plaza Apartments</t>
  </si>
  <si>
    <t>MANSFIELD PLAZA APARTMENTS LTD</t>
  </si>
  <si>
    <t>76063-3108</t>
  </si>
  <si>
    <t>4500 Marine Creek Pky</t>
  </si>
  <si>
    <t>Marine Creek Apartment Homes</t>
  </si>
  <si>
    <t>Marine Creek</t>
  </si>
  <si>
    <t>Exponential Property Group</t>
  </si>
  <si>
    <t>Exponential - Marine Creek</t>
  </si>
  <si>
    <t>Exponential Property Group VIII-D LLC</t>
  </si>
  <si>
    <t>76106-2401</t>
  </si>
  <si>
    <t>9010 Markville Dr</t>
  </si>
  <si>
    <t>Infinity on the Mark</t>
  </si>
  <si>
    <t>Landmark - Infinity on the Mark</t>
  </si>
  <si>
    <t>Markville Owner, LLC</t>
  </si>
  <si>
    <t>220 S Marsalis Ave</t>
  </si>
  <si>
    <t>Loch Loma</t>
  </si>
  <si>
    <t>Lake Cliff</t>
  </si>
  <si>
    <t>Hudson Henley Properties</t>
  </si>
  <si>
    <t>Deck Apartments Llc</t>
  </si>
  <si>
    <t>75203</t>
  </si>
  <si>
    <t>18880 Marsh Ln</t>
  </si>
  <si>
    <t>The Georgian</t>
  </si>
  <si>
    <t>Legacy Real Estate Development, LLC</t>
  </si>
  <si>
    <t>Greystar - The Georgian</t>
  </si>
  <si>
    <t>TGA, LLC</t>
  </si>
  <si>
    <t>18949 Marsh Ln</t>
  </si>
  <si>
    <t>Silver Creek</t>
  </si>
  <si>
    <t>Patmos Capital Partners</t>
  </si>
  <si>
    <t>CAF - Silver Creek</t>
  </si>
  <si>
    <t>Patmos-tn Silver Creek Llc</t>
  </si>
  <si>
    <t>18950 Marsh Ln</t>
  </si>
  <si>
    <t>Heatherstone</t>
  </si>
  <si>
    <t>Bridge - Heatherstone</t>
  </si>
  <si>
    <t>Bp Mcdonnell Heatherstone Llc</t>
  </si>
  <si>
    <t>18250 Marsh Ln</t>
  </si>
  <si>
    <t>Spring Parc</t>
  </si>
  <si>
    <t>Wilkinson Corporation</t>
  </si>
  <si>
    <t>Asset Living - Spring Parc</t>
  </si>
  <si>
    <t>WTH Spring Parc, LLC</t>
  </si>
  <si>
    <t>03/01/2028</t>
  </si>
  <si>
    <t>7272 Marvin D Love Fwy</t>
  </si>
  <si>
    <t>Exchange 7272</t>
  </si>
  <si>
    <t>Ashcroft Capital, LLC</t>
  </si>
  <si>
    <t>Birchstone - Exchange @ 7272</t>
  </si>
  <si>
    <t>7272 Marvin D Love Owner LLC / Floor 16</t>
  </si>
  <si>
    <t>75237-3173</t>
  </si>
  <si>
    <t>7878 Marvin D Love Fwy</t>
  </si>
  <si>
    <t>The Caleb</t>
  </si>
  <si>
    <t>RPM - The Caleb</t>
  </si>
  <si>
    <t>7878 Marvin D Love Fwy LLC</t>
  </si>
  <si>
    <t>75237-3744</t>
  </si>
  <si>
    <t>12/01/2029</t>
  </si>
  <si>
    <t>7905 Marvin D Love Fwy</t>
  </si>
  <si>
    <t>The Harrison</t>
  </si>
  <si>
    <t>Equity - The Harrison</t>
  </si>
  <si>
    <t>Bw Hickory Ranch Llc</t>
  </si>
  <si>
    <t>75237-3491</t>
  </si>
  <si>
    <t>8081 Marvin D Love Fwy</t>
  </si>
  <si>
    <t>Luna Apartments</t>
  </si>
  <si>
    <t>Asset Living - Luna</t>
  </si>
  <si>
    <t>Polaris TX16 LLC</t>
  </si>
  <si>
    <t>2601 S Mayhill Rd</t>
  </si>
  <si>
    <t>Pecan Creek</t>
  </si>
  <si>
    <t>RHP - Pecan Creek</t>
  </si>
  <si>
    <t>Pecan Creek Llc</t>
  </si>
  <si>
    <t>76208-5927</t>
  </si>
  <si>
    <t>6565 McCallum Blvd</t>
  </si>
  <si>
    <t>McCallum Highlands</t>
  </si>
  <si>
    <t>Colgate McCallum Advisors, Inc</t>
  </si>
  <si>
    <t>Colgate McCallum - McCallum Highlands</t>
  </si>
  <si>
    <t>Cassidee T Powell</t>
  </si>
  <si>
    <t>75252-7002</t>
  </si>
  <si>
    <t>05/01/2031</t>
  </si>
  <si>
    <t>7760 McCallum Blvd</t>
  </si>
  <si>
    <t>Junction at 7760</t>
  </si>
  <si>
    <t>Argentic Investment Management LLC</t>
  </si>
  <si>
    <t>Summit - Junction at 7760</t>
  </si>
  <si>
    <t>AREIT RE McCallum Apts LLC</t>
  </si>
  <si>
    <t>75252-8144</t>
  </si>
  <si>
    <t>7780 McCallum Blvd</t>
  </si>
  <si>
    <t>Gables on McCallum</t>
  </si>
  <si>
    <t>Glorious Sun - Gables on McCallum</t>
  </si>
  <si>
    <t>75252-8145</t>
  </si>
  <si>
    <t>7795 McCallum Blvd</t>
  </si>
  <si>
    <t>Blue Springs Apartments</t>
  </si>
  <si>
    <t>George Aleuy</t>
  </si>
  <si>
    <t>Cgre1 Llc</t>
  </si>
  <si>
    <t>75252-8146</t>
  </si>
  <si>
    <t>03/01/2037</t>
  </si>
  <si>
    <t>7815 Mccallum Blvd</t>
  </si>
  <si>
    <t>Chatham Court and Reflections Apartments</t>
  </si>
  <si>
    <t>Uplift Capital Management LLC</t>
  </si>
  <si>
    <t>Valiant - Chatham Court and Reflections Apartments</t>
  </si>
  <si>
    <t>Dfw Ccar LLC</t>
  </si>
  <si>
    <t>75252-6454</t>
  </si>
  <si>
    <t>05/10/2028</t>
  </si>
  <si>
    <t>5301 E McKinney St</t>
  </si>
  <si>
    <t>Ashli Oaks</t>
  </si>
  <si>
    <t>YES! Communities - Ashli Oaks</t>
  </si>
  <si>
    <t>Yes Ashli Oaks Llc</t>
  </si>
  <si>
    <t>76208-4675</t>
  </si>
  <si>
    <t>6533 E Medalist Cir</t>
  </si>
  <si>
    <t>Highpoint Apartments &amp; Townhomes</t>
  </si>
  <si>
    <t>Marble Partners</t>
  </si>
  <si>
    <t>Urban SW - Highpoint Apartments &amp; Townhomes</t>
  </si>
  <si>
    <t>LM Highpoint Townhomes, LLC</t>
  </si>
  <si>
    <t>75023-2834</t>
  </si>
  <si>
    <t>900 S Medalist Cir</t>
  </si>
  <si>
    <t>Park Springs Townhomes</t>
  </si>
  <si>
    <t>Urban Southwest Capital</t>
  </si>
  <si>
    <t>Urban SW -Park Springs Townhomes</t>
  </si>
  <si>
    <t>Park Springs Texas, LLC</t>
  </si>
  <si>
    <t>750 E Mid Cities Blvd</t>
  </si>
  <si>
    <t>Fountain Wood</t>
  </si>
  <si>
    <t>Cortland</t>
  </si>
  <si>
    <t>Cortland - Fountain Wood</t>
  </si>
  <si>
    <t>Pinnacle Apts LLC</t>
  </si>
  <si>
    <t>76039-4683</t>
  </si>
  <si>
    <t>18175 Midway Rd</t>
  </si>
  <si>
    <t>The Hamptons</t>
  </si>
  <si>
    <t>Navitas Capital</t>
  </si>
  <si>
    <t>Anterra - The Hamptons</t>
  </si>
  <si>
    <t>FRONTLINE STANFORD COURT LP</t>
  </si>
  <si>
    <t>75287-6674</t>
  </si>
  <si>
    <t>09/01/2026</t>
  </si>
  <si>
    <t>215 N Moore Rd</t>
  </si>
  <si>
    <t>Townlake of Coppell</t>
  </si>
  <si>
    <t>JLL Income Property Trust</t>
  </si>
  <si>
    <t>Greystar - Townlake of Coppell</t>
  </si>
  <si>
    <t>Coppell Properties, LLC</t>
  </si>
  <si>
    <t>05/21/2020</t>
  </si>
  <si>
    <t>4701 Moulton St</t>
  </si>
  <si>
    <t>Greenville Court</t>
  </si>
  <si>
    <t>G-Cove Dallas Holdings LLC</t>
  </si>
  <si>
    <t>Property Management Grp - Greenville Court</t>
  </si>
  <si>
    <t>Turner Green Resources Llc</t>
  </si>
  <si>
    <t>10/01/2026</t>
  </si>
  <si>
    <t>6452 Nine Mile Bridge Rd</t>
  </si>
  <si>
    <t>Country Oaks Mobile Home Park</t>
  </si>
  <si>
    <t>Outer Northwest</t>
  </si>
  <si>
    <t>Usonia Mh Country Oaks Property Llc</t>
  </si>
  <si>
    <t>76135-9193</t>
  </si>
  <si>
    <t>9001 N Normandale St</t>
  </si>
  <si>
    <t>The Celine</t>
  </si>
  <si>
    <t>RPM - The Celine</t>
  </si>
  <si>
    <t>9001 North Normandale Street LLC</t>
  </si>
  <si>
    <t>76116-9664</t>
  </si>
  <si>
    <t>11/01/2026</t>
  </si>
  <si>
    <t>9200 N Normandale St</t>
  </si>
  <si>
    <t>The Carmen</t>
  </si>
  <si>
    <t>RPM - The Carmen</t>
  </si>
  <si>
    <t>9200 North Normandale Street LLC</t>
  </si>
  <si>
    <t>2925 W Normandale St</t>
  </si>
  <si>
    <t>The Range</t>
  </si>
  <si>
    <t>Calvera Partners</t>
  </si>
  <si>
    <t>The Tipton Group - The Range Apartments</t>
  </si>
  <si>
    <t>Cp Sva Llc</t>
  </si>
  <si>
    <t>09/13/2028</t>
  </si>
  <si>
    <t>4805-4809 N O'Connor Rd</t>
  </si>
  <si>
    <t>The Estates at Las Colinas</t>
  </si>
  <si>
    <t>Birchstone - The Estates at Las Colinas</t>
  </si>
  <si>
    <t>Marabella Apartments Ii Llc</t>
  </si>
  <si>
    <t>75062-2251</t>
  </si>
  <si>
    <t>2501 Oak Hill Cir</t>
  </si>
  <si>
    <t>Dixon at Stonegate</t>
  </si>
  <si>
    <t>Abacus Capital Group</t>
  </si>
  <si>
    <t>Willow Bridge - Dixon at Stonegate</t>
  </si>
  <si>
    <t>Amfp V Dixon Llc</t>
  </si>
  <si>
    <t>76109-5583</t>
  </si>
  <si>
    <t>5931 Oakland Hills Dr</t>
  </si>
  <si>
    <t>Woodhaven Crossroads</t>
  </si>
  <si>
    <t>6001 Stoneybrook</t>
  </si>
  <si>
    <t>Demolished</t>
  </si>
  <si>
    <t>76112</t>
  </si>
  <si>
    <t>6011 Oakland Hills Dr</t>
  </si>
  <si>
    <t>Tides on Oakland Hills</t>
  </si>
  <si>
    <t>RPM - Tides on Oakland Hills</t>
  </si>
  <si>
    <t>Tides On Oakland Hills Owner Llc</t>
  </si>
  <si>
    <t>04/01/2032</t>
  </si>
  <si>
    <t>6000 Oakmont Trl</t>
  </si>
  <si>
    <t>The Arbors on Oakmont</t>
  </si>
  <si>
    <t>CAF - The Arbors on Oakmont</t>
  </si>
  <si>
    <t>Arbors Oakmont Recap Owner Llc</t>
  </si>
  <si>
    <t>76132-2958</t>
  </si>
  <si>
    <t>6000 Ohio Dr</t>
  </si>
  <si>
    <t>The Dayton</t>
  </si>
  <si>
    <t>S2 Residential - The Dayton</t>
  </si>
  <si>
    <t>S2 Summer Lp</t>
  </si>
  <si>
    <t>75093</t>
  </si>
  <si>
    <t>4748 Old Bent Tree Ln</t>
  </si>
  <si>
    <t>Parkway Lane Condominiums</t>
  </si>
  <si>
    <t>4753 Old Bent Tree Ln</t>
  </si>
  <si>
    <t>Pear Ridge</t>
  </si>
  <si>
    <t>Excelsa</t>
  </si>
  <si>
    <t>RPM - Pear Ridge</t>
  </si>
  <si>
    <t>4753 Old Bent Tree Lane LLC</t>
  </si>
  <si>
    <t>3830 Old Denton Rd</t>
  </si>
  <si>
    <t>Rosemeade Townhomes</t>
  </si>
  <si>
    <t>Tonti - Rosemeade Townhomes</t>
  </si>
  <si>
    <t>Creekwood Rosemeade LLC</t>
  </si>
  <si>
    <t>75007-1320</t>
  </si>
  <si>
    <t>3910 Old Denton Rd</t>
  </si>
  <si>
    <t>Indian Creek</t>
  </si>
  <si>
    <t>Luma Residential - Indian Creek</t>
  </si>
  <si>
    <t>F &amp; S Partnership II</t>
  </si>
  <si>
    <t>75007</t>
  </si>
  <si>
    <t>11644 Old Denton Rd</t>
  </si>
  <si>
    <t>Meadow Glen</t>
  </si>
  <si>
    <t>YES! Communities - Meadow Glen</t>
  </si>
  <si>
    <t>YES Meadow Glen, LLC</t>
  </si>
  <si>
    <t>76244-5284</t>
  </si>
  <si>
    <t>1595 S Old Orchard Ln</t>
  </si>
  <si>
    <t>Oak Tree Village</t>
  </si>
  <si>
    <t>Plano Housing Authority</t>
  </si>
  <si>
    <t>Cirrus - Oak Tree Village</t>
  </si>
  <si>
    <t>Plano Public Facility Corporation</t>
  </si>
  <si>
    <t>10/01/2057</t>
  </si>
  <si>
    <t>155 W Overly Dr</t>
  </si>
  <si>
    <t>Ashleye Village</t>
  </si>
  <si>
    <t>AVPM</t>
  </si>
  <si>
    <t>AVPM - Ashleye Village</t>
  </si>
  <si>
    <t>Lake Dallas</t>
  </si>
  <si>
    <t>75065-2515</t>
  </si>
  <si>
    <t>220 E Overton Rd</t>
  </si>
  <si>
    <t>Overton Park</t>
  </si>
  <si>
    <t>Cedar Crest</t>
  </si>
  <si>
    <t>Patrick Hodgins</t>
  </si>
  <si>
    <t>Riverbend - Overton Park Apartments</t>
  </si>
  <si>
    <t>220 Overton Apts. Dallas LLC</t>
  </si>
  <si>
    <t>75216</t>
  </si>
  <si>
    <t>5401 Overton Ridge Blvd</t>
  </si>
  <si>
    <t>The Holt On Chisholm Trail</t>
  </si>
  <si>
    <t>Summit - The Holt On Chisholm Trail</t>
  </si>
  <si>
    <t>Tide On Overton Ridge Owner LLC</t>
  </si>
  <si>
    <t>07/30/2029</t>
  </si>
  <si>
    <t>5701 Overton Ridge Blvd</t>
  </si>
  <si>
    <t>Laurel Heights at Cityview</t>
  </si>
  <si>
    <t>American Landmark</t>
  </si>
  <si>
    <t>American Landmark - Laurel Heights at Cityview</t>
  </si>
  <si>
    <t>Laurel Heights At Cityview LP</t>
  </si>
  <si>
    <t>07/01/2029</t>
  </si>
  <si>
    <t>4912 Paces Trail</t>
  </si>
  <si>
    <t>The Trails Apartments</t>
  </si>
  <si>
    <t>Paskin - The Trails</t>
  </si>
  <si>
    <t>Paces Trail, LLC</t>
  </si>
  <si>
    <t>76017-0816</t>
  </si>
  <si>
    <t>3099 Parham Dr</t>
  </si>
  <si>
    <t>Windscape Gardens</t>
  </si>
  <si>
    <t>HLC Equity</t>
  </si>
  <si>
    <t>HLC - Windscape Gardens</t>
  </si>
  <si>
    <t>HLC Mosaic Windscape, LLC</t>
  </si>
  <si>
    <t>04/01/2030</t>
  </si>
  <si>
    <t>601 N Park Blvd</t>
  </si>
  <si>
    <t>Vine on North Park</t>
  </si>
  <si>
    <t>Anterra - Vine on North Park</t>
  </si>
  <si>
    <t>655 N Park Blvd</t>
  </si>
  <si>
    <t>Woodlake in Grapevine</t>
  </si>
  <si>
    <t>Horn-Barlow Companies</t>
  </si>
  <si>
    <t>Horn Barlow - Woodlake</t>
  </si>
  <si>
    <t>Woodlake Assoc Ltd</t>
  </si>
  <si>
    <t>76051-7832</t>
  </si>
  <si>
    <t>2200 W Park Blvd</t>
  </si>
  <si>
    <t>Collin Greene</t>
  </si>
  <si>
    <t>Qi Wang</t>
  </si>
  <si>
    <t>75075-3007</t>
  </si>
  <si>
    <t>3023 Park Row Ave</t>
  </si>
  <si>
    <t>Eban Village Apartments</t>
  </si>
  <si>
    <t>South Boulevard-Park Row</t>
  </si>
  <si>
    <t>Hope Housing Foundation</t>
  </si>
  <si>
    <t>Integrity Rise - Eban Village Apartments</t>
  </si>
  <si>
    <t>Hhf Eban Village 2021 Llc</t>
  </si>
  <si>
    <t>75215-1744</t>
  </si>
  <si>
    <t>2700 Parkview Ln</t>
  </si>
  <si>
    <t>Parkwood Retirement Community</t>
  </si>
  <si>
    <t>Life Care Services</t>
  </si>
  <si>
    <t>Life Care Services - Parkwood</t>
  </si>
  <si>
    <t>Brs-phs Bedford Llc</t>
  </si>
  <si>
    <t>76022-6901</t>
  </si>
  <si>
    <t>2701 Parkview Ln</t>
  </si>
  <si>
    <t>Arbors of Central Park</t>
  </si>
  <si>
    <t>L5 Real Estate Investments LLC</t>
  </si>
  <si>
    <t>BH - Arbors of Central Park</t>
  </si>
  <si>
    <t>Arbors 3, LLC</t>
  </si>
  <si>
    <t>76022-6902</t>
  </si>
  <si>
    <t>603 S Parkway Dr</t>
  </si>
  <si>
    <t>Alvarado Heights Apartments</t>
  </si>
  <si>
    <t>Janis Ezell</t>
  </si>
  <si>
    <t>Ezell - Alvarado Heights</t>
  </si>
  <si>
    <t>Alvarado Heights Ltd</t>
  </si>
  <si>
    <t>Alvarado</t>
  </si>
  <si>
    <t>76009-5523</t>
  </si>
  <si>
    <t>4900 Pear Ridge Dr</t>
  </si>
  <si>
    <t>Versailles Apartments</t>
  </si>
  <si>
    <t>BH - The Versailles</t>
  </si>
  <si>
    <t>Nxrt Crestmont Llc</t>
  </si>
  <si>
    <t>75287-3146</t>
  </si>
  <si>
    <t>2301 Pebble Vale Dr</t>
  </si>
  <si>
    <t>Collin Creek</t>
  </si>
  <si>
    <t>TAM - Collin Creek</t>
  </si>
  <si>
    <t>Post Collin Creek, LLC</t>
  </si>
  <si>
    <t>400 Pecan Bend Dr</t>
  </si>
  <si>
    <t>The Brownstone</t>
  </si>
  <si>
    <t>Karkaw Development Corporation</t>
  </si>
  <si>
    <t>Karkaw - The Brownstone</t>
  </si>
  <si>
    <t>SR Brownstone LLC</t>
  </si>
  <si>
    <t>76022-6242</t>
  </si>
  <si>
    <t>1301 Pecan Ridge Dr</t>
  </si>
  <si>
    <t>Pecan Ridge</t>
  </si>
  <si>
    <t>Monticello Asset Management, Inc.</t>
  </si>
  <si>
    <t>Monticello - Pecan Ridge Apartments</t>
  </si>
  <si>
    <t>P R Associates Ltd</t>
  </si>
  <si>
    <t>76065-3134</t>
  </si>
  <si>
    <t>4600 W Pioneer Dr</t>
  </si>
  <si>
    <t>Water Ridge Apartment Homes</t>
  </si>
  <si>
    <t>Balfour Pacific</t>
  </si>
  <si>
    <t>Clear - Water Ridge Apartment Homes</t>
  </si>
  <si>
    <t>IRVING 4600 WEST PIONEER PROPERTY OWNER LP</t>
  </si>
  <si>
    <t>01/23/2017</t>
  </si>
  <si>
    <t>1500 Plantation Oaks Dr</t>
  </si>
  <si>
    <t>The Vineyards at Trophy Club</t>
  </si>
  <si>
    <t>Apartment Service - The Vineyards at Trophy Club</t>
  </si>
  <si>
    <t>Trophy Club</t>
  </si>
  <si>
    <t>76262</t>
  </si>
  <si>
    <t>2525 Players Ct</t>
  </si>
  <si>
    <t>TwentyFive25</t>
  </si>
  <si>
    <t>Community HousingWorks</t>
  </si>
  <si>
    <t>RPM - TwentyFive25</t>
  </si>
  <si>
    <t>2525 North Dallas LP</t>
  </si>
  <si>
    <t>6801 W Poly Webb Rd</t>
  </si>
  <si>
    <t>Arlington Plaza</t>
  </si>
  <si>
    <t>Ventas, Inc.</t>
  </si>
  <si>
    <t>Sodalis - Arlington Plaza</t>
  </si>
  <si>
    <t>Nic 12 Arlington Plaza Owner Llc</t>
  </si>
  <si>
    <t>9000 Poppy Dr</t>
  </si>
  <si>
    <t>Oaks White Rock</t>
  </si>
  <si>
    <t>White Rock Lake</t>
  </si>
  <si>
    <t>Oaks Properties, LLC.</t>
  </si>
  <si>
    <t>Oaks Properties - Oaks White Rock</t>
  </si>
  <si>
    <t>Oaks Minnchaha Two Llc</t>
  </si>
  <si>
    <t>75218</t>
  </si>
  <si>
    <t>3875 Post Oak Blvd</t>
  </si>
  <si>
    <t>Wood Hollow</t>
  </si>
  <si>
    <t>Varia US Properties</t>
  </si>
  <si>
    <t>Greystar - Wood Hollow</t>
  </si>
  <si>
    <t>PC Wood Hollow LLC</t>
  </si>
  <si>
    <t>4060 Preferred Pl</t>
  </si>
  <si>
    <t>4060 Preferred Place</t>
  </si>
  <si>
    <t>Edison Equity Residential</t>
  </si>
  <si>
    <t>AAM - 4060 Preferred Place</t>
  </si>
  <si>
    <t>Preferred Place, LLC</t>
  </si>
  <si>
    <t>12/01/2035</t>
  </si>
  <si>
    <t>1500 Preston Rd</t>
  </si>
  <si>
    <t>Summers Crossing</t>
  </si>
  <si>
    <t>Highmark - Summers Crossing</t>
  </si>
  <si>
    <t>06/01/2033</t>
  </si>
  <si>
    <t>1520 Preston Rd</t>
  </si>
  <si>
    <t>Old Shepard Place</t>
  </si>
  <si>
    <t>Property Reserve, Inc.</t>
  </si>
  <si>
    <t>ZRS - Old Shepard Place</t>
  </si>
  <si>
    <t>Property Reserve Inc</t>
  </si>
  <si>
    <t>75093-8310</t>
  </si>
  <si>
    <t>2600 Preston Rd</t>
  </si>
  <si>
    <t>Cottages at Tulane</t>
  </si>
  <si>
    <t>Palladium USA  Inc.</t>
  </si>
  <si>
    <t>Palladium Management - Cottages at Tulane</t>
  </si>
  <si>
    <t>Bristlecone Texas Ltd</t>
  </si>
  <si>
    <t>75093-3562</t>
  </si>
  <si>
    <t>6820 Preston Rd</t>
  </si>
  <si>
    <t>The Marquis at Legacy</t>
  </si>
  <si>
    <t>CWS Capital Partners, LLC</t>
  </si>
  <si>
    <t>CWS - Marquis at Legacy</t>
  </si>
  <si>
    <t>CWS WWL Legacy LP</t>
  </si>
  <si>
    <t>75024</t>
  </si>
  <si>
    <t>14255 Preston Rd</t>
  </si>
  <si>
    <t>Creekview</t>
  </si>
  <si>
    <t>Price Brothers Management Company</t>
  </si>
  <si>
    <t>Price Brothers - Creekview Apartments</t>
  </si>
  <si>
    <t>KAP Creekview LLC</t>
  </si>
  <si>
    <t>75254-8500</t>
  </si>
  <si>
    <t>19251 Preston Rd</t>
  </si>
  <si>
    <t>Richmond Apartments</t>
  </si>
  <si>
    <t>S2 Residential - Richmond Apartments</t>
  </si>
  <si>
    <t>S2 Lincoln Crossing Lp</t>
  </si>
  <si>
    <t>5400 Preston Oaks</t>
  </si>
  <si>
    <t>The Courts at Preston Oaks</t>
  </si>
  <si>
    <t>NALS Apartment Homes</t>
  </si>
  <si>
    <t>NALS - The Courts at Preston Oaks</t>
  </si>
  <si>
    <t>Na Courts At Preston Oaks</t>
  </si>
  <si>
    <t>75254</t>
  </si>
  <si>
    <t>1020 Raleigh Dr</t>
  </si>
  <si>
    <t>Hillside Community Apartments</t>
  </si>
  <si>
    <t>Carrollton Properties</t>
  </si>
  <si>
    <t>Carrolton Properties- Hillside Community</t>
  </si>
  <si>
    <t>Hillside Community Ltd P</t>
  </si>
  <si>
    <t>8951 Randol Mill Rd</t>
  </si>
  <si>
    <t>Prescott Park Apartment Homes</t>
  </si>
  <si>
    <t>BrightSpire Capital, Inc</t>
  </si>
  <si>
    <t>CAF - Prescott Park Apartment Homes</t>
  </si>
  <si>
    <t>76120-3809</t>
  </si>
  <si>
    <t>3838 Rawlins St</t>
  </si>
  <si>
    <t>Lincoln Court Apartments</t>
  </si>
  <si>
    <t>Oak Lawn</t>
  </si>
  <si>
    <t>Avi Nakash</t>
  </si>
  <si>
    <t>SunRidge - Lincoln Court</t>
  </si>
  <si>
    <t>Nakash Lincoln Court Llc</t>
  </si>
  <si>
    <t>75219</t>
  </si>
  <si>
    <t>11/01/2040</t>
  </si>
  <si>
    <t>3636 W Red Bird Ln</t>
  </si>
  <si>
    <t>Redbird Trails Apartment Homes</t>
  </si>
  <si>
    <t>NCM Management</t>
  </si>
  <si>
    <t>Redbird Trails Apartments LLC</t>
  </si>
  <si>
    <t>75237-1992</t>
  </si>
  <si>
    <t>3501 Renzel Blvd</t>
  </si>
  <si>
    <t>Palm House Apartments</t>
  </si>
  <si>
    <t>Atlantic Housing Partners</t>
  </si>
  <si>
    <t>Atlantic Housing - Palm House Apartments</t>
  </si>
  <si>
    <t>Palm Apartments LLC</t>
  </si>
  <si>
    <t>76116-6623</t>
  </si>
  <si>
    <t>100 E Ridgeway Dr</t>
  </si>
  <si>
    <t>Ridgeway Village</t>
  </si>
  <si>
    <t>Monticello - Ridgeway Village</t>
  </si>
  <si>
    <t>76065-2119</t>
  </si>
  <si>
    <t>5306 Rita Kay Ln</t>
  </si>
  <si>
    <t>Hidden Oaks Mobile Home Park</t>
  </si>
  <si>
    <t>ARC IV, LLC</t>
  </si>
  <si>
    <t>ParkLand Ventures - Hidden Oaks</t>
  </si>
  <si>
    <t>76119-8609</t>
  </si>
  <si>
    <t>8801 Rodeo Dr</t>
  </si>
  <si>
    <t>Avalon 8801</t>
  </si>
  <si>
    <t>Avalon 8801 Leasehold Llc</t>
  </si>
  <si>
    <t>MARS - Avalon 8801</t>
  </si>
  <si>
    <t>75063</t>
  </si>
  <si>
    <t>500 Rolling Hills Pl</t>
  </si>
  <si>
    <t>Rolling Hills Place</t>
  </si>
  <si>
    <t>Centra - Rolling Hills Place</t>
  </si>
  <si>
    <t>RHP202 LLC</t>
  </si>
  <si>
    <t>Lancaster</t>
  </si>
  <si>
    <t>75146-1027</t>
  </si>
  <si>
    <t>07/23/2024</t>
  </si>
  <si>
    <t>3750 Rosemeade Pky</t>
  </si>
  <si>
    <t>Villas on Rosemeade West</t>
  </si>
  <si>
    <t>AMC - Villas on Rosemeade West</t>
  </si>
  <si>
    <t>Tides On Rosemeade West Owner, LLC</t>
  </si>
  <si>
    <t>3939 Rosemeade Pky</t>
  </si>
  <si>
    <t>The Edge</t>
  </si>
  <si>
    <t>Arete - The Edge</t>
  </si>
  <si>
    <t>3939 Sage Llc</t>
  </si>
  <si>
    <t>4141 Rosemeade Pky</t>
  </si>
  <si>
    <t>Villas on Rosemeade East</t>
  </si>
  <si>
    <t>AMC - Villas on Rosemeade East</t>
  </si>
  <si>
    <t>Tides on Rosemeade East Owner, LLC</t>
  </si>
  <si>
    <t>75287-2622</t>
  </si>
  <si>
    <t>4300 Rosemeade Pky</t>
  </si>
  <si>
    <t>Willows on Rosemeade</t>
  </si>
  <si>
    <t>Priderock Capital Partners LLC</t>
  </si>
  <si>
    <t>Priderock - Willows on Rosemeade</t>
  </si>
  <si>
    <t>Prcp-Dallas Rosemeade LP</t>
  </si>
  <si>
    <t>800 W Royal Ln</t>
  </si>
  <si>
    <t>Jefferson Creek Apartments</t>
  </si>
  <si>
    <t>Westdale - Jefferson Creek Apartments</t>
  </si>
  <si>
    <t>Westdale Jefferson Creek Tx</t>
  </si>
  <si>
    <t>8800 Saddlehorn Dr</t>
  </si>
  <si>
    <t>Gardens of Valley Ranch</t>
  </si>
  <si>
    <t>German American Realty GmbH</t>
  </si>
  <si>
    <t>Dayrise - Gardens of Valley Ranch</t>
  </si>
  <si>
    <t>Intergerman Gardens of Valley Ranch LP</t>
  </si>
  <si>
    <t>75063-4565</t>
  </si>
  <si>
    <t>5750 Sam Calloway Rd</t>
  </si>
  <si>
    <t>Calloway Place</t>
  </si>
  <si>
    <t>Calloway Park</t>
  </si>
  <si>
    <t>Wells Asset - Calloway Place</t>
  </si>
  <si>
    <t>Calloway Apartments Hjt Llc</t>
  </si>
  <si>
    <t>76114</t>
  </si>
  <si>
    <t>11/20/2024</t>
  </si>
  <si>
    <t>4709 Samuell Blvd</t>
  </si>
  <si>
    <t>The Annex</t>
  </si>
  <si>
    <t>Evan Reifman</t>
  </si>
  <si>
    <t>Avenue5 - The Annex</t>
  </si>
  <si>
    <t>Cdkr Annex Llc</t>
  </si>
  <si>
    <t>75149-1095</t>
  </si>
  <si>
    <t>1000 San Jacinto Dr</t>
  </si>
  <si>
    <t>Arbors of Las Colinas Apartments</t>
  </si>
  <si>
    <t>Brookfield Real Estate Income Trust Inc.</t>
  </si>
  <si>
    <t>Brookfield - Arbors of Las Colinas Apartments</t>
  </si>
  <si>
    <t>San Jacinto Fee Owner LLC</t>
  </si>
  <si>
    <t>500 Santa Fe Trl</t>
  </si>
  <si>
    <t>Grant Valley Ranch</t>
  </si>
  <si>
    <t>S2 Casa Valley Lp</t>
  </si>
  <si>
    <t>S2 Residential - Grant Valley Ranch</t>
  </si>
  <si>
    <t>4701 Sayle St</t>
  </si>
  <si>
    <t>Sayle Garden</t>
  </si>
  <si>
    <t>Cengis Lusho - Sayle Garden</t>
  </si>
  <si>
    <t>Dorothy H Williams</t>
  </si>
  <si>
    <t>75401-5598</t>
  </si>
  <si>
    <t>01/01/2027</t>
  </si>
  <si>
    <t>1020 Scotland Dr</t>
  </si>
  <si>
    <t>Mount Vernon</t>
  </si>
  <si>
    <t>WRH Realty Services, LLC</t>
  </si>
  <si>
    <t>WRH - Mount Vernon</t>
  </si>
  <si>
    <t>DeSoto</t>
  </si>
  <si>
    <t>75115</t>
  </si>
  <si>
    <t>8181 Scyene Cir</t>
  </si>
  <si>
    <t>Woodridge on Buckner</t>
  </si>
  <si>
    <t>Buckner Terrace-Everglade Park</t>
  </si>
  <si>
    <t>Dipan Sutaria</t>
  </si>
  <si>
    <t>Patel - Woodridge on Buckner</t>
  </si>
  <si>
    <t>Central Plano Investments LLC</t>
  </si>
  <si>
    <t>75227-5470</t>
  </si>
  <si>
    <t>05/01/2034</t>
  </si>
  <si>
    <t>9755 Scyene Rd</t>
  </si>
  <si>
    <t>The Marq</t>
  </si>
  <si>
    <t>Stellar Development Company</t>
  </si>
  <si>
    <t>Stellar - The Marq</t>
  </si>
  <si>
    <t>Scp1 Partners Lp</t>
  </si>
  <si>
    <t>10/10/2023</t>
  </si>
  <si>
    <t>9760-9860 Scyene Rd</t>
  </si>
  <si>
    <t xml:space="preserve">Holbrook Apartment Homes
</t>
  </si>
  <si>
    <t>AGL - Holbrook Apartment Homes</t>
  </si>
  <si>
    <t>350 Shady Lane Dr</t>
  </si>
  <si>
    <t>Bella Via</t>
  </si>
  <si>
    <t>ALX Real Estate</t>
  </si>
  <si>
    <t>Venture Height - Bella Via</t>
  </si>
  <si>
    <t>Bella Capital Group, LLC</t>
  </si>
  <si>
    <t>76112-0721</t>
  </si>
  <si>
    <t>6555 Shady Oaks Manor Dr</t>
  </si>
  <si>
    <t>Summit on the Lake</t>
  </si>
  <si>
    <t>Downtown Lake Worth</t>
  </si>
  <si>
    <t>Monarch Investment and Management Group</t>
  </si>
  <si>
    <t>Monarch - Summit on the Lake</t>
  </si>
  <si>
    <t>76135</t>
  </si>
  <si>
    <t>9730 Shepherd Rd</t>
  </si>
  <si>
    <t>Forest Green Manor</t>
  </si>
  <si>
    <t>Silver Tree Residential</t>
  </si>
  <si>
    <t>Silver Tree - Forest Green Manor</t>
  </si>
  <si>
    <t>Silver Tree Asset Holdings Tx</t>
  </si>
  <si>
    <t>1414 Shiloh Rd</t>
  </si>
  <si>
    <t>Waterford on the Meadow</t>
  </si>
  <si>
    <t>Exponential - Waterford on the Meadow</t>
  </si>
  <si>
    <t>H2O Waterford 12C LLC</t>
  </si>
  <si>
    <t>1924 Shorewood Dr</t>
  </si>
  <si>
    <t>Shorewood Park Townhomes</t>
  </si>
  <si>
    <t>Haight Properties</t>
  </si>
  <si>
    <t>Haight Properties - Shorewood Park Townhomes</t>
  </si>
  <si>
    <t>Shorewood Associates</t>
  </si>
  <si>
    <t>76051-2707</t>
  </si>
  <si>
    <t>01/01/2032</t>
  </si>
  <si>
    <t>110 Sierra Grande St</t>
  </si>
  <si>
    <t>South Meadows</t>
  </si>
  <si>
    <t>Irwin R. Rose &amp; Company</t>
  </si>
  <si>
    <t>Amalgamated Management - South Meadows</t>
  </si>
  <si>
    <t>Rose Sierra Grande</t>
  </si>
  <si>
    <t>75154-2465</t>
  </si>
  <si>
    <t>1400 Sierra Springs Dr</t>
  </si>
  <si>
    <t>The Logan</t>
  </si>
  <si>
    <t>Fundrise</t>
  </si>
  <si>
    <t>American Landmark - The Logan</t>
  </si>
  <si>
    <t>The Logan AL LP</t>
  </si>
  <si>
    <t>7001 Silber Rd</t>
  </si>
  <si>
    <t>Sterling Crest Apartments</t>
  </si>
  <si>
    <t>Valcap - Sterling Crest</t>
  </si>
  <si>
    <t>Silber 208 LLC</t>
  </si>
  <si>
    <t>76017-1889</t>
  </si>
  <si>
    <t>7570-7610 Skillman St</t>
  </si>
  <si>
    <t>Soho</t>
  </si>
  <si>
    <t>Element Property Company</t>
  </si>
  <si>
    <t>Cirrus - Soho</t>
  </si>
  <si>
    <t>SOHO Apartments LLC</t>
  </si>
  <si>
    <t>75231-8332</t>
  </si>
  <si>
    <t>04/01/2041</t>
  </si>
  <si>
    <t>2003 Skyline Dr</t>
  </si>
  <si>
    <t>Ashton Oaks</t>
  </si>
  <si>
    <t>Anna/Melissa</t>
  </si>
  <si>
    <t>Chaparral Partners</t>
  </si>
  <si>
    <t>Portico - Ashton Oaks</t>
  </si>
  <si>
    <t>Cp Ashton Apartments Llc</t>
  </si>
  <si>
    <t>75071-2866</t>
  </si>
  <si>
    <t>02/01/2029</t>
  </si>
  <si>
    <t>1000 Solon Place Way</t>
  </si>
  <si>
    <t>The Ellis on Solon Apartments</t>
  </si>
  <si>
    <t>Valiant - The Ellis on Solon Apartments</t>
  </si>
  <si>
    <t>Mm Ellis Llc</t>
  </si>
  <si>
    <t>820 Southeast Pky</t>
  </si>
  <si>
    <t>Knoll Creek Apartments</t>
  </si>
  <si>
    <t>Verdad Real Estate Development</t>
  </si>
  <si>
    <t>Preston Hill - Knoll Creek</t>
  </si>
  <si>
    <t>Vre Lake Worth 7e LLC</t>
  </si>
  <si>
    <t>76020-3401</t>
  </si>
  <si>
    <t>216 Southfork Blvd</t>
  </si>
  <si>
    <t>Southfork</t>
  </si>
  <si>
    <t>YES! Communities - Southfork</t>
  </si>
  <si>
    <t>Yes Southfork Collin LLC</t>
  </si>
  <si>
    <t>75098-7266</t>
  </si>
  <si>
    <t>201 W Southwest Pky</t>
  </si>
  <si>
    <t>View on Fox Creek</t>
  </si>
  <si>
    <t>Anterra - The View on Fox Creek</t>
  </si>
  <si>
    <t>75067-7770</t>
  </si>
  <si>
    <t>8610 Southwestern Blvd</t>
  </si>
  <si>
    <t>The Village Lakes</t>
  </si>
  <si>
    <t>Northeast Dallas</t>
  </si>
  <si>
    <t>Phoenix Property Company</t>
  </si>
  <si>
    <t>The Village Dallas - The Village Lakes</t>
  </si>
  <si>
    <t>PCV Lakes LLC</t>
  </si>
  <si>
    <t>2007 Springcrest Dr</t>
  </si>
  <si>
    <t>Mateo Apartment Homes</t>
  </si>
  <si>
    <t>BH - Mateo</t>
  </si>
  <si>
    <t>2007 Springcrest Drive Prop Ll</t>
  </si>
  <si>
    <t>76010</t>
  </si>
  <si>
    <t>5301 Springlake Pky</t>
  </si>
  <si>
    <t>Spring Lake Village</t>
  </si>
  <si>
    <t>Westwind - Spring Lake Village</t>
  </si>
  <si>
    <t>Springlake Village LLC</t>
  </si>
  <si>
    <t>76117-1424</t>
  </si>
  <si>
    <t>02/01/2032</t>
  </si>
  <si>
    <t>2808 N St Augustine Dr</t>
  </si>
  <si>
    <t>Casa Linda</t>
  </si>
  <si>
    <t>Lake Street Associates, Inc.</t>
  </si>
  <si>
    <t>LakeStreet - Casa Linda</t>
  </si>
  <si>
    <t>Rbkk Casa Linda</t>
  </si>
  <si>
    <t>75227-7320</t>
  </si>
  <si>
    <t>4748 St. Francis Ave</t>
  </si>
  <si>
    <t>Buena Vista Estates</t>
  </si>
  <si>
    <t>Willie C Turner</t>
  </si>
  <si>
    <t>Lackland Holdings - Buena Vista Estates</t>
  </si>
  <si>
    <t>Antionette D Turner</t>
  </si>
  <si>
    <t>1679 S State Highway 121</t>
  </si>
  <si>
    <t>Autumn Breeze Apartments</t>
  </si>
  <si>
    <t>WAK Management</t>
  </si>
  <si>
    <t>WAK Management - Autumn Breeze</t>
  </si>
  <si>
    <t>WAK/AB LLC</t>
  </si>
  <si>
    <t>75067-8954</t>
  </si>
  <si>
    <t>6901 N State Hwy 161</t>
  </si>
  <si>
    <t>Oaks Hackberry Creek</t>
  </si>
  <si>
    <t>Oaks Properties - Oaks Hackberry Creek</t>
  </si>
  <si>
    <t>Oaks Hackberry Creek LP</t>
  </si>
  <si>
    <t>14300 Statler Blvd</t>
  </si>
  <si>
    <t>Crest Centreport</t>
  </si>
  <si>
    <t>Crest - Crest Centreport</t>
  </si>
  <si>
    <t>Crest Gateway LP</t>
  </si>
  <si>
    <t>76155</t>
  </si>
  <si>
    <t>14301 Statler Ct</t>
  </si>
  <si>
    <t>Centreport Landing</t>
  </si>
  <si>
    <t>Cypress Asset Management Inc.</t>
  </si>
  <si>
    <t>Cypress - Centreport Landing</t>
  </si>
  <si>
    <t>Montvale Properties</t>
  </si>
  <si>
    <t>76155-2902</t>
  </si>
  <si>
    <t>9500 Summit Dr</t>
  </si>
  <si>
    <t>Heights of Benbrook</t>
  </si>
  <si>
    <t>Bw Heights Llc</t>
  </si>
  <si>
    <t>76126</t>
  </si>
  <si>
    <t>1301 Sycamore School Rd</t>
  </si>
  <si>
    <t>Willow Glen Apartments</t>
  </si>
  <si>
    <t>Monticello - Willow Glen</t>
  </si>
  <si>
    <t>1301 Sycamore Llc</t>
  </si>
  <si>
    <t>76134-4903</t>
  </si>
  <si>
    <t>2920 Sycamore School Rd</t>
  </si>
  <si>
    <t>Villa Monterrey Apartments</t>
  </si>
  <si>
    <t>Dr. Raj Guntnur</t>
  </si>
  <si>
    <t>Devonshire - Villa Monterrey Apartments</t>
  </si>
  <si>
    <t>Villa Monterrey II</t>
  </si>
  <si>
    <t>76133</t>
  </si>
  <si>
    <t>2007 Teasley Ln</t>
  </si>
  <si>
    <t>Eureka Village</t>
  </si>
  <si>
    <t>AMBO - Eureka Village</t>
  </si>
  <si>
    <t>Eureka Village Lp</t>
  </si>
  <si>
    <t>76205-8213</t>
  </si>
  <si>
    <t>9100 Teasley Ln</t>
  </si>
  <si>
    <t>Hickory Creek</t>
  </si>
  <si>
    <t>YES! Communities - Hickory Creek</t>
  </si>
  <si>
    <t>76210</t>
  </si>
  <si>
    <t>3565 Timberglen Rd</t>
  </si>
  <si>
    <t>The Timbers</t>
  </si>
  <si>
    <t>DWO Enterprises</t>
  </si>
  <si>
    <t>GSD - The Timbers</t>
  </si>
  <si>
    <t>Timbers Equity Fund, LLC</t>
  </si>
  <si>
    <t>3101 Townbluff Dr</t>
  </si>
  <si>
    <t>Townbluff Condominiums</t>
  </si>
  <si>
    <t>Abdul Muqeet</t>
  </si>
  <si>
    <t>3701 Towne Crossing Blvd</t>
  </si>
  <si>
    <t>The Place</t>
  </si>
  <si>
    <t>CAF - The Place</t>
  </si>
  <si>
    <t>Obsidian The Place Owner Llc</t>
  </si>
  <si>
    <t>9 Trails Pl</t>
  </si>
  <si>
    <t>Trails Place Townhomes</t>
  </si>
  <si>
    <t>Darcorp Management Group</t>
  </si>
  <si>
    <t>Darcorp - Trails Place Apartment Homes</t>
  </si>
  <si>
    <t>Dcp Trails Place Llc</t>
  </si>
  <si>
    <t>75098</t>
  </si>
  <si>
    <t>3901 Travis St</t>
  </si>
  <si>
    <t>The Parks on Travis</t>
  </si>
  <si>
    <t>Clay Johnson</t>
  </si>
  <si>
    <t>3637 Trinity Mills Rd</t>
  </si>
  <si>
    <t>Bridges at Deer Run</t>
  </si>
  <si>
    <t>Bridge - Bridges at Deer Run</t>
  </si>
  <si>
    <t>BMF V TX Oakbend LLC</t>
  </si>
  <si>
    <t>255 Turner St</t>
  </si>
  <si>
    <t>Elizabeth Garden</t>
  </si>
  <si>
    <t>Dwight Ticknor</t>
  </si>
  <si>
    <t>UAG - Elizabeth Gardens</t>
  </si>
  <si>
    <t>Magnolia Projects Ltd</t>
  </si>
  <si>
    <t>Roanoke</t>
  </si>
  <si>
    <t>76262-6651</t>
  </si>
  <si>
    <t>Kelsey Cretsinger - Bray Real Estate</t>
  </si>
  <si>
    <t>4900 Gage Ave</t>
  </si>
  <si>
    <t>Fort Worth, TX 76109</t>
  </si>
  <si>
    <t>8552729734</t>
  </si>
  <si>
    <t>Kelsey Cretsinger</t>
  </si>
  <si>
    <t>300 TX-78</t>
  </si>
  <si>
    <t>Crossroad Terrace</t>
  </si>
  <si>
    <t>Princeton/NE Collin County</t>
  </si>
  <si>
    <t>Crossroads Apartments Llc</t>
  </si>
  <si>
    <t>Farmersville</t>
  </si>
  <si>
    <t>75442</t>
  </si>
  <si>
    <t>3700 S Tyler St</t>
  </si>
  <si>
    <t>The Anderson</t>
  </si>
  <si>
    <t>Michaelson - The Anderson</t>
  </si>
  <si>
    <t>Anderson Leasehold Llc</t>
  </si>
  <si>
    <t>Under Renovation</t>
  </si>
  <si>
    <t>75224</t>
  </si>
  <si>
    <t>17717 Vail St</t>
  </si>
  <si>
    <t>Windsong</t>
  </si>
  <si>
    <t>RPM</t>
  </si>
  <si>
    <t>RPM - Windsong</t>
  </si>
  <si>
    <t>Steadfast Windsong Llc</t>
  </si>
  <si>
    <t>75287-6400</t>
  </si>
  <si>
    <t>1402 N Valley Pky</t>
  </si>
  <si>
    <t>Cambridge Village Apartments</t>
  </si>
  <si>
    <t>Adara - Cambridge Village Apartments</t>
  </si>
  <si>
    <t>Ganapathi Dev Ltd P/s</t>
  </si>
  <si>
    <t>75077-2909</t>
  </si>
  <si>
    <t>9835 Valley Ranch Pkwy W</t>
  </si>
  <si>
    <t>Residences of Valley Ranch</t>
  </si>
  <si>
    <t>The Related Companies</t>
  </si>
  <si>
    <t>Valiant - Residences of Valley Ranch</t>
  </si>
  <si>
    <t>9835 W Valley Ranch Parkway Llc</t>
  </si>
  <si>
    <t>75063-4679</t>
  </si>
  <si>
    <t>9478 Valley Ranch Pky E</t>
  </si>
  <si>
    <t>Trails of Valley Ranch</t>
  </si>
  <si>
    <t>Paskin - Trails of Valley Ranch</t>
  </si>
  <si>
    <t>Paskin-9478 Valley Ranch Llc</t>
  </si>
  <si>
    <t>75063-4901</t>
  </si>
  <si>
    <t>146 Valley View Dr</t>
  </si>
  <si>
    <t>The Pinnacle</t>
  </si>
  <si>
    <t>U.S. Property Consultants - Pinnacle</t>
  </si>
  <si>
    <t>BW Pinnacle SPE LLC</t>
  </si>
  <si>
    <t>75067-8955</t>
  </si>
  <si>
    <t>3700 Valley View Ln</t>
  </si>
  <si>
    <t>The Ridge on 161</t>
  </si>
  <si>
    <t>Investcorp</t>
  </si>
  <si>
    <t>BH - The Ridge on 161</t>
  </si>
  <si>
    <t>75062</t>
  </si>
  <si>
    <t>12/14/2021</t>
  </si>
  <si>
    <t>5901 Valleycreek Ln</t>
  </si>
  <si>
    <t>Walnut Creek</t>
  </si>
  <si>
    <t>Archway Capital Management Inc</t>
  </si>
  <si>
    <t>PMG - Walnut Creek</t>
  </si>
  <si>
    <t>Rohnert Park City Center, LP</t>
  </si>
  <si>
    <t>76017-6364</t>
  </si>
  <si>
    <t>5234 Villa Del Mar Ave</t>
  </si>
  <si>
    <t>Villa Del Mar</t>
  </si>
  <si>
    <t>Willmax Woodforest, LP</t>
  </si>
  <si>
    <t>WillMax - Villa Del Mar</t>
  </si>
  <si>
    <t>Wc Of Tprf Villa Del Mar Llc</t>
  </si>
  <si>
    <t>3880 S Walton Walker Blvd</t>
  </si>
  <si>
    <t>Walker Place</t>
  </si>
  <si>
    <t>Charles &amp; Ofelia Mercer</t>
  </si>
  <si>
    <t>Walker Management - Walker Place</t>
  </si>
  <si>
    <t>75236-4228</t>
  </si>
  <si>
    <t>2201 Waterbury Pl</t>
  </si>
  <si>
    <t>Waterbury Place</t>
  </si>
  <si>
    <t>Waterbury Place Apts I</t>
  </si>
  <si>
    <t>The Tipton Group - Waterbury Place</t>
  </si>
  <si>
    <t>76013</t>
  </si>
  <si>
    <t>5959 Watership Ln</t>
  </si>
  <si>
    <t>Village Square</t>
  </si>
  <si>
    <t>Strategic Realty Capital, LLC</t>
  </si>
  <si>
    <t>Willow Bridge - Village Square Apartments</t>
  </si>
  <si>
    <t>Village Square Dallas LLC</t>
  </si>
  <si>
    <t>202 Welcome Inn St</t>
  </si>
  <si>
    <t>Oak Wood Properties</t>
  </si>
  <si>
    <t>OW Forest Glenn, LLC</t>
  </si>
  <si>
    <t>Glenn Heights</t>
  </si>
  <si>
    <t>75154-8175</t>
  </si>
  <si>
    <t>6776 Westcreek Dr</t>
  </si>
  <si>
    <t>Tides on Westcreek</t>
  </si>
  <si>
    <t>CAF - Tides on Westcreek</t>
  </si>
  <si>
    <t>Tides on Westcreek Owner, LLC</t>
  </si>
  <si>
    <t>5900 S Westcreek Ct</t>
  </si>
  <si>
    <t>Westcreek Townhomes Fort Worth</t>
  </si>
  <si>
    <t>McDonald Law Firm</t>
  </si>
  <si>
    <t>Emerge Living - Westcreek Townhomes Fort Worth</t>
  </si>
  <si>
    <t>Panther Westcreek Llc</t>
  </si>
  <si>
    <t>3400-3450 Western Center Blvd</t>
  </si>
  <si>
    <t>Carmel Creekside</t>
  </si>
  <si>
    <t>Rockport Equity Partners</t>
  </si>
  <si>
    <t>Luma Residential - Carmel Creekside</t>
  </si>
  <si>
    <t>FC 3400, LLC</t>
  </si>
  <si>
    <t>9510 Westpark Dr</t>
  </si>
  <si>
    <t>Cortland Benbrook</t>
  </si>
  <si>
    <t>Cortland - Cortland Benbrook</t>
  </si>
  <si>
    <t>Westpark Drive Tx Partners Llc</t>
  </si>
  <si>
    <t>9727 Whitehurst Dr</t>
  </si>
  <si>
    <t>Prime at Lake Highlands</t>
  </si>
  <si>
    <t>Foreview Ventures</t>
  </si>
  <si>
    <t>Touro - Prime at Lake Highlands</t>
  </si>
  <si>
    <t>Crossings at the Lake LLC</t>
  </si>
  <si>
    <t>75243-8774</t>
  </si>
  <si>
    <t>8028 Wichita St</t>
  </si>
  <si>
    <t>Estancia | A Peak Community</t>
  </si>
  <si>
    <t>Ow Estancia Llc</t>
  </si>
  <si>
    <t>76140-1752</t>
  </si>
  <si>
    <t>09/01/2029</t>
  </si>
  <si>
    <t>1802 Wimbledon Oaks Ln</t>
  </si>
  <si>
    <t>Wimbledon Oaks</t>
  </si>
  <si>
    <t>Blackstone Inc.</t>
  </si>
  <si>
    <t>PAC – Wimbledon Oaks</t>
  </si>
  <si>
    <t>Rre Wimbledon Oaks Holdings Llc</t>
  </si>
  <si>
    <t>02/05/2026</t>
  </si>
  <si>
    <t>4700 Wimbleton Way</t>
  </si>
  <si>
    <t>Skyline Place</t>
  </si>
  <si>
    <t>Affordable Housing Partners, Inc.</t>
  </si>
  <si>
    <t>Dalcor - Skyline Place</t>
  </si>
  <si>
    <t>Dalcor Skyline, Ltd.</t>
  </si>
  <si>
    <t>09/18/2032</t>
  </si>
  <si>
    <t>4624 Windstone Dr</t>
  </si>
  <si>
    <t>Bardin Oaks</t>
  </si>
  <si>
    <t>Luma Residential - Bardin Oaks Apartments</t>
  </si>
  <si>
    <t>Bdo Arlington Ltd</t>
  </si>
  <si>
    <t>76018</t>
  </si>
  <si>
    <t>300 W Wintergreen Rd</t>
  </si>
  <si>
    <t>Thorn Manor</t>
  </si>
  <si>
    <t>Arc home srealties llc.com</t>
  </si>
  <si>
    <t>Centra Partners - Thorn Manor</t>
  </si>
  <si>
    <t>Ridgewood Manor Llc</t>
  </si>
  <si>
    <t>75115-2370</t>
  </si>
  <si>
    <t>09/27/2029</t>
  </si>
  <si>
    <t>815 Woodard Ave</t>
  </si>
  <si>
    <t>Arbors Of Cleburne</t>
  </si>
  <si>
    <t>Luma Residential - Arbors of Cleburne</t>
  </si>
  <si>
    <t>10911 Woodmeadow Pky</t>
  </si>
  <si>
    <t>Iron Landings</t>
  </si>
  <si>
    <t>DGE  Investments</t>
  </si>
  <si>
    <t>DGE - Iron Landings</t>
  </si>
  <si>
    <t>Iron Landings Apartments Llc</t>
  </si>
  <si>
    <t>10950 Woodmeadow Pky</t>
  </si>
  <si>
    <t>Claro Court</t>
  </si>
  <si>
    <t>Pauls Corporation</t>
  </si>
  <si>
    <t>Willow Bridge - Claro Court</t>
  </si>
  <si>
    <t>11011 Woodmeadow Pky</t>
  </si>
  <si>
    <t>Fairway Greens Apartments</t>
  </si>
  <si>
    <t>Bueal George</t>
  </si>
  <si>
    <t>Fairway Green Apartments</t>
  </si>
  <si>
    <t>Fairway Greens Apts Llc</t>
  </si>
  <si>
    <t>75228-1402</t>
  </si>
  <si>
    <t>11050 Woodmeadow Pky</t>
  </si>
  <si>
    <t>Oak Meadow</t>
  </si>
  <si>
    <t>Bhuvaneshwer and Pratima Sharma</t>
  </si>
  <si>
    <t>Devonshire - Oak Meadow Apartments</t>
  </si>
  <si>
    <t>Sevenseas Holdings V LLC</t>
  </si>
  <si>
    <t>11111 Woodmeadow Pky</t>
  </si>
  <si>
    <t>Gable Point</t>
  </si>
  <si>
    <t>Pardue - Gable Point Apartments</t>
  </si>
  <si>
    <t>75228-7331</t>
  </si>
  <si>
    <t>1201 Alicia Ann Dr</t>
  </si>
  <si>
    <t>Redwood at The Lake</t>
  </si>
  <si>
    <t>Rockwall County</t>
  </si>
  <si>
    <t>YES! Communities - Redwood at the Lake</t>
  </si>
  <si>
    <t>75098-6503</t>
  </si>
  <si>
    <t>1200 Farmers Rd</t>
  </si>
  <si>
    <t>Riveridge MHP</t>
  </si>
  <si>
    <t>Stonetown Capital</t>
  </si>
  <si>
    <t>Stonetown Riveridge LLC</t>
  </si>
  <si>
    <t>75050</t>
  </si>
  <si>
    <t>4601 Shiloh Rd</t>
  </si>
  <si>
    <t>Rocky Point Mobile Home Park</t>
  </si>
  <si>
    <t>Rocky Point Estates Land Trust</t>
  </si>
  <si>
    <t>Flower Mound</t>
  </si>
  <si>
    <t>75022</t>
  </si>
  <si>
    <t>4937 Stuart Rd</t>
  </si>
  <si>
    <t>Yes Southfork Denton Llc</t>
  </si>
  <si>
    <t>76207</t>
  </si>
  <si>
    <t>523 W Wintergreen Rd</t>
  </si>
  <si>
    <t>Wintergreen Mobile Home Park</t>
  </si>
  <si>
    <t>Ow Wintergreen Llc</t>
  </si>
  <si>
    <t>Hutchins</t>
  </si>
  <si>
    <t>75141-3703</t>
  </si>
  <si>
    <t>3575 Lone Star Cir</t>
  </si>
  <si>
    <t>LoneStar Tower</t>
  </si>
  <si>
    <t>Speedway</t>
  </si>
  <si>
    <t>Texas Motor Speedway</t>
  </si>
  <si>
    <t>76177</t>
  </si>
  <si>
    <t>$21.50 - 23.50</t>
  </si>
  <si>
    <t>385 E Las Colinas Blvd</t>
  </si>
  <si>
    <t>Alesio Urban Center</t>
  </si>
  <si>
    <t>Urban Center Irving</t>
  </si>
  <si>
    <t>Harbor Group International</t>
  </si>
  <si>
    <t>Harbor Group - Alesio Urban Center</t>
  </si>
  <si>
    <t>LOR Alesio, LLC</t>
  </si>
  <si>
    <t>75039-5506</t>
  </si>
  <si>
    <t>1001 W 7th St</t>
  </si>
  <si>
    <t>Firestone West 7th</t>
  </si>
  <si>
    <t>Downtown Fort Worth</t>
  </si>
  <si>
    <t>Weidner - Firestone West 7th</t>
  </si>
  <si>
    <t>Tx Firestone Apartments Llc</t>
  </si>
  <si>
    <t>76102-3585</t>
  </si>
  <si>
    <t>2601 W 7th St</t>
  </si>
  <si>
    <t>Olympus 7th Street Station</t>
  </si>
  <si>
    <t>West 7th</t>
  </si>
  <si>
    <t>Olympus - 7th Street Station</t>
  </si>
  <si>
    <t>Ww Olympus 7th Street Lp</t>
  </si>
  <si>
    <t>76107</t>
  </si>
  <si>
    <t>4500 14th St</t>
  </si>
  <si>
    <t>Cottonwood Grove</t>
  </si>
  <si>
    <t>Yes! Communities - Cottonwood Grove</t>
  </si>
  <si>
    <t>Yes Companies Exp2 Key Llc</t>
  </si>
  <si>
    <t>4701 14th St</t>
  </si>
  <si>
    <t>MAA Los Rios</t>
  </si>
  <si>
    <t>MAA - MAA Los Rios</t>
  </si>
  <si>
    <t>Mid-America Apartments LP</t>
  </si>
  <si>
    <t>5009 Addison Cir</t>
  </si>
  <si>
    <t>MAA Addison Circle</t>
  </si>
  <si>
    <t>Addison Circle Park</t>
  </si>
  <si>
    <t>MAA - MAA Addison Circle</t>
  </si>
  <si>
    <t>Addison</t>
  </si>
  <si>
    <t>75001</t>
  </si>
  <si>
    <t>17671 Addison Rd</t>
  </si>
  <si>
    <t>Townhomes of Bent Tree</t>
  </si>
  <si>
    <t>Valiant -Townhomes of Bent Tree</t>
  </si>
  <si>
    <t>17671 Addison Rd Llc</t>
  </si>
  <si>
    <t>05/01/2027</t>
  </si>
  <si>
    <t>2801 Airport Fwy</t>
  </si>
  <si>
    <t>MAA Willow Creek</t>
  </si>
  <si>
    <t>MAA - MAA Willow Creek</t>
  </si>
  <si>
    <t>CMF 15 Portfolio LLC</t>
  </si>
  <si>
    <t>2427 Allen St</t>
  </si>
  <si>
    <t>MAA Meridian</t>
  </si>
  <si>
    <t>MAA - MAA Meridian</t>
  </si>
  <si>
    <t>Post Apartment Homes</t>
  </si>
  <si>
    <t>2610 Allen St</t>
  </si>
  <si>
    <t>State Thomas Ravello</t>
  </si>
  <si>
    <t>Principal Real Estate Investors</t>
  </si>
  <si>
    <t>Gables - State Thomas Ravello</t>
  </si>
  <si>
    <t>2815 Allen St</t>
  </si>
  <si>
    <t>MAA McKinney Avenue</t>
  </si>
  <si>
    <t>MAA - MAA McKinney Avenue</t>
  </si>
  <si>
    <t>3560 Alma Rd</t>
  </si>
  <si>
    <t>Cortland Prairie Creek</t>
  </si>
  <si>
    <t>Cortland - Prairie Creek Villas</t>
  </si>
  <si>
    <t>Prairie Creek Apartments LLC</t>
  </si>
  <si>
    <t>75080-1100</t>
  </si>
  <si>
    <t>3905-3925 American Dr</t>
  </si>
  <si>
    <t>Plano Community Homes West</t>
  </si>
  <si>
    <t>Plano Community Home Phase Iii Inc</t>
  </si>
  <si>
    <t>75075-6100</t>
  </si>
  <si>
    <t>5665 Arapaho Rd</t>
  </si>
  <si>
    <t>St. Moritz Apartments</t>
  </si>
  <si>
    <t>Berkeley Investments</t>
  </si>
  <si>
    <t>Willow Bridge - St. Moritz</t>
  </si>
  <si>
    <t>Berkely Industries Ltd</t>
  </si>
  <si>
    <t>714 W Arapaho Rd</t>
  </si>
  <si>
    <t>El Dorado</t>
  </si>
  <si>
    <t>Provincial - El Dorado</t>
  </si>
  <si>
    <t>Nic 12 El Dorado Owner Llc</t>
  </si>
  <si>
    <t>75080-4162</t>
  </si>
  <si>
    <t>1601 W Arbrook Blvd</t>
  </si>
  <si>
    <t>Providence in the Park</t>
  </si>
  <si>
    <t>PAC – Providence in the Park</t>
  </si>
  <si>
    <t>Rre Providence Holdings Llc</t>
  </si>
  <si>
    <t>2500 Ascension Blvd</t>
  </si>
  <si>
    <t>Ascension Point Condominiums</t>
  </si>
  <si>
    <t>Ascension Properties, L.P.</t>
  </si>
  <si>
    <t>UAG - Ascension Point</t>
  </si>
  <si>
    <t>Brulard Marie C</t>
  </si>
  <si>
    <t>601 E Ash Ln</t>
  </si>
  <si>
    <t>Ash Lane</t>
  </si>
  <si>
    <t>Norstar Group of Companies</t>
  </si>
  <si>
    <t>Accolade - Ash Lane</t>
  </si>
  <si>
    <t>Norstar Ash Park LLC</t>
  </si>
  <si>
    <t>700 E Ash Ln</t>
  </si>
  <si>
    <t>Eden Park at Bear Creek</t>
  </si>
  <si>
    <t>RPM - Eden Park at Bear Creek</t>
  </si>
  <si>
    <t>Bear Creek LL, LLC</t>
  </si>
  <si>
    <t>7120 Baker Blvd</t>
  </si>
  <si>
    <t>Parc at Bakers Pointe</t>
  </si>
  <si>
    <t>SunRidge - Parc at Bakers Pointe</t>
  </si>
  <si>
    <t>Parc At Bakers Pointe Lp</t>
  </si>
  <si>
    <t>03/01/2038</t>
  </si>
  <si>
    <t>2770 Bardin Rd</t>
  </si>
  <si>
    <t>Sheffield Square</t>
  </si>
  <si>
    <t>InterCapital</t>
  </si>
  <si>
    <t>Dayrise - Sheffield Square</t>
  </si>
  <si>
    <t>Sheffield Property SPE, LLC</t>
  </si>
  <si>
    <t>2301 Basil Dr</t>
  </si>
  <si>
    <t>Arlington Oaks Condominiums</t>
  </si>
  <si>
    <t>Michael W Mckinney</t>
  </si>
  <si>
    <t>5900 Baywater Dr</t>
  </si>
  <si>
    <t>Heritage At Lakeside Apartments</t>
  </si>
  <si>
    <t>JRK Property Holdings</t>
  </si>
  <si>
    <t>TCL - Heritage at Lakeside</t>
  </si>
  <si>
    <t>R L Heritage Of Lakeside Prop Owne</t>
  </si>
  <si>
    <t>05/01/2028</t>
  </si>
  <si>
    <t>6111 N Beach St</t>
  </si>
  <si>
    <t>Lake Pointe Apts</t>
  </si>
  <si>
    <t>Dale Burghardt</t>
  </si>
  <si>
    <t>The Tipton Group - Lake Pointe Apartments</t>
  </si>
  <si>
    <t>Lake Pointe FW Partners, LLC</t>
  </si>
  <si>
    <t>6901 N Beach St</t>
  </si>
  <si>
    <t>Garden Gate</t>
  </si>
  <si>
    <t>Rainbow Housing Assistance Corporation</t>
  </si>
  <si>
    <t>Related - Garden Gate</t>
  </si>
  <si>
    <t>Garden Gate Fw Acquisition Lp</t>
  </si>
  <si>
    <t>76137-1884</t>
  </si>
  <si>
    <t>6960 N Beach St</t>
  </si>
  <si>
    <t>Park Creek</t>
  </si>
  <si>
    <t>MRT Realty Group</t>
  </si>
  <si>
    <t>MRT - Park Creek</t>
  </si>
  <si>
    <t>Mrt Beach 6960 De Llc</t>
  </si>
  <si>
    <t>1121 Beachview St</t>
  </si>
  <si>
    <t>The Trails of White Rock</t>
  </si>
  <si>
    <t>AMAC Holdings</t>
  </si>
  <si>
    <t>SunRidge - Trails of White Rock</t>
  </si>
  <si>
    <t>AH Trails Property Investor LLC</t>
  </si>
  <si>
    <t>2121 Bear Creek Pky</t>
  </si>
  <si>
    <t>Oakmont of Bear Creek</t>
  </si>
  <si>
    <t>S &amp; H - Oakmont of Bear Creek</t>
  </si>
  <si>
    <t>Oakmont of Bear Creek LLP</t>
  </si>
  <si>
    <t>816 N Bell Ave</t>
  </si>
  <si>
    <t>Bellmere Apartments</t>
  </si>
  <si>
    <t>Rohmer Denton Properties</t>
  </si>
  <si>
    <t>Rohmer Commercial Properties, LTD</t>
  </si>
  <si>
    <t>Rohmer Denton Properties LTD</t>
  </si>
  <si>
    <t>600 Bellaire Dr</t>
  </si>
  <si>
    <t>Whispering Run</t>
  </si>
  <si>
    <t>Walter Mikulik</t>
  </si>
  <si>
    <t>Texcan - Whispering Run</t>
  </si>
  <si>
    <t>Texcan Ventures I, Ltd</t>
  </si>
  <si>
    <t>11/01/2029</t>
  </si>
  <si>
    <t>4600 Bellaire Dr S</t>
  </si>
  <si>
    <t>Marquis at Bellaire Ranch</t>
  </si>
  <si>
    <t>CWS - Marquis at Bellaire Ranch</t>
  </si>
  <si>
    <t>CWS Bellaire Ranch LLC</t>
  </si>
  <si>
    <t>12/01/2028</t>
  </si>
  <si>
    <t>5769 Belt Line Rd</t>
  </si>
  <si>
    <t>Fairways at Prestonwood</t>
  </si>
  <si>
    <t>Paskin - Fairways at Preston</t>
  </si>
  <si>
    <t>Mbr Doorknob Llc</t>
  </si>
  <si>
    <t>75254-7674</t>
  </si>
  <si>
    <t>425 N Belt Line Rd</t>
  </si>
  <si>
    <t>Meadow Creek Ranch MHC</t>
  </si>
  <si>
    <t>Saban Real Estate LLC</t>
  </si>
  <si>
    <t>Meadow Creek Ranch Mhc Llc</t>
  </si>
  <si>
    <t>75061-6309</t>
  </si>
  <si>
    <t>1115 N Belt Line Rd</t>
  </si>
  <si>
    <t>Lake Forest Mobile Home Park</t>
  </si>
  <si>
    <t>Lake Forest Mobile Home</t>
  </si>
  <si>
    <t>12/01/2033</t>
  </si>
  <si>
    <t>2200 N Belt Line Rd</t>
  </si>
  <si>
    <t>Infinity on Sunnyvale</t>
  </si>
  <si>
    <t>ShainRealty Capital</t>
  </si>
  <si>
    <t>SRCP - Infinity on Sunnyvale</t>
  </si>
  <si>
    <t>9499 Holdings Llc</t>
  </si>
  <si>
    <t>06/01/2053</t>
  </si>
  <si>
    <t>100 S Belt Line Rd</t>
  </si>
  <si>
    <t>Mesquite Greens</t>
  </si>
  <si>
    <t>YES! - Mesquite Greens</t>
  </si>
  <si>
    <t>Yes Mesquite Greens Llc</t>
  </si>
  <si>
    <t>75253</t>
  </si>
  <si>
    <t>1717 E Beltline Rd</t>
  </si>
  <si>
    <t>St. Marin</t>
  </si>
  <si>
    <t>CBRE Investment Management</t>
  </si>
  <si>
    <t>Greystar - St. Marin</t>
  </si>
  <si>
    <t>Spus8 St Marin LP</t>
  </si>
  <si>
    <t>75019-4231</t>
  </si>
  <si>
    <t>12/01/2024</t>
  </si>
  <si>
    <t>4051 Beltway Dr</t>
  </si>
  <si>
    <t>Walnut Square</t>
  </si>
  <si>
    <t>Transcentury Properties</t>
  </si>
  <si>
    <t>Transcentury - Walnut Square Townhomes</t>
  </si>
  <si>
    <t>Beltway Associates I Ltd</t>
  </si>
  <si>
    <t>205 Benton Dr</t>
  </si>
  <si>
    <t>Benton Pointe Apartments</t>
  </si>
  <si>
    <t>Rivendell Global Real Estate, Inc.</t>
  </si>
  <si>
    <t>Greystar - Benton Pointe Apartments</t>
  </si>
  <si>
    <t>Benton Pointe LP</t>
  </si>
  <si>
    <t>75013</t>
  </si>
  <si>
    <t>07/01/2052</t>
  </si>
  <si>
    <t>6220 Bentwood Trl</t>
  </si>
  <si>
    <t>Condominiums of Bent Trail</t>
  </si>
  <si>
    <t>VMS Management Services</t>
  </si>
  <si>
    <t>2425 Bickers St</t>
  </si>
  <si>
    <t>The Hamptons At Lakewest</t>
  </si>
  <si>
    <t>Outer West Dallas</t>
  </si>
  <si>
    <t>DHA - The Hamptons at Lakewest</t>
  </si>
  <si>
    <t>75212-1500</t>
  </si>
  <si>
    <t>3020 Bickers St</t>
  </si>
  <si>
    <t>Lakeview Townhomes</t>
  </si>
  <si>
    <t>DHA - Lakeview Townhomes</t>
  </si>
  <si>
    <t>75212</t>
  </si>
  <si>
    <t>3377 Blackburn St</t>
  </si>
  <si>
    <t>THIRTY377</t>
  </si>
  <si>
    <t>UDR, Inc.</t>
  </si>
  <si>
    <t>UDR - Thirty377</t>
  </si>
  <si>
    <t>Blackburn</t>
  </si>
  <si>
    <t>3100 Blessing Ct</t>
  </si>
  <si>
    <t>Blessing Court</t>
  </si>
  <si>
    <t>National Church Residences</t>
  </si>
  <si>
    <t>National Church - Blessing Court</t>
  </si>
  <si>
    <t>Blessing Court Senior Housing LP</t>
  </si>
  <si>
    <t>10/01/2053</t>
  </si>
  <si>
    <t>201 Blue Grass Way</t>
  </si>
  <si>
    <t>The Estates Mobile Home Park</t>
  </si>
  <si>
    <t>Yes! Communities - The Estates</t>
  </si>
  <si>
    <t>Yes Estates Tx Llc</t>
  </si>
  <si>
    <t>Princeton</t>
  </si>
  <si>
    <t>75407-5728</t>
  </si>
  <si>
    <t>9685 Boat Club Rd</t>
  </si>
  <si>
    <t>The Legends at Eagle Mountain Lake</t>
  </si>
  <si>
    <t>Bassham Family Trust</t>
  </si>
  <si>
    <t>Willow Bridge - The Legends at Eagle Mountain Lake</t>
  </si>
  <si>
    <t>Legends At Eagle Mountain Lake LLC</t>
  </si>
  <si>
    <t>76179-6019</t>
  </si>
  <si>
    <t>08/01/2032</t>
  </si>
  <si>
    <t>5400 Boca Raton Blvd</t>
  </si>
  <si>
    <t>Hills 5400</t>
  </si>
  <si>
    <t>Amherst Capital Management LLC</t>
  </si>
  <si>
    <t>Fairmont - Hills 5400</t>
  </si>
  <si>
    <t>Hills At 5400 Asset Acquisition Company</t>
  </si>
  <si>
    <t>150 Boland St</t>
  </si>
  <si>
    <t>Monticello Oaks Apartments</t>
  </si>
  <si>
    <t>Valiant - Monticello Oaks Apartments</t>
  </si>
  <si>
    <t>SPI Monticello 63 EX LLC</t>
  </si>
  <si>
    <t>06/01/2029</t>
  </si>
  <si>
    <t>2600 Bolton Boone Dr</t>
  </si>
  <si>
    <t>Courtyards at Kirnwood</t>
  </si>
  <si>
    <t>Sandalwood Management, Inc.</t>
  </si>
  <si>
    <t>Sandalwood - Courtyards at Kirnwood</t>
  </si>
  <si>
    <t>Texas Kirnwood Apt LP</t>
  </si>
  <si>
    <t>75115-2062</t>
  </si>
  <si>
    <t>5342 Bond St</t>
  </si>
  <si>
    <t>The Montgomery</t>
  </si>
  <si>
    <t>Valiant - The Montgomery</t>
  </si>
  <si>
    <t>Montgomery Acquisition I Llc</t>
  </si>
  <si>
    <t>75038-3106</t>
  </si>
  <si>
    <t>320 Booth Calloway Rd</t>
  </si>
  <si>
    <t>Sunny Ridge</t>
  </si>
  <si>
    <t>Martina De La Fuente</t>
  </si>
  <si>
    <t>Texas Longevity Housing</t>
  </si>
  <si>
    <t>8515 Boulevard Rd</t>
  </si>
  <si>
    <t>Meadows at North Richland Hills Apartments</t>
  </si>
  <si>
    <t>Independence Realty Trust, Inc.</t>
  </si>
  <si>
    <t>IRT - Meadows at North Richland Hills Apartments</t>
  </si>
  <si>
    <t>Star Meadows Llc</t>
  </si>
  <si>
    <t>8200 Brentwood Stair Rd</t>
  </si>
  <si>
    <t>The Retreat at Eastchase</t>
  </si>
  <si>
    <t>MBP Capital, Inc.</t>
  </si>
  <si>
    <t>RPM - The Retreat at Eastchase</t>
  </si>
  <si>
    <t>MBP Retreat LLC</t>
  </si>
  <si>
    <t>3653 Briargrove Ln</t>
  </si>
  <si>
    <t>Andalusian Gate</t>
  </si>
  <si>
    <t>Mercer Family Trust</t>
  </si>
  <si>
    <t>Mercer Family Trust  - Andalusian Gate Apartments</t>
  </si>
  <si>
    <t>Garrett Wolf</t>
  </si>
  <si>
    <t>75287-6136</t>
  </si>
  <si>
    <t>01/01/2049</t>
  </si>
  <si>
    <t>3839 Briargrove Ln</t>
  </si>
  <si>
    <t>Vail Village Club Apartments</t>
  </si>
  <si>
    <t>Capri Investment Group</t>
  </si>
  <si>
    <t>Portico - Vail Village Club Apartments</t>
  </si>
  <si>
    <t>Adam W Clements</t>
  </si>
  <si>
    <t>75287-6360</t>
  </si>
  <si>
    <t>3939 Briargrove Ln</t>
  </si>
  <si>
    <t>Briargrove At Vail</t>
  </si>
  <si>
    <t>Management Support - Briargrove at Vail</t>
  </si>
  <si>
    <t>Travis Spring Ck Apt Ltd</t>
  </si>
  <si>
    <t>4200 Bridgeview Dr</t>
  </si>
  <si>
    <t>Marquis at Stonegate</t>
  </si>
  <si>
    <t>CWS - Marquis at Stonegate</t>
  </si>
  <si>
    <t>Stonegate-Margate, LLC</t>
  </si>
  <si>
    <t>06/01/2012</t>
  </si>
  <si>
    <t>2800 Broadmoor Dr</t>
  </si>
  <si>
    <t>Silverstone Retirement Community</t>
  </si>
  <si>
    <t>Pacific Retirement Services</t>
  </si>
  <si>
    <t>Pacific Retirement – Silverstone Retirement Community</t>
  </si>
  <si>
    <t>Rvm Worth Housing Corp</t>
  </si>
  <si>
    <t>76116-3838</t>
  </si>
  <si>
    <t>2700 N Brook Dr</t>
  </si>
  <si>
    <t>The Rustic of McKinney</t>
  </si>
  <si>
    <t>Shelter Asset Management</t>
  </si>
  <si>
    <t>RPM - The Rustic of McKinney</t>
  </si>
  <si>
    <t>Sam Rustic Owner LLC</t>
  </si>
  <si>
    <t>75070-3651</t>
  </si>
  <si>
    <t>5200 Bryant Irvin Rd</t>
  </si>
  <si>
    <t>Coventry At Cityview</t>
  </si>
  <si>
    <t>WAK Management - Coventry at Cityview</t>
  </si>
  <si>
    <t>5230 Bryant Irvin Rd</t>
  </si>
  <si>
    <t>Siena</t>
  </si>
  <si>
    <t>Greystar Real Estate Partners</t>
  </si>
  <si>
    <t>Greystar - Siena</t>
  </si>
  <si>
    <t>Big March Co Ltd</t>
  </si>
  <si>
    <t>76132-6004</t>
  </si>
  <si>
    <t>5270 Bryant Irvin Rd</t>
  </si>
  <si>
    <t>The Heights of Cityview</t>
  </si>
  <si>
    <t>37th Parallel Properties</t>
  </si>
  <si>
    <t>RPM - The Heights of Cityview</t>
  </si>
  <si>
    <t>ADP Owner, LLC</t>
  </si>
  <si>
    <t>76132-3881</t>
  </si>
  <si>
    <t>03/01/2029</t>
  </si>
  <si>
    <t>5350 Bryant Irvin Rd</t>
  </si>
  <si>
    <t>Mirador Apartment Homes</t>
  </si>
  <si>
    <t>ORION Property Partners, Inc.</t>
  </si>
  <si>
    <t>UAG - Mirador Apartment Homes</t>
  </si>
  <si>
    <t>Orion Mirador Property DE LLC</t>
  </si>
  <si>
    <t>411 Buckingham Rd</t>
  </si>
  <si>
    <t>Arboretum Estates</t>
  </si>
  <si>
    <t>Buckingham</t>
  </si>
  <si>
    <t>Cantor Fitzgerald Investors, LLC</t>
  </si>
  <si>
    <t>Harbor Group - Arboretum Estates</t>
  </si>
  <si>
    <t>CF Arboretum Multifamily DST</t>
  </si>
  <si>
    <t>75081</t>
  </si>
  <si>
    <t>530 Buckingham Rd</t>
  </si>
  <si>
    <t>Sonterra at Buckingham</t>
  </si>
  <si>
    <t>Invesco Ltd.</t>
  </si>
  <si>
    <t>Willow Bridge - 530 Buckingham</t>
  </si>
  <si>
    <t>530 Buckingham Owner Llc</t>
  </si>
  <si>
    <t>12/01/2022</t>
  </si>
  <si>
    <t>540 Buckingham Rd</t>
  </si>
  <si>
    <t>The Collins</t>
  </si>
  <si>
    <t>DVO Real Estate</t>
  </si>
  <si>
    <t>Avenue5 - The Collins</t>
  </si>
  <si>
    <t>Sweetwater Owner Llc</t>
  </si>
  <si>
    <t>75081-5651</t>
  </si>
  <si>
    <t>430 E Buckingham Rd</t>
  </si>
  <si>
    <t>Camden Buckingham</t>
  </si>
  <si>
    <t>Camden Property Trust</t>
  </si>
  <si>
    <t>Camden - Camden Buckingham</t>
  </si>
  <si>
    <t>Camden Property</t>
  </si>
  <si>
    <t>1990 S Burleson Blvd</t>
  </si>
  <si>
    <t>John Carroll</t>
  </si>
  <si>
    <t>RBNT Investments LLC</t>
  </si>
  <si>
    <t>09/01/2042</t>
  </si>
  <si>
    <t>1000 E Burnett St</t>
  </si>
  <si>
    <t>Creekside Terrace Apartments</t>
  </si>
  <si>
    <t>BenTeisha Enterprise, LP</t>
  </si>
  <si>
    <t>2BG - Creekside Terrace Apartments</t>
  </si>
  <si>
    <t>7070 W Camp Wisdom Rd</t>
  </si>
  <si>
    <t>Austin Bluff</t>
  </si>
  <si>
    <t>RPM - Austin Bluff</t>
  </si>
  <si>
    <t>RPMI 7070 W Camp Wisdom Road Owner LLC</t>
  </si>
  <si>
    <t>75236-5600</t>
  </si>
  <si>
    <t>2001 W Campbell Rd</t>
  </si>
  <si>
    <t>Seven Oaks</t>
  </si>
  <si>
    <t>Rockwood - Seven Oaks</t>
  </si>
  <si>
    <t>75044-2914</t>
  </si>
  <si>
    <t>1515 Cannon Pky</t>
  </si>
  <si>
    <t>MAA Boulder Ridge</t>
  </si>
  <si>
    <t>MAA - MAA Boulder Ridge</t>
  </si>
  <si>
    <t>Mid-America Apartments of Texas, LP</t>
  </si>
  <si>
    <t>2210 Canton St</t>
  </si>
  <si>
    <t>Camden Farmers Market</t>
  </si>
  <si>
    <t>City Center</t>
  </si>
  <si>
    <t>Camden - Camden Farmers Market</t>
  </si>
  <si>
    <t>2009 CPT Community Owner LLC</t>
  </si>
  <si>
    <t>75201</t>
  </si>
  <si>
    <t>4242 N Capistrano Dr</t>
  </si>
  <si>
    <t>Villas at Parkway Village</t>
  </si>
  <si>
    <t>Parkway Village Master Homeowners Association</t>
  </si>
  <si>
    <t>2802 N Carroll Ave</t>
  </si>
  <si>
    <t>Metropolitan at Cityplace</t>
  </si>
  <si>
    <t>Village Investment Partners</t>
  </si>
  <si>
    <t>New Earth - Metropolitan</t>
  </si>
  <si>
    <t>Carson City Parkway, LLC</t>
  </si>
  <si>
    <t>5445 Caruth Haven Ln</t>
  </si>
  <si>
    <t>The Caruth</t>
  </si>
  <si>
    <t>UBS Realty Investors LLC</t>
  </si>
  <si>
    <t>Willow Bridge - Caruth at Lincoln Park Apartments</t>
  </si>
  <si>
    <t>UBS Asset Management</t>
  </si>
  <si>
    <t>75225</t>
  </si>
  <si>
    <t>4606 Cedar Springs Rd</t>
  </si>
  <si>
    <t>Atera Apartments</t>
  </si>
  <si>
    <t>BH - Atera Apartments</t>
  </si>
  <si>
    <t>Nxrt Atera Llc</t>
  </si>
  <si>
    <t>13447 N Central Expy</t>
  </si>
  <si>
    <t>Vinings at Central</t>
  </si>
  <si>
    <t>Glorious Sun - Vinings at Central</t>
  </si>
  <si>
    <t>Gold Treasure Usa Inc</t>
  </si>
  <si>
    <t>75243-1100</t>
  </si>
  <si>
    <t>04/10/2005</t>
  </si>
  <si>
    <t>2500 Central Park Blvd</t>
  </si>
  <si>
    <t>MAA Shoal Creek</t>
  </si>
  <si>
    <t>MAA - MAA Shoal Creek</t>
  </si>
  <si>
    <t>76022-5800</t>
  </si>
  <si>
    <t>3999 Centreport Drive</t>
  </si>
  <si>
    <t>Camden Centreport</t>
  </si>
  <si>
    <t>Camden - Camden Centreport</t>
  </si>
  <si>
    <t>6201 Chapel Hill Blvd</t>
  </si>
  <si>
    <t>Towns of Chapel Hill</t>
  </si>
  <si>
    <t>UBS</t>
  </si>
  <si>
    <t>Greystar - Towns of Chapel Hill</t>
  </si>
  <si>
    <t>4701 Charles Pl</t>
  </si>
  <si>
    <t>The Parker</t>
  </si>
  <si>
    <t>Red Willow Production Company</t>
  </si>
  <si>
    <t>Kairoi - The Parker</t>
  </si>
  <si>
    <t>Plano GFPG LLC</t>
  </si>
  <si>
    <t>75093-7456</t>
  </si>
  <si>
    <t>7101 Chase Oaks Blvd</t>
  </si>
  <si>
    <t>Thornbury at Chase Oaks</t>
  </si>
  <si>
    <t>CAF - Thornbury at Chase Oaks</t>
  </si>
  <si>
    <t>Thornbury Property Holdings LLC</t>
  </si>
  <si>
    <t>02/01/2028</t>
  </si>
  <si>
    <t>7601 Churchill Way</t>
  </si>
  <si>
    <t>Churchill on the Park</t>
  </si>
  <si>
    <t>Nuveen</t>
  </si>
  <si>
    <t>Pinnacle - Churchill on the Park</t>
  </si>
  <si>
    <t>75251</t>
  </si>
  <si>
    <t>7900 Churchill Way</t>
  </si>
  <si>
    <t>7900 at Park Central</t>
  </si>
  <si>
    <t>Pleasanton Housing Finance Corporation</t>
  </si>
  <si>
    <t>Hilltop - 7900 at Park Central</t>
  </si>
  <si>
    <t>101 Cimarron Trl</t>
  </si>
  <si>
    <t>Aventura Cimarron</t>
  </si>
  <si>
    <t>Boston Capital Real Estate Partners</t>
  </si>
  <si>
    <t>RPM - Aventura Cimarron</t>
  </si>
  <si>
    <t>Cimarron Apartment Owner, LLC</t>
  </si>
  <si>
    <t>2600 Clear Springs Dr</t>
  </si>
  <si>
    <t>Villages at Clear Springs</t>
  </si>
  <si>
    <t>The Ergas Group</t>
  </si>
  <si>
    <t>The Tipton Group - Villages at Clear Springs</t>
  </si>
  <si>
    <t>Villages Residences</t>
  </si>
  <si>
    <t>1004 Cleveland St</t>
  </si>
  <si>
    <t>Cole Place</t>
  </si>
  <si>
    <t>Dzezair Ahmeti</t>
  </si>
  <si>
    <t>Struga - Cole Place</t>
  </si>
  <si>
    <t>Struga Denton Partners Llc</t>
  </si>
  <si>
    <t>76201-6834</t>
  </si>
  <si>
    <t>6800-6850 S Cockrell Hill Rd</t>
  </si>
  <si>
    <t>Woodglen Park I</t>
  </si>
  <si>
    <t>Elizabeth Property Group</t>
  </si>
  <si>
    <t>Carleton - Woodglen Park I</t>
  </si>
  <si>
    <t>12271 Coit Rd</t>
  </si>
  <si>
    <t>The Reserve at North Dallas</t>
  </si>
  <si>
    <t>Unbridled Living</t>
  </si>
  <si>
    <t>Stellar - The Reserve at North Dallas</t>
  </si>
  <si>
    <t>PSLF Dallas LLC</t>
  </si>
  <si>
    <t>17817 Coit Rd</t>
  </si>
  <si>
    <t>Palencia Apartments</t>
  </si>
  <si>
    <t>Magma Equities</t>
  </si>
  <si>
    <t>Avenue5 - Palencia Apartments</t>
  </si>
  <si>
    <t>2600 Cole Ave</t>
  </si>
  <si>
    <t>Gables Mirabella</t>
  </si>
  <si>
    <t>Gables Residential</t>
  </si>
  <si>
    <t>Gables - Gables Mirabella</t>
  </si>
  <si>
    <t>Gables Mirabella, LP</t>
  </si>
  <si>
    <t>3711 Cole Ave</t>
  </si>
  <si>
    <t>Gables Turtle Creek Cityplace</t>
  </si>
  <si>
    <t>Gables - Turtle Creek Cityplace</t>
  </si>
  <si>
    <t>Lg Cityplace</t>
  </si>
  <si>
    <t>4649 Cole Ave</t>
  </si>
  <si>
    <t>Carrara at Cole</t>
  </si>
  <si>
    <t>Knightvest - Carrara at Cole</t>
  </si>
  <si>
    <t>Knoxbridge Property Holdings, LLC</t>
  </si>
  <si>
    <t>4650 Cole Ave</t>
  </si>
  <si>
    <t>Slate at Cole</t>
  </si>
  <si>
    <t>Knightvest - Slate at Cole</t>
  </si>
  <si>
    <t>Miramar Knox Lp</t>
  </si>
  <si>
    <t>800 College Pky</t>
  </si>
  <si>
    <t>Lewisville Estates</t>
  </si>
  <si>
    <t>Tarantino Properties, Inc.</t>
  </si>
  <si>
    <t>Tarantino Properties - Lewisville Estates</t>
  </si>
  <si>
    <t>Tpi Lewisville Estates LLC</t>
  </si>
  <si>
    <t>75077-3503</t>
  </si>
  <si>
    <t>1200 College Pky</t>
  </si>
  <si>
    <t>Hidden Creek Apartments</t>
  </si>
  <si>
    <t>Bridge - Hidden Creek Apartments</t>
  </si>
  <si>
    <t>Bridge III Tx Hidden Creek LLC</t>
  </si>
  <si>
    <t>75077-2898</t>
  </si>
  <si>
    <t>5301 Collett Little Rd</t>
  </si>
  <si>
    <t>Amelia Parc II</t>
  </si>
  <si>
    <t>David Hiles</t>
  </si>
  <si>
    <t>UAG - Amelia Parc II</t>
  </si>
  <si>
    <t>Fort Worth Villas By The Lake</t>
  </si>
  <si>
    <t>3001 Communications Pky</t>
  </si>
  <si>
    <t>Carrington Park</t>
  </si>
  <si>
    <t>Pinnacle - Carrington Park</t>
  </si>
  <si>
    <t>TREA Carrington Park LLC</t>
  </si>
  <si>
    <t>75093-8833</t>
  </si>
  <si>
    <t>620 N Coppell Rd</t>
  </si>
  <si>
    <t>Lakeside at Coppell</t>
  </si>
  <si>
    <t>IRT - Lakeside at Coppell</t>
  </si>
  <si>
    <t>Star Lakeside Llc</t>
  </si>
  <si>
    <t>199-301 S Coppell Rd</t>
  </si>
  <si>
    <t>Golden Triangle</t>
  </si>
  <si>
    <t>YES! Communities - Glendale West MHP</t>
  </si>
  <si>
    <t>Yes Golden Triangle Llc</t>
  </si>
  <si>
    <t>265 E Corporate Dr</t>
  </si>
  <si>
    <t>Vista Springs</t>
  </si>
  <si>
    <t>Univesco Inc</t>
  </si>
  <si>
    <t>UNIVESCO - Vista Springs</t>
  </si>
  <si>
    <t>Truett Billups</t>
  </si>
  <si>
    <t>2401 Country View Ln</t>
  </si>
  <si>
    <t>Country Lane Seniors McKinney</t>
  </si>
  <si>
    <t>Kenneth H Mitchell</t>
  </si>
  <si>
    <t>Asset Living - Country Lane Seniors McKinney</t>
  </si>
  <si>
    <t>Two Country Lane Ltd</t>
  </si>
  <si>
    <t>75069-8706</t>
  </si>
  <si>
    <t>1240 N Cowan Ave</t>
  </si>
  <si>
    <t>Village North</t>
  </si>
  <si>
    <t>YES! Communities - Village North</t>
  </si>
  <si>
    <t>Yes Companies Exp2 WFC LLC</t>
  </si>
  <si>
    <t>75057</t>
  </si>
  <si>
    <t>151 Cowboys Pky</t>
  </si>
  <si>
    <t>The Waterford at Valley Ranch</t>
  </si>
  <si>
    <t>Beachwold Residential</t>
  </si>
  <si>
    <t>South Oxford - The Waterford at Valley Ranch</t>
  </si>
  <si>
    <t>Waterford At Valley Ranch Llc</t>
  </si>
  <si>
    <t>75063-5930</t>
  </si>
  <si>
    <t>621 Cowboys Pky</t>
  </si>
  <si>
    <t>DEVI at Valley Ranch</t>
  </si>
  <si>
    <t>ZRS - DEVI at Valley Ranch</t>
  </si>
  <si>
    <t>AGVR Property Owner Llc</t>
  </si>
  <si>
    <t>75063-5455</t>
  </si>
  <si>
    <t>701 Cowboys Pky</t>
  </si>
  <si>
    <t>Anthem Valley Ranch</t>
  </si>
  <si>
    <t>Birchstone - Anthem Valley Ranch</t>
  </si>
  <si>
    <t>Vista Pointe Borrower Ii Llc</t>
  </si>
  <si>
    <t>75063-7700</t>
  </si>
  <si>
    <t>3400 Craig Dr</t>
  </si>
  <si>
    <t>El Lago</t>
  </si>
  <si>
    <t>Management Support - El Lago</t>
  </si>
  <si>
    <t>El Lago Partners Ltd</t>
  </si>
  <si>
    <t>75070</t>
  </si>
  <si>
    <t>3000 Creekside Dr</t>
  </si>
  <si>
    <t>Villas Of Marine Creek</t>
  </si>
  <si>
    <t>Quest Asset Management Inc</t>
  </si>
  <si>
    <t>Quest - Villas of Marine Creek</t>
  </si>
  <si>
    <t>76106-3204</t>
  </si>
  <si>
    <t>300 Crump St</t>
  </si>
  <si>
    <t>Jennings Place</t>
  </si>
  <si>
    <t>RPM - Jennings Place Apartments</t>
  </si>
  <si>
    <t>Fort Worth Affordability Inc</t>
  </si>
  <si>
    <t>76102</t>
  </si>
  <si>
    <t>09/12/2035</t>
  </si>
  <si>
    <t>9601 Custer Rd</t>
  </si>
  <si>
    <t>Cortland North Plano</t>
  </si>
  <si>
    <t>Cortland - Cortland North Plano</t>
  </si>
  <si>
    <t>Custer TX Parnters, LLC</t>
  </si>
  <si>
    <t>04/01/2029</t>
  </si>
  <si>
    <t>1325 Daja Ln</t>
  </si>
  <si>
    <t>Prairie Estates</t>
  </si>
  <si>
    <t>Grand Prairie Townhomes Llc</t>
  </si>
  <si>
    <t>Mayfair - Prairie Estates</t>
  </si>
  <si>
    <t>18725 Dallas Pky</t>
  </si>
  <si>
    <t>LaSalle</t>
  </si>
  <si>
    <t>GSSW Real Estate Investments</t>
  </si>
  <si>
    <t>Willow Bridge - LaSalle</t>
  </si>
  <si>
    <t>Frankford Lasalle Ltd</t>
  </si>
  <si>
    <t>75287-4239</t>
  </si>
  <si>
    <t>19002 Dallas Pky</t>
  </si>
  <si>
    <t>Benton</t>
  </si>
  <si>
    <t>Knightvest - Benton</t>
  </si>
  <si>
    <t>KV ALEXI APARTMENTS, LLC</t>
  </si>
  <si>
    <t>02/09/2027</t>
  </si>
  <si>
    <t>18959 N Dallas Pky</t>
  </si>
  <si>
    <t>The Brixton</t>
  </si>
  <si>
    <t>Endurance Realty Capital</t>
  </si>
  <si>
    <t>RPM - The Brixton</t>
  </si>
  <si>
    <t>Brixton Propco, LLC</t>
  </si>
  <si>
    <t>09/01/2066</t>
  </si>
  <si>
    <t>6555 Dan Danciger Rd</t>
  </si>
  <si>
    <t>Mollie &amp; Max Barnett Apartments</t>
  </si>
  <si>
    <t>Housing Partners, Inc.</t>
  </si>
  <si>
    <t>Silver Tree - Mollie &amp; Max Barnett Apartments</t>
  </si>
  <si>
    <t>Mollie And Max Lp</t>
  </si>
  <si>
    <t>76133-4910</t>
  </si>
  <si>
    <t>6565 Dan Danciger Rd</t>
  </si>
  <si>
    <t>Tarrant County B'nai B'rith Apartments</t>
  </si>
  <si>
    <t>B'nai B'rith International</t>
  </si>
  <si>
    <t>Silver Tree - Tarrant County B'nai B'rith Apartm</t>
  </si>
  <si>
    <t>Tcbb Housing Lp</t>
  </si>
  <si>
    <t>76133-4921</t>
  </si>
  <si>
    <t>8009 Davis Blvd</t>
  </si>
  <si>
    <t>The Villas on Bear Creek</t>
  </si>
  <si>
    <t>The Wentwood Companies</t>
  </si>
  <si>
    <t>UAG - VIllas on Bear Creek</t>
  </si>
  <si>
    <t>Krr Villas On Bear Creek</t>
  </si>
  <si>
    <t>76182</t>
  </si>
  <si>
    <t>6800 Del Norte Ln</t>
  </si>
  <si>
    <t>Villa Del Norte</t>
  </si>
  <si>
    <t>Intercity Investments, Inc.</t>
  </si>
  <si>
    <t>Intercity Investments - Villa Del Norte</t>
  </si>
  <si>
    <t>Villa Del Norte, LLC</t>
  </si>
  <si>
    <t>75225-2554</t>
  </si>
  <si>
    <t>2801 Denton Tap Rd</t>
  </si>
  <si>
    <t>Ballantyne</t>
  </si>
  <si>
    <t>Management Support - Ballantyne Apartments</t>
  </si>
  <si>
    <t>Ballantyne Partners Ltd</t>
  </si>
  <si>
    <t>820 E Dove Loop Rd</t>
  </si>
  <si>
    <t>Wildwood Creek</t>
  </si>
  <si>
    <t>Grand Peaks Properties, Inc.</t>
  </si>
  <si>
    <t>Greystar - Wildwood Creek</t>
  </si>
  <si>
    <t>Wildwood Creek Apartments LLC</t>
  </si>
  <si>
    <t>76051-7283</t>
  </si>
  <si>
    <t>03/01/2032</t>
  </si>
  <si>
    <t>191 Duchess Dr</t>
  </si>
  <si>
    <t>McKinney Park Apartments</t>
  </si>
  <si>
    <t>American Equity Properties</t>
  </si>
  <si>
    <t>American Equity - McKinney Park</t>
  </si>
  <si>
    <t>JBJ/Calder Fund VII</t>
  </si>
  <si>
    <t>76208-6342</t>
  </si>
  <si>
    <t>06/01/2064</t>
  </si>
  <si>
    <t>4266 Duck Creek Dr</t>
  </si>
  <si>
    <t>Centerville Pointe</t>
  </si>
  <si>
    <t>The Burlington Capital Group</t>
  </si>
  <si>
    <t>Burlington Capital - Centerville Pointe</t>
  </si>
  <si>
    <t>Centerville Pointe Apartments LLC</t>
  </si>
  <si>
    <t>75043-6998</t>
  </si>
  <si>
    <t>03/01/2033</t>
  </si>
  <si>
    <t>6202 Duck Creek Dr</t>
  </si>
  <si>
    <t>Belmont at Duck Creek Apartments</t>
  </si>
  <si>
    <t>Bridge - Belmont at Duck Creek Apartments</t>
  </si>
  <si>
    <t>Bridge WF TX Belmont LLC</t>
  </si>
  <si>
    <t>2740 Duncanville Rd</t>
  </si>
  <si>
    <t>Residence at the Oaks</t>
  </si>
  <si>
    <t>Comunidad Corporation</t>
  </si>
  <si>
    <t>RPM - Residence at the Oaks</t>
  </si>
  <si>
    <t>Residencial Los Robles</t>
  </si>
  <si>
    <t>75211</t>
  </si>
  <si>
    <t>4811 Duncanville Rd</t>
  </si>
  <si>
    <t>Meadow Parc</t>
  </si>
  <si>
    <t>Carleton - Meadow Parc</t>
  </si>
  <si>
    <t>Meadow Parc Development Inc</t>
  </si>
  <si>
    <t>75236-1871</t>
  </si>
  <si>
    <t>1335 Dynamic Dr</t>
  </si>
  <si>
    <t>Dynamic</t>
  </si>
  <si>
    <t>YES! - Dynamic</t>
  </si>
  <si>
    <t>Yes Dynamic Llc</t>
  </si>
  <si>
    <t>2401 East McKinney St</t>
  </si>
  <si>
    <t>Fountains of Denton</t>
  </si>
  <si>
    <t>Anterra - Fountains of Denton</t>
  </si>
  <si>
    <t>Cornerstone Fountains</t>
  </si>
  <si>
    <t>3826 Easton Meadows Dr</t>
  </si>
  <si>
    <t>The Meadows</t>
  </si>
  <si>
    <t>Brazos - The Meadows</t>
  </si>
  <si>
    <t>Brazos Meadows, LLC</t>
  </si>
  <si>
    <t>75043-2034</t>
  </si>
  <si>
    <t>1300 Eldorado Pky</t>
  </si>
  <si>
    <t>Mason</t>
  </si>
  <si>
    <t>Corridor Ventures Inc.</t>
  </si>
  <si>
    <t>Luma Residential - Mason</t>
  </si>
  <si>
    <t>Ndp Eldorado Llc</t>
  </si>
  <si>
    <t>75069-7981</t>
  </si>
  <si>
    <t>1400 Eldorado Pky</t>
  </si>
  <si>
    <t>Lakes of Eldorado</t>
  </si>
  <si>
    <t>Norstar Development USA, L.P.</t>
  </si>
  <si>
    <t>Accolade - Lakes of Eldorado</t>
  </si>
  <si>
    <t>Norstar Lakes Of El Dorado, LLC</t>
  </si>
  <si>
    <t>75069-7972</t>
  </si>
  <si>
    <t>10/31/2031</t>
  </si>
  <si>
    <t>1900 Elm St</t>
  </si>
  <si>
    <t>1900 Elm Lofts</t>
  </si>
  <si>
    <t>University of North Texas System</t>
  </si>
  <si>
    <t>RPM - 1900 Elm Lofts</t>
  </si>
  <si>
    <t>University Of North Texas System</t>
  </si>
  <si>
    <t>3500 Fairmount St</t>
  </si>
  <si>
    <t>Rienzi Turtle Creek Apartment</t>
  </si>
  <si>
    <t>Turtle Creek</t>
  </si>
  <si>
    <t>Pegasus Real Estate</t>
  </si>
  <si>
    <t>Trinity - Rienzi Turtle Creek Apartments</t>
  </si>
  <si>
    <t>PRE RIENZI LLC</t>
  </si>
  <si>
    <t>1345 Farmers Rd</t>
  </si>
  <si>
    <t>Grand Place</t>
  </si>
  <si>
    <t>BCI</t>
  </si>
  <si>
    <t>Grand Place Holdings LLC</t>
  </si>
  <si>
    <t>75050-6752</t>
  </si>
  <si>
    <t>2323 N Field St</t>
  </si>
  <si>
    <t>Northend</t>
  </si>
  <si>
    <t>Victory Park</t>
  </si>
  <si>
    <t>Hunt Consolidated Inc</t>
  </si>
  <si>
    <t>Jefferson At The North End, L.P.</t>
  </si>
  <si>
    <t>2001 N Floyd St</t>
  </si>
  <si>
    <t>Breckenridge Village</t>
  </si>
  <si>
    <t>2100 Condominium Association</t>
  </si>
  <si>
    <t>Apartment Corp - Breckenridge Village</t>
  </si>
  <si>
    <t>Breckenridge Housing Llc</t>
  </si>
  <si>
    <t>260 FM 2578</t>
  </si>
  <si>
    <t>Terrell Senior Terraces</t>
  </si>
  <si>
    <t>Life Rebuilders Inc</t>
  </si>
  <si>
    <t>Life Rebuilders - Terrell Senior Terraces</t>
  </si>
  <si>
    <t>Windsor Senior Partners Lp</t>
  </si>
  <si>
    <t>Terrell</t>
  </si>
  <si>
    <t>75160-4808</t>
  </si>
  <si>
    <t>09/01/2055</t>
  </si>
  <si>
    <t>3362 Forest Ln</t>
  </si>
  <si>
    <t>The Bentley</t>
  </si>
  <si>
    <t>Summit - The Bentley</t>
  </si>
  <si>
    <t>Nic 13 The Bentley Owner Llc</t>
  </si>
  <si>
    <t>75234</t>
  </si>
  <si>
    <t>7927 Forest Ln</t>
  </si>
  <si>
    <t>75 West Apartments at Park Central</t>
  </si>
  <si>
    <t>PAC – 75 West Apartments at Park Central</t>
  </si>
  <si>
    <t>7927 Forest Lane (TX) Owner LP</t>
  </si>
  <si>
    <t>9637 Forest Ln</t>
  </si>
  <si>
    <t>Chimney Hill Apartments</t>
  </si>
  <si>
    <t>ZMR Capital</t>
  </si>
  <si>
    <t>RPM - Chimney Hill Apartments</t>
  </si>
  <si>
    <t>Chimney Hill Owner, LLC</t>
  </si>
  <si>
    <t>75243-8699</t>
  </si>
  <si>
    <t>165 Forestbrook Dr</t>
  </si>
  <si>
    <t>The Aidan</t>
  </si>
  <si>
    <t>American Landmark - The Aidan</t>
  </si>
  <si>
    <t>The Aidan AL LP</t>
  </si>
  <si>
    <t>75067-7872</t>
  </si>
  <si>
    <t>5333 Fossil Creek Blvd</t>
  </si>
  <si>
    <t>Hidden Lakes</t>
  </si>
  <si>
    <t>Exponential - Hidden Lakes</t>
  </si>
  <si>
    <t>Exponential Property Group X-HLA, LLC</t>
  </si>
  <si>
    <t>76137-2839</t>
  </si>
  <si>
    <t>3006 Franciscan Dr</t>
  </si>
  <si>
    <t>Franciscan of Arlington Apartments</t>
  </si>
  <si>
    <t>Blue Atlantic Partners</t>
  </si>
  <si>
    <t>Atlantic | Pacific - Franciscan of Arlington</t>
  </si>
  <si>
    <t>Blue Atlantic Franciscan</t>
  </si>
  <si>
    <t>76015-2513</t>
  </si>
  <si>
    <t>3613 Frankford Rd</t>
  </si>
  <si>
    <t>Gates de Provence</t>
  </si>
  <si>
    <t>Gaines Investment Trust</t>
  </si>
  <si>
    <t>Gaines - Gates De Provence</t>
  </si>
  <si>
    <t>Gates De Provence Trust</t>
  </si>
  <si>
    <t>3621 Frankford Rd</t>
  </si>
  <si>
    <t>Greyson's Gate Apartments</t>
  </si>
  <si>
    <t>Gaines - Greyson's Gate Apts</t>
  </si>
  <si>
    <t>Jasmine Ayodele</t>
  </si>
  <si>
    <t>12/01/2048</t>
  </si>
  <si>
    <t>3702 Frankford Rd</t>
  </si>
  <si>
    <t>Halston on Frankford</t>
  </si>
  <si>
    <t>Artemis Real Estate Partners</t>
  </si>
  <si>
    <t>Birchstone - Halston on Frankford</t>
  </si>
  <si>
    <t>3702 Frankford Road Owner Llc</t>
  </si>
  <si>
    <t>3840 Frankford Rd</t>
  </si>
  <si>
    <t>Vail Village Apartments</t>
  </si>
  <si>
    <t>Li Family Trust</t>
  </si>
  <si>
    <t>Devonshire - Vail Village Apartments</t>
  </si>
  <si>
    <t>Path Asset Investment, LLC</t>
  </si>
  <si>
    <t>75287-6300</t>
  </si>
  <si>
    <t>07/17/2030</t>
  </si>
  <si>
    <t>4050 Frankford Rd</t>
  </si>
  <si>
    <t>Quail Ridge Condominiums</t>
  </si>
  <si>
    <t>4849 Frankford Rd</t>
  </si>
  <si>
    <t>Rancho Palisades</t>
  </si>
  <si>
    <t>Management Support - Rancho Palisades</t>
  </si>
  <si>
    <t>Rancho Palisades Partners</t>
  </si>
  <si>
    <t>06/10/2008</t>
  </si>
  <si>
    <t>5859 Frankford Rd</t>
  </si>
  <si>
    <t>Cobblestone Square</t>
  </si>
  <si>
    <t>S3 Clutch City Ral Estate Usa Llc</t>
  </si>
  <si>
    <t>75252-5378</t>
  </si>
  <si>
    <t>7421 Frankford Rd</t>
  </si>
  <si>
    <t>The Pearl on Frankford</t>
  </si>
  <si>
    <t>Yamasa Group</t>
  </si>
  <si>
    <t>BH - The Pearl on Frankford</t>
  </si>
  <si>
    <t>Yamasa Co LTD</t>
  </si>
  <si>
    <t>75252-8152</t>
  </si>
  <si>
    <t>7575 Frankford Rd</t>
  </si>
  <si>
    <t>Estates On Frankford</t>
  </si>
  <si>
    <t>Management Support - Estates on Frankford</t>
  </si>
  <si>
    <t>1200 Fuller Wiser Rd</t>
  </si>
  <si>
    <t>MAA Bear Creek</t>
  </si>
  <si>
    <t>MAA - MAA Bear Creek</t>
  </si>
  <si>
    <t>2250 Fuller Wiser Rd</t>
  </si>
  <si>
    <t>Stonebridge at Bear Creek</t>
  </si>
  <si>
    <t>S &amp; H - Stonebridge at Bear Creek</t>
  </si>
  <si>
    <t>Stonebridge At Bear Creek Llp</t>
  </si>
  <si>
    <t>76039-4265</t>
  </si>
  <si>
    <t>9191 Garland Rd</t>
  </si>
  <si>
    <t>Windsor on White Rock Lake</t>
  </si>
  <si>
    <t>GID Investment Advisors LLC</t>
  </si>
  <si>
    <t>Windsor - Windsor on White Rock Lake</t>
  </si>
  <si>
    <t>Mainstay White Rock Llc</t>
  </si>
  <si>
    <t>9215 Garland Rd</t>
  </si>
  <si>
    <t>Reserve At White Rock</t>
  </si>
  <si>
    <t>SunRidge - Reserve at White Rock</t>
  </si>
  <si>
    <t>AH Reserve II Property Owner, LLC</t>
  </si>
  <si>
    <t>3150 Garrison Rd</t>
  </si>
  <si>
    <t>Kensington Park Apartments</t>
  </si>
  <si>
    <t>Unified Housing Foundation, Inc.</t>
  </si>
  <si>
    <t>SunRidge - Kensington Park</t>
  </si>
  <si>
    <t>Unified Housing Of Kensington</t>
  </si>
  <si>
    <t>Corinth</t>
  </si>
  <si>
    <t>76210-2678</t>
  </si>
  <si>
    <t>02/01/2048</t>
  </si>
  <si>
    <t>2572 Gaston Ave</t>
  </si>
  <si>
    <t>Marquis on Gaston</t>
  </si>
  <si>
    <t>CWS - Marquis on Gaston</t>
  </si>
  <si>
    <t>Deep Ellum Marquis LP</t>
  </si>
  <si>
    <t>75226-1465</t>
  </si>
  <si>
    <t>06/01/2027</t>
  </si>
  <si>
    <t>313 Gateway St</t>
  </si>
  <si>
    <t>Gateway Village</t>
  </si>
  <si>
    <t>Swan Management</t>
  </si>
  <si>
    <t>Swan - Gateway Village</t>
  </si>
  <si>
    <t>Gateway Apartments Ltd</t>
  </si>
  <si>
    <t>76020</t>
  </si>
  <si>
    <t>7904 N Glen Dr</t>
  </si>
  <si>
    <t>Cortland MacArthur</t>
  </si>
  <si>
    <t>Cortland - Cortland MacArthur</t>
  </si>
  <si>
    <t>GLEN TX PTNRS LLC</t>
  </si>
  <si>
    <t>04/01/2034</t>
  </si>
  <si>
    <t>13695 Goldmark Dr</t>
  </si>
  <si>
    <t>Waterford at Goldmark</t>
  </si>
  <si>
    <t>AOG Living - Waterford at Goldmark</t>
  </si>
  <si>
    <t>Dhfc Waterford At Goldmark Landowner Llc</t>
  </si>
  <si>
    <t>75240</t>
  </si>
  <si>
    <t>13731 Goldmark Dr</t>
  </si>
  <si>
    <t>Tuscany at Goldmark Senior Living</t>
  </si>
  <si>
    <t>AOG Living</t>
  </si>
  <si>
    <t>AOG Living - Tuscany at Goldmark</t>
  </si>
  <si>
    <t>M N Midpark Ltd</t>
  </si>
  <si>
    <t>3701 Grapevine Mills Pky</t>
  </si>
  <si>
    <t>Marquis at Silver Oaks</t>
  </si>
  <si>
    <t>CWS - Marquis at Silver Oaks</t>
  </si>
  <si>
    <t>SILVER OAKS LP</t>
  </si>
  <si>
    <t>2701 N Grapevine Mills Blvd</t>
  </si>
  <si>
    <t>Dane Park Grapevine</t>
  </si>
  <si>
    <t>Victor Bardack</t>
  </si>
  <si>
    <t>RPM - Dane Park Grapevine</t>
  </si>
  <si>
    <t>Cross Creek Owner IV, LLC</t>
  </si>
  <si>
    <t>76051-2057</t>
  </si>
  <si>
    <t>2050 Grayson Dr</t>
  </si>
  <si>
    <t>The Royal St. Moritz</t>
  </si>
  <si>
    <t>FSC Realty LLC</t>
  </si>
  <si>
    <t>Westwood Residential - The Royal St. Mortiz</t>
  </si>
  <si>
    <t>Royal St Moritz Ltd</t>
  </si>
  <si>
    <t>1901 N Green Oaks Blvd</t>
  </si>
  <si>
    <t>The Heights</t>
  </si>
  <si>
    <t>TruAmerica Multifamily</t>
  </si>
  <si>
    <t>RPM - The Heights</t>
  </si>
  <si>
    <t>Red Fox Fee Owner LLC</t>
  </si>
  <si>
    <t>3120 Guadalupe Ave</t>
  </si>
  <si>
    <t>Luxar Garden Estates</t>
  </si>
  <si>
    <t>Crossroads Housing Dev Corp</t>
  </si>
  <si>
    <t>Peak Living - Luxar Garden Estates</t>
  </si>
  <si>
    <t>PC Luxar, LLC</t>
  </si>
  <si>
    <t>75233</t>
  </si>
  <si>
    <t>3096 N Hall St</t>
  </si>
  <si>
    <t>MAA North Hall</t>
  </si>
  <si>
    <t>MAA - MAA North Hall</t>
  </si>
  <si>
    <t>Post Apt Homes Lp</t>
  </si>
  <si>
    <t>2551 Hall Johnson Rd</t>
  </si>
  <si>
    <t>The Vine South</t>
  </si>
  <si>
    <t>Clarion Partners</t>
  </si>
  <si>
    <t>Willow Bridge - VineSouth</t>
  </si>
  <si>
    <t>Lincoln Vineyards Associates</t>
  </si>
  <si>
    <t>76051-7183</t>
  </si>
  <si>
    <t>05/05/2029</t>
  </si>
  <si>
    <t>8359 Harwood Rd</t>
  </si>
  <si>
    <t>The Skylark on Harwood</t>
  </si>
  <si>
    <t>RPM - The Skylark on Harwood</t>
  </si>
  <si>
    <t>SILVER CREEK LL LLC</t>
  </si>
  <si>
    <t>07/01/2028</t>
  </si>
  <si>
    <t>2101 N Haskell Ave</t>
  </si>
  <si>
    <t>The Treymore at Cityplace</t>
  </si>
  <si>
    <t>Cityplace</t>
  </si>
  <si>
    <t>Carleton Companies</t>
  </si>
  <si>
    <t>Carleton - Treymore Cityplace Apartments</t>
  </si>
  <si>
    <t>Carleton Cityplace Ii Ltd</t>
  </si>
  <si>
    <t>06/01/2056</t>
  </si>
  <si>
    <t>4750 Haverwood Ln</t>
  </si>
  <si>
    <t>Stone Ridge</t>
  </si>
  <si>
    <t>The Tipton Group - Stone Ridge</t>
  </si>
  <si>
    <t>Stone Ridge Residences, LP</t>
  </si>
  <si>
    <t>100 Heather Lane Cir</t>
  </si>
  <si>
    <t>Heather Lane</t>
  </si>
  <si>
    <t>AOG Living - Heather Lane</t>
  </si>
  <si>
    <t>Heather Lane Ltd</t>
  </si>
  <si>
    <t>75160</t>
  </si>
  <si>
    <t>801 Hebron Pky</t>
  </si>
  <si>
    <t>Crescent Cove At Lakepointe</t>
  </si>
  <si>
    <t>Management Support - Crescent Cove At Lakepointe</t>
  </si>
  <si>
    <t>1109 E Hebron Pky</t>
  </si>
  <si>
    <t>Hebron Trails Apartments</t>
  </si>
  <si>
    <t>St. Catherine of Siena, Inc.</t>
  </si>
  <si>
    <t>RPM - Hebron Trails Apartments</t>
  </si>
  <si>
    <t>75010-1335</t>
  </si>
  <si>
    <t>2057 W Hebron Pkwy</t>
  </si>
  <si>
    <t>The Springs Of Indian Creek</t>
  </si>
  <si>
    <t>Management Support - The Springs of Indian Creek</t>
  </si>
  <si>
    <t>4640 Hedgcoxe Rd</t>
  </si>
  <si>
    <t>The Point at Deerfield</t>
  </si>
  <si>
    <t>Paskin - The Point At Deerfield</t>
  </si>
  <si>
    <t>Paskin Properties-4640 Hedgecoxe LLC</t>
  </si>
  <si>
    <t>75024-3885</t>
  </si>
  <si>
    <t>1000 Henderson St</t>
  </si>
  <si>
    <t>The Henderson</t>
  </si>
  <si>
    <t>ResProp - The Henderson</t>
  </si>
  <si>
    <t>Ironwood Crossing Public Facil</t>
  </si>
  <si>
    <t>1200 Hidden Rdg</t>
  </si>
  <si>
    <t>Rancho Mirage Apartments</t>
  </si>
  <si>
    <t>Greystar - Rancho Mirage</t>
  </si>
  <si>
    <t>Fh Rancho Mirage I LLC</t>
  </si>
  <si>
    <t>75038-3715</t>
  </si>
  <si>
    <t>745 W Hidden Creek Pky</t>
  </si>
  <si>
    <t>Fountains of Burleson</t>
  </si>
  <si>
    <t>SunRidge - Fountains of Burleson</t>
  </si>
  <si>
    <t>Unified Housing Of Burleson Ll</t>
  </si>
  <si>
    <t>11/01/2056</t>
  </si>
  <si>
    <t>1100 Hidden Ridge Dr</t>
  </si>
  <si>
    <t>The Station at MacArthur</t>
  </si>
  <si>
    <t>Harbor Group - Station at McArthur</t>
  </si>
  <si>
    <t>Dallas Area Rapid Transit</t>
  </si>
  <si>
    <t>6889 Hightower Dr</t>
  </si>
  <si>
    <t>The Abbey at Hightower</t>
  </si>
  <si>
    <t>Abbey Residential, LLC</t>
  </si>
  <si>
    <t>Abbey - The Abbey at Hightower</t>
  </si>
  <si>
    <t>AR-Hightower, LP</t>
  </si>
  <si>
    <t>76182-3324</t>
  </si>
  <si>
    <t>2402 Highway 175 N</t>
  </si>
  <si>
    <t>Kimberly at Creekside</t>
  </si>
  <si>
    <t>Yes Kimberly Llc</t>
  </si>
  <si>
    <t>YES! Communities - Kimberly at Creekside</t>
  </si>
  <si>
    <t>2001 Highway 360</t>
  </si>
  <si>
    <t>Reagan at Bear Creek</t>
  </si>
  <si>
    <t>Richmark - Reagan At Bear Creek</t>
  </si>
  <si>
    <t>TS Asset Reagan LLC</t>
  </si>
  <si>
    <t>76039-5311</t>
  </si>
  <si>
    <t>09/01/2033</t>
  </si>
  <si>
    <t>2625 N Highway 360</t>
  </si>
  <si>
    <t>Red River Ranch</t>
  </si>
  <si>
    <t>Zavala Management, Inc.</t>
  </si>
  <si>
    <t>Zavala - Red River Ranch Apartments</t>
  </si>
  <si>
    <t>Zavala Properties Inc</t>
  </si>
  <si>
    <t>07/01/2026</t>
  </si>
  <si>
    <t>2825 N Highway 360</t>
  </si>
  <si>
    <t>Vue 360</t>
  </si>
  <si>
    <t>Hilltop Residential</t>
  </si>
  <si>
    <t>Hilltop Residential - Vue 360</t>
  </si>
  <si>
    <t>Vue 360 Apartments Owner, LLC</t>
  </si>
  <si>
    <t>75050-7842</t>
  </si>
  <si>
    <t>2101 Highway 80 E</t>
  </si>
  <si>
    <t>Anthem Mesquite</t>
  </si>
  <si>
    <t>Birchstone - Anthem Mesquite</t>
  </si>
  <si>
    <t>75150-5508</t>
  </si>
  <si>
    <t>2828 Hood St</t>
  </si>
  <si>
    <t>Plaza II at Turtle Creek</t>
  </si>
  <si>
    <t>75219-4817</t>
  </si>
  <si>
    <t>11/01/2053</t>
  </si>
  <si>
    <t>4141 Horizon North Pky</t>
  </si>
  <si>
    <t>Eaves North Dallas</t>
  </si>
  <si>
    <t>AvalonBay Communities, Inc.</t>
  </si>
  <si>
    <t>AvalonBay - Eaves North Dallas</t>
  </si>
  <si>
    <t>Wimberly Blue Lp</t>
  </si>
  <si>
    <t>4200 Horizon North Pky</t>
  </si>
  <si>
    <t>Essence North Dallas</t>
  </si>
  <si>
    <t>Bridge - Essence North Dallas</t>
  </si>
  <si>
    <t>BMF V TX Essence LLC</t>
  </si>
  <si>
    <t>4300 Horizon North Pky</t>
  </si>
  <si>
    <t>Allure North Dallas</t>
  </si>
  <si>
    <t>Bridge - Allure North Dallas</t>
  </si>
  <si>
    <t>Bmf V Tx Allure Llc</t>
  </si>
  <si>
    <t>4341 Horizon North Pky</t>
  </si>
  <si>
    <t>The Brazos Apartments</t>
  </si>
  <si>
    <t>Luma Residential - The Brazos Apartments</t>
  </si>
  <si>
    <t>BRZ Associates, LLC</t>
  </si>
  <si>
    <t>75287-2880</t>
  </si>
  <si>
    <t>3620 Huffines Blvd</t>
  </si>
  <si>
    <t>Creekside 121</t>
  </si>
  <si>
    <t>Valiant - Creekside 121</t>
  </si>
  <si>
    <t>Meridian Apartments Owners Llc</t>
  </si>
  <si>
    <t>09/13/2032</t>
  </si>
  <si>
    <t>4101 S Hulen St</t>
  </si>
  <si>
    <t>The Reserve on Willow Lake</t>
  </si>
  <si>
    <t>Paskin - Reserve At Willow Lake</t>
  </si>
  <si>
    <t>TPG-SB Killeen, LLC</t>
  </si>
  <si>
    <t>76109-4906</t>
  </si>
  <si>
    <t>1000 Hummingbird Dr</t>
  </si>
  <si>
    <t>Dynamic II</t>
  </si>
  <si>
    <t>YES! Communities - Dynamic II</t>
  </si>
  <si>
    <t>Dear Derrick Shoes Llc</t>
  </si>
  <si>
    <t>75115-6543</t>
  </si>
  <si>
    <t>4253 Hunt Dr</t>
  </si>
  <si>
    <t>Townhomes of Coyote Ridge</t>
  </si>
  <si>
    <t>Valiant - Townhomes of Coyote Ridge</t>
  </si>
  <si>
    <t>4253 Hunt Drive LLC</t>
  </si>
  <si>
    <t>6501 Independence Pky</t>
  </si>
  <si>
    <t>Langdon at Spring Creek</t>
  </si>
  <si>
    <t>Langdon Street Capital</t>
  </si>
  <si>
    <t>RPM - Langdon at Spring Creek</t>
  </si>
  <si>
    <t>Nevada VI GD, LLC</t>
  </si>
  <si>
    <t>75023-3470</t>
  </si>
  <si>
    <t>07/01/2064</t>
  </si>
  <si>
    <t>8900 Independence Pky</t>
  </si>
  <si>
    <t>McDermott Place</t>
  </si>
  <si>
    <t>Heitman</t>
  </si>
  <si>
    <t>Willow Bridge - McDermott Place</t>
  </si>
  <si>
    <t>Heitman Credit Acquisition Xl Lp</t>
  </si>
  <si>
    <t>510 Indian Dr</t>
  </si>
  <si>
    <t>Indian Creek Apartments</t>
  </si>
  <si>
    <t>Amalgamated Management - Indian Creek</t>
  </si>
  <si>
    <t>Rose Indian Creek I</t>
  </si>
  <si>
    <t>75165-1887</t>
  </si>
  <si>
    <t>04/01/2049</t>
  </si>
  <si>
    <t>1214 Interstate Highway 30</t>
  </si>
  <si>
    <t>Watergate Apartments</t>
  </si>
  <si>
    <t>AMBO - Watergate Apartments</t>
  </si>
  <si>
    <t>Watergate Apartments Llc</t>
  </si>
  <si>
    <t>75402-4350</t>
  </si>
  <si>
    <t>03/01/2041</t>
  </si>
  <si>
    <t>801 Interstate Hwy 30</t>
  </si>
  <si>
    <t>Mission Fairways</t>
  </si>
  <si>
    <t>Greystar - Mission Fairways</t>
  </si>
  <si>
    <t>801 Interstate Mesquite Llc</t>
  </si>
  <si>
    <t>2217 Ivan St</t>
  </si>
  <si>
    <t>Remi</t>
  </si>
  <si>
    <t>Knightvest - Remi</t>
  </si>
  <si>
    <t>Ag-kvc Tc Property Owner Lp</t>
  </si>
  <si>
    <t>1635 Jefferson Cliffs Way</t>
  </si>
  <si>
    <t>Vail Cliffside</t>
  </si>
  <si>
    <t>Knightvest - Vail Cliffside</t>
  </si>
  <si>
    <t>Kv Elmsgate Apartments Llc</t>
  </si>
  <si>
    <t>1015 S Jennings Ave</t>
  </si>
  <si>
    <t>Homes of Parker Commons</t>
  </si>
  <si>
    <t>Southside Medical District</t>
  </si>
  <si>
    <t>American International Group, Inc.</t>
  </si>
  <si>
    <t>AOG Living - Homes of Parker Commons</t>
  </si>
  <si>
    <t>Parker Commons Ltd</t>
  </si>
  <si>
    <t>76104-3262</t>
  </si>
  <si>
    <t>08/01/2020</t>
  </si>
  <si>
    <t>5000 Joe Ramsey Blvd</t>
  </si>
  <si>
    <t>Villas of Greenville</t>
  </si>
  <si>
    <t>The Michaels Organization</t>
  </si>
  <si>
    <t>TMO - Villas Of Greenville</t>
  </si>
  <si>
    <t>201 S Joe Wilson Rd</t>
  </si>
  <si>
    <t>The Gates of Cedar Hill Apartments</t>
  </si>
  <si>
    <t>John Peck</t>
  </si>
  <si>
    <t>Asset Living - The Gates of Cedar Hill Apartments</t>
  </si>
  <si>
    <t>Gates Cedar Hill Ltd</t>
  </si>
  <si>
    <t>75104-2992</t>
  </si>
  <si>
    <t>8515 John T White Rd</t>
  </si>
  <si>
    <t>Silver Leaf Villas</t>
  </si>
  <si>
    <t>Atlantic Housing Foundation</t>
  </si>
  <si>
    <t>Atlantic Housing - Silver Leaf Villas</t>
  </si>
  <si>
    <t>Ahf-Silverleaf Llc</t>
  </si>
  <si>
    <t>03/01/2060</t>
  </si>
  <si>
    <t>2631 John West Rd</t>
  </si>
  <si>
    <t>Treymore Eastfield Apartments</t>
  </si>
  <si>
    <t>MLK Real Estate Capital</t>
  </si>
  <si>
    <t>AOG - Treymore Eastfield</t>
  </si>
  <si>
    <t>Carleton La Prada Ltd</t>
  </si>
  <si>
    <t>301 S Jupiter Rd</t>
  </si>
  <si>
    <t>Emerson at Ford Park</t>
  </si>
  <si>
    <t>American Landmark - Emerson at Ford Park</t>
  </si>
  <si>
    <t>Emerson At Ford Park LP</t>
  </si>
  <si>
    <t>2300 Kathryn Ln</t>
  </si>
  <si>
    <t>23Hundred at Ridgeview</t>
  </si>
  <si>
    <t>Crow Holdings</t>
  </si>
  <si>
    <t>ZRS - 23Hundred at Ridgeview</t>
  </si>
  <si>
    <t>CH REALTY X/MF PLANO 23 HUNDRED, L.P.</t>
  </si>
  <si>
    <t>5353 Keller Springs Rd</t>
  </si>
  <si>
    <t>Saddle Brook Apartments</t>
  </si>
  <si>
    <t>Gaines - Saddlebrook Apartments</t>
  </si>
  <si>
    <t>Saddle Brook Partnership</t>
  </si>
  <si>
    <t>75248-2778</t>
  </si>
  <si>
    <t>3130-3131 Kingbridge St</t>
  </si>
  <si>
    <t>Kingbridge Crossing</t>
  </si>
  <si>
    <t>DHA - Kingbridge Crossing</t>
  </si>
  <si>
    <t>2929 Kings Rd</t>
  </si>
  <si>
    <t>Rise Highland Park</t>
  </si>
  <si>
    <t>Rise48 - Rise Highland Park</t>
  </si>
  <si>
    <t>Matt77 Ventures, LLC</t>
  </si>
  <si>
    <t>75219-1254</t>
  </si>
  <si>
    <t>09/07/2024</t>
  </si>
  <si>
    <t>2202 Kirby St</t>
  </si>
  <si>
    <t>Monarch &amp; Carroll Townhomes</t>
  </si>
  <si>
    <t>DHA - Carroll Townhomes</t>
  </si>
  <si>
    <t>Housing Authority Of The</t>
  </si>
  <si>
    <t>75204-4627</t>
  </si>
  <si>
    <t>15550 Knoll Trail Dr</t>
  </si>
  <si>
    <t>Villas of Bent Trails</t>
  </si>
  <si>
    <t>Glorious Sun - The Villas of Bent Trails</t>
  </si>
  <si>
    <t>Howsea Usa Inc</t>
  </si>
  <si>
    <t>15678 Knoll Trail Dr</t>
  </si>
  <si>
    <t>Vue at Knoll Trail Apartments</t>
  </si>
  <si>
    <t>IRT - Vue at Knoll Trail Apartments</t>
  </si>
  <si>
    <t>Vue At Knoll Trail Apartments</t>
  </si>
  <si>
    <t>15935 Knoll Trail Dr</t>
  </si>
  <si>
    <t>Kensington Apartments</t>
  </si>
  <si>
    <t>The Richdale Group</t>
  </si>
  <si>
    <t>Richdale - Kensington Apartments</t>
  </si>
  <si>
    <t>75248-2779</t>
  </si>
  <si>
    <t>2025 Lakepointe Dr</t>
  </si>
  <si>
    <t>Lakepointe Residences</t>
  </si>
  <si>
    <t>MO Properties Corp</t>
  </si>
  <si>
    <t>The Tipton Group - Lakepointe Residences</t>
  </si>
  <si>
    <t>Lakepointe Residences LP</t>
  </si>
  <si>
    <t>800 Lakeside Cir</t>
  </si>
  <si>
    <t>The Edgewater</t>
  </si>
  <si>
    <t>UNIVESCO - The Edgewater</t>
  </si>
  <si>
    <t>Rjw Interests Ii</t>
  </si>
  <si>
    <t>805 Lakeside Cir</t>
  </si>
  <si>
    <t>The Tuscany at Lakepointe</t>
  </si>
  <si>
    <t>Palatine Capital Partners</t>
  </si>
  <si>
    <t>Horizon - The Tuscany at Lakepointe</t>
  </si>
  <si>
    <t>PAL Tuscany Apartments LLC</t>
  </si>
  <si>
    <t>901 Lakeside Cir</t>
  </si>
  <si>
    <t>The View at Lakeside</t>
  </si>
  <si>
    <t>American Landmark - The View at Lakeside</t>
  </si>
  <si>
    <t>The View At Lakeside LP</t>
  </si>
  <si>
    <t>75057-5052</t>
  </si>
  <si>
    <t>5501 Lakeview Pky</t>
  </si>
  <si>
    <t>Waters Edge Villas</t>
  </si>
  <si>
    <t>Stonemark - Waters Edge Villas</t>
  </si>
  <si>
    <t>2016 Dfw Investment 6 Llc</t>
  </si>
  <si>
    <t>Rowlett</t>
  </si>
  <si>
    <t>75088</t>
  </si>
  <si>
    <t>6595 Lebanon Rd</t>
  </si>
  <si>
    <t>Bell Starwood</t>
  </si>
  <si>
    <t>Bell Partners, Inc.</t>
  </si>
  <si>
    <t>Bell - Bell Starwood</t>
  </si>
  <si>
    <t>Bell Fund Vii Starwood Lp</t>
  </si>
  <si>
    <t>11700 Lebanon Rd</t>
  </si>
  <si>
    <t>Marquis at Stonebriar</t>
  </si>
  <si>
    <t>CWS - Marquis At Stonebriar</t>
  </si>
  <si>
    <t>Stonebriar Spe Llc</t>
  </si>
  <si>
    <t>75035</t>
  </si>
  <si>
    <t>3401 Lee Pky</t>
  </si>
  <si>
    <t>The Mayfair at Turtlecreek</t>
  </si>
  <si>
    <t>Wael Mohamed</t>
  </si>
  <si>
    <t>300 Legacy Dr</t>
  </si>
  <si>
    <t>Saxony at Chase Oaks</t>
  </si>
  <si>
    <t>Gaines - Saxony at Chase Oaks</t>
  </si>
  <si>
    <t>701 Legacy Dr</t>
  </si>
  <si>
    <t>Legends At Chase Oaks</t>
  </si>
  <si>
    <t>The Praedium Group</t>
  </si>
  <si>
    <t>Willow Bridge - Legends at Chase Oaks</t>
  </si>
  <si>
    <t>701 Legacy Drive IV SPE LLC</t>
  </si>
  <si>
    <t>801 Legacy Dr</t>
  </si>
  <si>
    <t>Avalon at Chase Oaks</t>
  </si>
  <si>
    <t>CAF - Avalon at Chase Oaks</t>
  </si>
  <si>
    <t>Avalon Property Owner LLC</t>
  </si>
  <si>
    <t>1201 Legacy Dr</t>
  </si>
  <si>
    <t>Related Management - Garden Gate</t>
  </si>
  <si>
    <t>Garden Gate Pl Acquisition Lp</t>
  </si>
  <si>
    <t>3700 Legacy Dr</t>
  </si>
  <si>
    <t>Legacy Estates at Frisco</t>
  </si>
  <si>
    <t>The Connor Group</t>
  </si>
  <si>
    <t>The Connor Group - Legacy Estates at Frisco</t>
  </si>
  <si>
    <t>Legacy Tic 2 Llc</t>
  </si>
  <si>
    <t>08/28/2030</t>
  </si>
  <si>
    <t>1111 Lexington Ave</t>
  </si>
  <si>
    <t>Eleven11 Lexington at Flower Mound</t>
  </si>
  <si>
    <t>Mesirow Financial</t>
  </si>
  <si>
    <t>Greystar - Eleven11 Lexington at Flower Mound</t>
  </si>
  <si>
    <t>MFREVF III - Lexington, L.P.</t>
  </si>
  <si>
    <t>75028</t>
  </si>
  <si>
    <t>418 Lexington Dr</t>
  </si>
  <si>
    <t>Lexington Arms</t>
  </si>
  <si>
    <t>Marc Menowitz Properties</t>
  </si>
  <si>
    <t>Apartment Corp - Lexington Arms</t>
  </si>
  <si>
    <t>Lexington Housing Llc</t>
  </si>
  <si>
    <t>2315 Little Rd</t>
  </si>
  <si>
    <t>Asher Point Arlington</t>
  </si>
  <si>
    <t>Welltower Inc.</t>
  </si>
  <si>
    <t>Sagora Senior Living - Asher Point Arlington</t>
  </si>
  <si>
    <t>2315 Little Road Owner LLC</t>
  </si>
  <si>
    <t>76016-6328</t>
  </si>
  <si>
    <t>2502 Live Oak St</t>
  </si>
  <si>
    <t>Live Oaks Loft</t>
  </si>
  <si>
    <t>Lloyd Geoffrey D</t>
  </si>
  <si>
    <t>3232 N Locust St</t>
  </si>
  <si>
    <t>Cooper Denton</t>
  </si>
  <si>
    <t>Ansonia Properties, LLC</t>
  </si>
  <si>
    <t>The Tipton Group - Cooper Glen</t>
  </si>
  <si>
    <t>Cooper Glen LS SPE, LLC</t>
  </si>
  <si>
    <t>76207-7484</t>
  </si>
  <si>
    <t>4201 Lomo Alto Dr</t>
  </si>
  <si>
    <t>Alto Highland Park Residences &amp; Brownstones</t>
  </si>
  <si>
    <t>Highland Park</t>
  </si>
  <si>
    <t>Silverado Interests</t>
  </si>
  <si>
    <t>Portico - Alto Highland Park</t>
  </si>
  <si>
    <t>Si Alto HP LLC</t>
  </si>
  <si>
    <t>11/06/2028</t>
  </si>
  <si>
    <t>5210 Long Prairie Rd</t>
  </si>
  <si>
    <t>Marquis at Lantana</t>
  </si>
  <si>
    <t>CWS - Marquis at Lantana</t>
  </si>
  <si>
    <t>FV C Lantana</t>
  </si>
  <si>
    <t>2701 Lookout Dr</t>
  </si>
  <si>
    <t>The Retreat at Spring Park</t>
  </si>
  <si>
    <t>Morguard North American Residential REIT</t>
  </si>
  <si>
    <t>Morguard - The Retreat at Spring Park</t>
  </si>
  <si>
    <t>Morguard Perry Point Apartments, LLC</t>
  </si>
  <si>
    <t>75044</t>
  </si>
  <si>
    <t>505 W Lookout Dr</t>
  </si>
  <si>
    <t>The Knoll on Canyon Creek</t>
  </si>
  <si>
    <t>75080-2124</t>
  </si>
  <si>
    <t>4793 E Loop 820 S</t>
  </si>
  <si>
    <t>Lakeview RV Park Moble Home Park</t>
  </si>
  <si>
    <t>Apollo Global Management</t>
  </si>
  <si>
    <t>Inspire Communities</t>
  </si>
  <si>
    <t>Royce Lakeview LLC</t>
  </si>
  <si>
    <t>76119-5410</t>
  </si>
  <si>
    <t>6100 E Loop 820 S</t>
  </si>
  <si>
    <t>Amelia Parc</t>
  </si>
  <si>
    <t>Centurion American Development</t>
  </si>
  <si>
    <t>UAG - Amelia Parc</t>
  </si>
  <si>
    <t>One Amelia Parc</t>
  </si>
  <si>
    <t>76119-7061</t>
  </si>
  <si>
    <t>09/01/2060</t>
  </si>
  <si>
    <t>6225 Love Dr</t>
  </si>
  <si>
    <t>Grand Venetian at Las Colinas</t>
  </si>
  <si>
    <t>Morguard - Grand Venetian at Las Colinas</t>
  </si>
  <si>
    <t>1201 Luella St</t>
  </si>
  <si>
    <t>Butler Place Apartments</t>
  </si>
  <si>
    <t>Butler</t>
  </si>
  <si>
    <t>Quadco - Butler Place Apartments</t>
  </si>
  <si>
    <t>Abandoned</t>
  </si>
  <si>
    <t>76102-5735</t>
  </si>
  <si>
    <t>7902 N MacArthur Blvd</t>
  </si>
  <si>
    <t>The Lyndon</t>
  </si>
  <si>
    <t>Citymark Capital</t>
  </si>
  <si>
    <t>Greystar - The Lyndon</t>
  </si>
  <si>
    <t>CAF-Citymark Lyndon Owner, LLC</t>
  </si>
  <si>
    <t>8001 N MacArthur Blvd</t>
  </si>
  <si>
    <t>MAA Valley Ranch</t>
  </si>
  <si>
    <t>MAA - MAA Valley Ranch</t>
  </si>
  <si>
    <t>CRLP Valley Ranch LLC</t>
  </si>
  <si>
    <t>8605 N MacArthur Blvd</t>
  </si>
  <si>
    <t>Cortland at Valley Ranch</t>
  </si>
  <si>
    <t>Cortland - Cortland at Valley Ranch</t>
  </si>
  <si>
    <t>Stoneleigh Apts Gp Llc</t>
  </si>
  <si>
    <t>75063-4114</t>
  </si>
  <si>
    <t>10501 N MacArthur Blvd</t>
  </si>
  <si>
    <t>The Winsted at Valley Ranch</t>
  </si>
  <si>
    <t>Gaines - The Winsted</t>
  </si>
  <si>
    <t>Winsted Grantor Trust</t>
  </si>
  <si>
    <t>10701 N MacArthur Blvd</t>
  </si>
  <si>
    <t>MacArthur Ridge Apartments</t>
  </si>
  <si>
    <t>NALS - MacArthur Ridge</t>
  </si>
  <si>
    <t>Na Macarthur Ridge 62</t>
  </si>
  <si>
    <t>600 S MacArthur Blvd</t>
  </si>
  <si>
    <t>Riverchase</t>
  </si>
  <si>
    <t>Glorious Sun - Riverchase Apartments</t>
  </si>
  <si>
    <t>Houtex (U.S.A.),  Inc.</t>
  </si>
  <si>
    <t>12/23/2007</t>
  </si>
  <si>
    <t>2209 N Main</t>
  </si>
  <si>
    <t>Cobblestone Village Apartments</t>
  </si>
  <si>
    <t>Kent Hance</t>
  </si>
  <si>
    <t>Asset Living - Cobblestone Village Apartments</t>
  </si>
  <si>
    <t>One Cobblestone Village Ltd</t>
  </si>
  <si>
    <t>76033-5023</t>
  </si>
  <si>
    <t>511 S Main St</t>
  </si>
  <si>
    <t>Mansfield Manor Apartments</t>
  </si>
  <si>
    <t>Mansfield Retirement Ltd</t>
  </si>
  <si>
    <t>Endee Management - 511 S Main St.</t>
  </si>
  <si>
    <t>76063-3169</t>
  </si>
  <si>
    <t>3200 Maple Ave</t>
  </si>
  <si>
    <t>Villas at Katy Trail</t>
  </si>
  <si>
    <t>Gaines - The Villas at Katy Trail</t>
  </si>
  <si>
    <t>Villas at Katy Trail Partnership</t>
  </si>
  <si>
    <t>150 Maple St</t>
  </si>
  <si>
    <t>Oak Meadow Townhomes</t>
  </si>
  <si>
    <t>Operation Relief Center Inc</t>
  </si>
  <si>
    <t>Mayfair - Oak Meadow Townhomes</t>
  </si>
  <si>
    <t>Hdc Oak Meadows Partners Ltd</t>
  </si>
  <si>
    <t>Commerce</t>
  </si>
  <si>
    <t>75428-3657</t>
  </si>
  <si>
    <t>6606 Mapleshade Ln</t>
  </si>
  <si>
    <t>Preston Heights</t>
  </si>
  <si>
    <t>The Medve Group, Inc.</t>
  </si>
  <si>
    <t>Medve - Preston Heights</t>
  </si>
  <si>
    <t>Preston Heights Apartments, LLC</t>
  </si>
  <si>
    <t>75252-2498</t>
  </si>
  <si>
    <t>2116 Marsh Ln</t>
  </si>
  <si>
    <t>Ashford</t>
  </si>
  <si>
    <t>Yamasa Corp USA</t>
  </si>
  <si>
    <t>BH - Ashford</t>
  </si>
  <si>
    <t>Yamasa Co. Ltd.</t>
  </si>
  <si>
    <t>14700 Marsh Ln</t>
  </si>
  <si>
    <t>Avalon Addison</t>
  </si>
  <si>
    <t>AvalonBay - Avalon Addison</t>
  </si>
  <si>
    <t>Avalon Addison Lp</t>
  </si>
  <si>
    <t>11/20/2026</t>
  </si>
  <si>
    <t>1712 Martin Dr</t>
  </si>
  <si>
    <t>Southgate Glen</t>
  </si>
  <si>
    <t>Anterra - Southgate Glen</t>
  </si>
  <si>
    <t>BROWN SOUTHGATE GLEN TEXAS LLC</t>
  </si>
  <si>
    <t>Weatherford</t>
  </si>
  <si>
    <t>76086</t>
  </si>
  <si>
    <t>03/22/2027</t>
  </si>
  <si>
    <t>5741 Martin Rd</t>
  </si>
  <si>
    <t>MAA Legacy</t>
  </si>
  <si>
    <t>MAA - MAA Legacy</t>
  </si>
  <si>
    <t>5712 Martin St</t>
  </si>
  <si>
    <t>El Lago II Mobile Home Park</t>
  </si>
  <si>
    <t>Yes El Lago Ii Llc</t>
  </si>
  <si>
    <t>7310 Marvin D Love Fwy</t>
  </si>
  <si>
    <t>Park at Cliff Creek</t>
  </si>
  <si>
    <t>City of Dallas</t>
  </si>
  <si>
    <t>Cesar Chavez - Park at Cliff Creek</t>
  </si>
  <si>
    <t>RP City Of Dallas Housing Finance Company</t>
  </si>
  <si>
    <t>75237-3185</t>
  </si>
  <si>
    <t>711 Matador Ln</t>
  </si>
  <si>
    <t>Cambridge Court Senior Living</t>
  </si>
  <si>
    <t>Civitas Senior Living</t>
  </si>
  <si>
    <t>Civitas - Cambridge Court Senior Living</t>
  </si>
  <si>
    <t>Vtr Cambridge LLC</t>
  </si>
  <si>
    <t>75149-8830</t>
  </si>
  <si>
    <t>1420 W McDermott Dr</t>
  </si>
  <si>
    <t>Settler's Gate Apartments</t>
  </si>
  <si>
    <t>Greystar - Settler's Gate Apartments</t>
  </si>
  <si>
    <t>Settlers Gate Apartments LP</t>
  </si>
  <si>
    <t>05/01/2052</t>
  </si>
  <si>
    <t>1999 McKinney Ave</t>
  </si>
  <si>
    <t>Brenda L Strong</t>
  </si>
  <si>
    <t>2808 McKinney Ave</t>
  </si>
  <si>
    <t>MAA Worthington</t>
  </si>
  <si>
    <t>MAA - MAA Worthington</t>
  </si>
  <si>
    <t>Post Worthington</t>
  </si>
  <si>
    <t>1606 E McKinney St</t>
  </si>
  <si>
    <t>Country Park Apartments</t>
  </si>
  <si>
    <t>Sandalwood - Country Park</t>
  </si>
  <si>
    <t>Country Park Apts</t>
  </si>
  <si>
    <t>1000 Meadow Creek Dr</t>
  </si>
  <si>
    <t>The Villas at Beaver Creek</t>
  </si>
  <si>
    <t>The Intergroup Corporation</t>
  </si>
  <si>
    <t>InterGroup -  The Villas at Beaver Creek</t>
  </si>
  <si>
    <t>Intergroup Bridgeton Inc</t>
  </si>
  <si>
    <t>75038-3122</t>
  </si>
  <si>
    <t>5000 Meadow Lakes Dr</t>
  </si>
  <si>
    <t>Morada Meadow Lakes</t>
  </si>
  <si>
    <t>Iron Horse</t>
  </si>
  <si>
    <t>White Oak Healthcare REIT I, LLC</t>
  </si>
  <si>
    <t>WOJV N Richland Hills I LLC</t>
  </si>
  <si>
    <t>76180-7870</t>
  </si>
  <si>
    <t>151 Meadowview Ct</t>
  </si>
  <si>
    <t>Meadowview Townhomes</t>
  </si>
  <si>
    <t>Quest - Meadowview Townhomes</t>
  </si>
  <si>
    <t>Aslan Housing Ptnr Iv Ltd</t>
  </si>
  <si>
    <t>75160-4851</t>
  </si>
  <si>
    <t>17490 Meandering Way</t>
  </si>
  <si>
    <t>Willow Greene Village</t>
  </si>
  <si>
    <t>75252-6124</t>
  </si>
  <si>
    <t>5700 Median Way</t>
  </si>
  <si>
    <t>Southpoint Villas</t>
  </si>
  <si>
    <t>Equity Street Capital</t>
  </si>
  <si>
    <t>Valiant - Southpoint Villas</t>
  </si>
  <si>
    <t>SPI Chesterfield 228 LLC</t>
  </si>
  <si>
    <t>76017-0533</t>
  </si>
  <si>
    <t>1201 Medical Ave</t>
  </si>
  <si>
    <t>Villas of Mission Bend</t>
  </si>
  <si>
    <t>AOG Living - Villas of Mission Bend - Seniors</t>
  </si>
  <si>
    <t>M N Plano Ltd</t>
  </si>
  <si>
    <t>4777 Memorial Dr</t>
  </si>
  <si>
    <t>Cortland One Twenty One</t>
  </si>
  <si>
    <t>The Colony</t>
  </si>
  <si>
    <t>Cortland - Cortland One Twenty One</t>
  </si>
  <si>
    <t>Memorial Drive TX Partners, LLC</t>
  </si>
  <si>
    <t>75056</t>
  </si>
  <si>
    <t>1100 Meredith Ln</t>
  </si>
  <si>
    <t>Colonnade at Willow Bend</t>
  </si>
  <si>
    <t>L&amp;B Realty Advisors, LLP</t>
  </si>
  <si>
    <t>Willow Bridge - Colonnade at Willow Bend</t>
  </si>
  <si>
    <t>1100 Meredith Lane Inc</t>
  </si>
  <si>
    <t>12500 Merit Dr</t>
  </si>
  <si>
    <t>La Costa Villas</t>
  </si>
  <si>
    <t>Ascendant Capital Partners</t>
  </si>
  <si>
    <t>Avenue5 - La Costa Villas</t>
  </si>
  <si>
    <t>12500 Merit Llc</t>
  </si>
  <si>
    <t>75251-1903</t>
  </si>
  <si>
    <t>18040 Midway Rd</t>
  </si>
  <si>
    <t>Lifescape Villas Midway</t>
  </si>
  <si>
    <t>5331 E Mockingbird Ln</t>
  </si>
  <si>
    <t>The Lofts At Mockingbird Station</t>
  </si>
  <si>
    <t>Willow Bridge - The Lofts at Mockingbird Station</t>
  </si>
  <si>
    <t>CPUS Mockingbird LP</t>
  </si>
  <si>
    <t>Multifamily (Community Center)</t>
  </si>
  <si>
    <t>75206-5169</t>
  </si>
  <si>
    <t>09/01/2051</t>
  </si>
  <si>
    <t>5555 E Mockingbird Ln</t>
  </si>
  <si>
    <t>5 Mockingbird Apartments</t>
  </si>
  <si>
    <t>Valiant - 5 Mockingbird</t>
  </si>
  <si>
    <t>SPI Mockingbird Sunset DE EX, LLC</t>
  </si>
  <si>
    <t>75206-5364</t>
  </si>
  <si>
    <t>301 Modene St</t>
  </si>
  <si>
    <t>Creekside Estates</t>
  </si>
  <si>
    <t>YES! Communities - Creekside Estates</t>
  </si>
  <si>
    <t>Yes Creekside Estates Llc</t>
  </si>
  <si>
    <t>1249 Monterrey Blvd</t>
  </si>
  <si>
    <t>Westdale Hills - Muirfield Village</t>
  </si>
  <si>
    <t>Westdale - Westdale Hills Muirfield Village</t>
  </si>
  <si>
    <t>Westdale Hills 2013, LP</t>
  </si>
  <si>
    <t>76040-8038</t>
  </si>
  <si>
    <t>13907 Montfort Dr</t>
  </si>
  <si>
    <t>The Brownstones</t>
  </si>
  <si>
    <t>Dallas Midtown</t>
  </si>
  <si>
    <t>Fath Properties</t>
  </si>
  <si>
    <t>Fath - The Brownstones</t>
  </si>
  <si>
    <t>Fath Brownstones Lp</t>
  </si>
  <si>
    <t>14332 Montfort Dr</t>
  </si>
  <si>
    <t>The Lana</t>
  </si>
  <si>
    <t>S2 Residential - The Lana</t>
  </si>
  <si>
    <t>14601 Montfort Dr</t>
  </si>
  <si>
    <t>The Saxony Apartments</t>
  </si>
  <si>
    <t>Slosburg Company</t>
  </si>
  <si>
    <t>Richdale - The Saxony Apartments</t>
  </si>
  <si>
    <t>Texas Sfi Ltd Ii</t>
  </si>
  <si>
    <t>2950 Mustang Dr</t>
  </si>
  <si>
    <t>29 Fifty Apartments</t>
  </si>
  <si>
    <t>Red Summit Partners</t>
  </si>
  <si>
    <t>ZRS - 29 Fifty Apartments</t>
  </si>
  <si>
    <t>Ch Realty Ix-red Summit Mf Dal</t>
  </si>
  <si>
    <t>05/11/2026</t>
  </si>
  <si>
    <t>1401 Nandina Dr</t>
  </si>
  <si>
    <t>Arbrook Park</t>
  </si>
  <si>
    <t>Harbor Group Management Co LLC</t>
  </si>
  <si>
    <t>Harbor Group - Arbrook Park</t>
  </si>
  <si>
    <t>Arbrook Park Gardens Lp</t>
  </si>
  <si>
    <t>76014-3417</t>
  </si>
  <si>
    <t>15525 Nimble Trl</t>
  </si>
  <si>
    <t>76262-2712</t>
  </si>
  <si>
    <t>13330 Noel Rd</t>
  </si>
  <si>
    <t>Verona</t>
  </si>
  <si>
    <t>Palladium Group of Companies</t>
  </si>
  <si>
    <t>Palladium Management - Verona</t>
  </si>
  <si>
    <t>Villa Verona Ltd</t>
  </si>
  <si>
    <t>01/01/2053</t>
  </si>
  <si>
    <t>14145 Noel Rd</t>
  </si>
  <si>
    <t>Neo Midtown Apartments</t>
  </si>
  <si>
    <t>Grandview Partners</t>
  </si>
  <si>
    <t>BH - Neo Midtown Apartments</t>
  </si>
  <si>
    <t>Neo Midtown Phase II, LLC</t>
  </si>
  <si>
    <t>516-520 North Rd</t>
  </si>
  <si>
    <t>Avalon Mobile Home Park</t>
  </si>
  <si>
    <t>Individually Owned</t>
  </si>
  <si>
    <t>Kennedale</t>
  </si>
  <si>
    <t>76060-4219</t>
  </si>
  <si>
    <t>2450 Oak Hill Cir</t>
  </si>
  <si>
    <t>The Club at Stonegate</t>
  </si>
  <si>
    <t>Busboom Group</t>
  </si>
  <si>
    <t>Busboom - The Club at Stonegate</t>
  </si>
  <si>
    <t>JK Stonegate, LLC</t>
  </si>
  <si>
    <t>4140 Office Pky</t>
  </si>
  <si>
    <t>Treymore North Apartments</t>
  </si>
  <si>
    <t>Carleton - Treymore North</t>
  </si>
  <si>
    <t>75204-3674</t>
  </si>
  <si>
    <t>2501 Ohio Dr</t>
  </si>
  <si>
    <t>The Calvin</t>
  </si>
  <si>
    <t>Reap Capital</t>
  </si>
  <si>
    <t>Reap - The Calvin</t>
  </si>
  <si>
    <t>RC Calvin LLC</t>
  </si>
  <si>
    <t>6100 Ohio Dr</t>
  </si>
  <si>
    <t>La Costa Apartments</t>
  </si>
  <si>
    <t>Westdale - La Costa Apartments</t>
  </si>
  <si>
    <t>Westdale La Costa Tx</t>
  </si>
  <si>
    <t>6400 Ohio Dr</t>
  </si>
  <si>
    <t>Camden Legacy Creek</t>
  </si>
  <si>
    <t>Camden - Camden Legacy Creek</t>
  </si>
  <si>
    <t>Camden Operating</t>
  </si>
  <si>
    <t>8025 Ohio Dr</t>
  </si>
  <si>
    <t>Mission Gate</t>
  </si>
  <si>
    <t>Waterton</t>
  </si>
  <si>
    <t>Waterton - Mission Gate Apartments</t>
  </si>
  <si>
    <t>WRPV XIV Plano LP</t>
  </si>
  <si>
    <t>4600 Old Blue Cir</t>
  </si>
  <si>
    <t>Willow Springs Manufactured Housing Community</t>
  </si>
  <si>
    <t>ParkLand Ventures</t>
  </si>
  <si>
    <t>Willow Springs PLNDV TX LLC</t>
  </si>
  <si>
    <t>76119-5214</t>
  </si>
  <si>
    <t>3500 Old Denton Rd</t>
  </si>
  <si>
    <t>Emerson at Rosemeade Park</t>
  </si>
  <si>
    <t>CR Capital</t>
  </si>
  <si>
    <t>12 Oaks Senior Living - Emerson at Rosemeade Park</t>
  </si>
  <si>
    <t>3500 Old Denton Road Propco, LP</t>
  </si>
  <si>
    <t>75007-2994</t>
  </si>
  <si>
    <t>8613 Old Hickory Trl</t>
  </si>
  <si>
    <t>Greens of Hickory Trail</t>
  </si>
  <si>
    <t>Stonemark - Greens of Hickory Trail</t>
  </si>
  <si>
    <t>75237-3986</t>
  </si>
  <si>
    <t>5000 Old Shepard Pl</t>
  </si>
  <si>
    <t>The Oaks at Plano</t>
  </si>
  <si>
    <t>Green Courte Partners, LLC</t>
  </si>
  <si>
    <t>True Connection - The Oaks at Plano</t>
  </si>
  <si>
    <t>Preston Old Shepard Titleholder LLC</t>
  </si>
  <si>
    <t>2815 Osler Dr</t>
  </si>
  <si>
    <t>Neurock of Destino</t>
  </si>
  <si>
    <t>NeuRock Capital</t>
  </si>
  <si>
    <t>NPM - NeuRock Destino</t>
  </si>
  <si>
    <t>Neurock Of Destino Lp</t>
  </si>
  <si>
    <t>75051</t>
  </si>
  <si>
    <t>11/01/2027</t>
  </si>
  <si>
    <t>1101 Oxbow Dr</t>
  </si>
  <si>
    <t>Cooper's Crossing</t>
  </si>
  <si>
    <t>Avanath Capital Management, LLC</t>
  </si>
  <si>
    <t>Avanath Realty - Cooper's Crossing</t>
  </si>
  <si>
    <t>Avanath Coopers Crossing LLC</t>
  </si>
  <si>
    <t>75038-3022</t>
  </si>
  <si>
    <t>1201 E Park Blvd</t>
  </si>
  <si>
    <t>1201 Park</t>
  </si>
  <si>
    <t>Somerset Partners</t>
  </si>
  <si>
    <t>Sandhurst - 1201 Park</t>
  </si>
  <si>
    <t>1201 Park Plano Associates, LLC</t>
  </si>
  <si>
    <t>3500 E Park Blvd</t>
  </si>
  <si>
    <t>Shiloh Park Apartments</t>
  </si>
  <si>
    <t>Alex Carolus</t>
  </si>
  <si>
    <t>AMC - Shiloh Park Apartments</t>
  </si>
  <si>
    <t>Shiloh Park Townhomes LLC</t>
  </si>
  <si>
    <t>1701 Park Central</t>
  </si>
  <si>
    <t>1701 at Eldorado</t>
  </si>
  <si>
    <t>Horacek Family Trust</t>
  </si>
  <si>
    <t>Anterra -1701 at Eldorado</t>
  </si>
  <si>
    <t>ElDorado McKinney LLC</t>
  </si>
  <si>
    <t>75069-7947</t>
  </si>
  <si>
    <t>2650 W Park Row Dr</t>
  </si>
  <si>
    <t>Morada Pantego</t>
  </si>
  <si>
    <t>Dalworthington Gardens</t>
  </si>
  <si>
    <t>MONTICELLOAM, LLC</t>
  </si>
  <si>
    <t>Discovery - Morada Pantego</t>
  </si>
  <si>
    <t>2650 W Park Row LLC</t>
  </si>
  <si>
    <t>Pantego</t>
  </si>
  <si>
    <t>5945 W Parker Rd</t>
  </si>
  <si>
    <t>Bentley Place at Willow Bend Apartments</t>
  </si>
  <si>
    <t>Gaines - Bentley Place At Willow Bend</t>
  </si>
  <si>
    <t>75093-7755</t>
  </si>
  <si>
    <t>7001 W Parker Rd</t>
  </si>
  <si>
    <t>Cortland Arbor Hills</t>
  </si>
  <si>
    <t>Cortland - Cortland Arbor Hills</t>
  </si>
  <si>
    <t>Pure Preserve Apts Llc</t>
  </si>
  <si>
    <t>75093-8614</t>
  </si>
  <si>
    <t>08/27/2021</t>
  </si>
  <si>
    <t>5400 Parker Henderson Rd</t>
  </si>
  <si>
    <t>Indian Creek Community</t>
  </si>
  <si>
    <t>DANIELL A R &amp; J R TRUST</t>
  </si>
  <si>
    <t>76119-6264</t>
  </si>
  <si>
    <t>5429 Parker Henderson Rd</t>
  </si>
  <si>
    <t>Willow Terrace</t>
  </si>
  <si>
    <t>Willow Terrace PLNDV TX LLC</t>
  </si>
  <si>
    <t>4000 Parkside Center Blvd</t>
  </si>
  <si>
    <t>Villas At Parkside</t>
  </si>
  <si>
    <t>Farmers Branch</t>
  </si>
  <si>
    <t>Management Support - Villas at Parkside</t>
  </si>
  <si>
    <t>75244-4357</t>
  </si>
  <si>
    <t>11/01/2044</t>
  </si>
  <si>
    <t>3200 Parkwood Blvd</t>
  </si>
  <si>
    <t>Wellington at Willow Bend</t>
  </si>
  <si>
    <t>Banner Real Estate Group</t>
  </si>
  <si>
    <t>Banner - Wellington at Willow Bend</t>
  </si>
  <si>
    <t>Wellington Apartments UI, LLC</t>
  </si>
  <si>
    <t>75093-8750</t>
  </si>
  <si>
    <t>4750 Pear Ridge Dr</t>
  </si>
  <si>
    <t>Creekside Apartments</t>
  </si>
  <si>
    <t>Gaines - Creekside Apartments</t>
  </si>
  <si>
    <t>Pear Ridge Trust</t>
  </si>
  <si>
    <t>75287-4228</t>
  </si>
  <si>
    <t>3800 Pebble Creek Ct</t>
  </si>
  <si>
    <t>Reserve at Pebble Creek</t>
  </si>
  <si>
    <t>Harbor Group - Reserve at Pebble Creek</t>
  </si>
  <si>
    <t>Pebble Creek Gardens Lp</t>
  </si>
  <si>
    <t>75023-5941</t>
  </si>
  <si>
    <t>02/01/2030</t>
  </si>
  <si>
    <t>250 Pennsylvania Ave</t>
  </si>
  <si>
    <t>Siddons Place Apartments</t>
  </si>
  <si>
    <t>ResProp - Siddons Place Apartments</t>
  </si>
  <si>
    <t>Ironwood Crossing Public Facility Corporation</t>
  </si>
  <si>
    <t>76104</t>
  </si>
  <si>
    <t>04/01/2028</t>
  </si>
  <si>
    <t>907 Pinion Dr</t>
  </si>
  <si>
    <t>Parkland Pointe</t>
  </si>
  <si>
    <t>McCormack Baron Salazar</t>
  </si>
  <si>
    <t>AOG Living - Parkland Pointe</t>
  </si>
  <si>
    <t>Parkland Pointe Ltd Prtshp</t>
  </si>
  <si>
    <t>1250 W Pioneer Pky</t>
  </si>
  <si>
    <t>Town Village Crossing</t>
  </si>
  <si>
    <t>Pegasus Senior Living - Town Village Crossing</t>
  </si>
  <si>
    <t>PSL Overland Park Landlord LLC</t>
  </si>
  <si>
    <t>76013-6245</t>
  </si>
  <si>
    <t>6601 W Plano Pky</t>
  </si>
  <si>
    <t>Prestonwood Hills</t>
  </si>
  <si>
    <t>UNIVESCO - Prestonwood Hills</t>
  </si>
  <si>
    <t>Rjw Prestonwood Hills</t>
  </si>
  <si>
    <t>101 W Pleasant Run Rd</t>
  </si>
  <si>
    <t>The Crossing</t>
  </si>
  <si>
    <t>Yes! Communities - The Crossings</t>
  </si>
  <si>
    <t>Yes Crossing Tx Llc</t>
  </si>
  <si>
    <t>75172-1081</t>
  </si>
  <si>
    <t>3700 Post Oak Blvd</t>
  </si>
  <si>
    <t>Station 3700</t>
  </si>
  <si>
    <t>Dayrise - Station 3700</t>
  </si>
  <si>
    <t>Station 3700 Owner, LP</t>
  </si>
  <si>
    <t>76040-7577</t>
  </si>
  <si>
    <t>3700 Poteet Dr</t>
  </si>
  <si>
    <t>Rise Skyline</t>
  </si>
  <si>
    <t>Rise48 - Rise Skyline</t>
  </si>
  <si>
    <t>Southtowne Skyline 1031, LLC</t>
  </si>
  <si>
    <t>75150-7637</t>
  </si>
  <si>
    <t>2524 Preston Rd</t>
  </si>
  <si>
    <t>The Marquis at Preston Park</t>
  </si>
  <si>
    <t>Sheila Thomson</t>
  </si>
  <si>
    <t>2601 Preston Rd</t>
  </si>
  <si>
    <t>Preston At Tulane</t>
  </si>
  <si>
    <t>Ocean Ranch Boulevard 3605 Corp</t>
  </si>
  <si>
    <t>Excel Association Management</t>
  </si>
  <si>
    <t>03/01/2024</t>
  </si>
  <si>
    <t>3700 Preston Rd</t>
  </si>
  <si>
    <t>Lakeshore at Preston</t>
  </si>
  <si>
    <t>Comunidad Partners</t>
  </si>
  <si>
    <t>Cardinal - Lakeshore at Preston</t>
  </si>
  <si>
    <t>Simfa Lakeshore Fee Simple Llc</t>
  </si>
  <si>
    <t>6900 Preston Rd</t>
  </si>
  <si>
    <t>Villas Of Preston Creek</t>
  </si>
  <si>
    <t>Management Support - Villas At Preston Creek</t>
  </si>
  <si>
    <t>7200 Preston Rd</t>
  </si>
  <si>
    <t>Brooks on Preston</t>
  </si>
  <si>
    <t>CWS - Brooks on Preston</t>
  </si>
  <si>
    <t>Janric Enterprises Ltd</t>
  </si>
  <si>
    <t>14455 Preston Rd</t>
  </si>
  <si>
    <t>Preston Bridge apartments</t>
  </si>
  <si>
    <t>Richdale - Preston Bridge Apartments</t>
  </si>
  <si>
    <t>Texas Sfi 7 Ltd</t>
  </si>
  <si>
    <t>14827 Preston Rd</t>
  </si>
  <si>
    <t>The Premier at Prestonwood</t>
  </si>
  <si>
    <t>Westmount Realty Capital</t>
  </si>
  <si>
    <t>Greystar - Premier at Prestonwood</t>
  </si>
  <si>
    <t>2022-1 Dallas Prestonwood MF Woner, LP</t>
  </si>
  <si>
    <t>04/01/2055</t>
  </si>
  <si>
    <t>19019 Preston Rd</t>
  </si>
  <si>
    <t>19019 Preston Townhomes</t>
  </si>
  <si>
    <t>Glorious Sun - Preston Townhomes</t>
  </si>
  <si>
    <t>5445 Preston Oaks Rd</t>
  </si>
  <si>
    <t>Montfort Place Apartments</t>
  </si>
  <si>
    <t>Gaines - Montfort Place</t>
  </si>
  <si>
    <t>Dallas Montfort Grantor Trust</t>
  </si>
  <si>
    <t>4701 Preston Park Blvd</t>
  </si>
  <si>
    <t>The Ellington Apartments</t>
  </si>
  <si>
    <t>S2 Residential - The Ellington Apartments</t>
  </si>
  <si>
    <t>S2 Preston Park, LP</t>
  </si>
  <si>
    <t>6600 Preston Rd</t>
  </si>
  <si>
    <t>Camden Legacy Park</t>
  </si>
  <si>
    <t>Camden - Camden Legacy Park</t>
  </si>
  <si>
    <t>2009 COLP Community Owner LLC</t>
  </si>
  <si>
    <t>15190 Prestonwood Blvd</t>
  </si>
  <si>
    <t>Turnberry Isle</t>
  </si>
  <si>
    <t>Gaines - Turnberry Isle</t>
  </si>
  <si>
    <t>3129 Racehorse Dr</t>
  </si>
  <si>
    <t>Shady Grove Ranch</t>
  </si>
  <si>
    <t>Shady Grove Ranch Holdings LLC</t>
  </si>
  <si>
    <t>75050-6620</t>
  </si>
  <si>
    <t>8203 Ranchview Dr</t>
  </si>
  <si>
    <t>Santa Fe</t>
  </si>
  <si>
    <t>Summit - Santa Fe Ranch Apartments</t>
  </si>
  <si>
    <t>Tides On Ranchview Owner LLC</t>
  </si>
  <si>
    <t>1151 Remington Cir</t>
  </si>
  <si>
    <t>Shenandoah Townhomes &amp; Apartments</t>
  </si>
  <si>
    <t>Glenn Lynch Companies</t>
  </si>
  <si>
    <t>ST&amp;H Management - Shenandoah Townhomes</t>
  </si>
  <si>
    <t>Shenandoah Townhomes L P</t>
  </si>
  <si>
    <t>3050 Remond Dr</t>
  </si>
  <si>
    <t>Villas of Remond Senior Living</t>
  </si>
  <si>
    <t>North Oak Cliff</t>
  </si>
  <si>
    <t>Gomel Capital Partners</t>
  </si>
  <si>
    <t>Elmington - The Villas of Redmond</t>
  </si>
  <si>
    <t>Remond Dallas Holdings Lp</t>
  </si>
  <si>
    <t>2600 E Renner Rd</t>
  </si>
  <si>
    <t>Canterbury Courts</t>
  </si>
  <si>
    <t>Greystar - Canterbury Courts</t>
  </si>
  <si>
    <t>Grand Peaks Property Management</t>
  </si>
  <si>
    <t>4000 E Renner Rd</t>
  </si>
  <si>
    <t>Clearwater Creek Apartment Homes</t>
  </si>
  <si>
    <t>Rockwood - Clearwater Creek Apartments</t>
  </si>
  <si>
    <t>Southwest Clearwater Creek Par</t>
  </si>
  <si>
    <t>75082-2718</t>
  </si>
  <si>
    <t>4250 E Renner Rd</t>
  </si>
  <si>
    <t>Breckinridge Point</t>
  </si>
  <si>
    <t>Pacific Urban Investors, LLC</t>
  </si>
  <si>
    <t>Willow Bridge - Breckinridge Point</t>
  </si>
  <si>
    <t>Breckinridge Point Tx Llc</t>
  </si>
  <si>
    <t>280 W Renner Rd</t>
  </si>
  <si>
    <t>Homes of Prairie Springs</t>
  </si>
  <si>
    <t>STRS Ohio CA Real Estate</t>
  </si>
  <si>
    <t>Willow Bridge - Homes of Prairie Springs</t>
  </si>
  <si>
    <t>OTR</t>
  </si>
  <si>
    <t>75080</t>
  </si>
  <si>
    <t>800 W Renner Rd</t>
  </si>
  <si>
    <t>Marquis at Waterview</t>
  </si>
  <si>
    <t>CWS - Marquis At Waterview</t>
  </si>
  <si>
    <t>Waterview Marquis, LP</t>
  </si>
  <si>
    <t>1520 Richardson Dr</t>
  </si>
  <si>
    <t>Madison at Melrose</t>
  </si>
  <si>
    <t>Hat Creek Partners</t>
  </si>
  <si>
    <t>Greystar - Madison at Melrose</t>
  </si>
  <si>
    <t>Yokomori MFG CO, LTD</t>
  </si>
  <si>
    <t>06/21/2019</t>
  </si>
  <si>
    <t>2901 Ridgeview Dr</t>
  </si>
  <si>
    <t>Ranch At Ridgeview</t>
  </si>
  <si>
    <t>Tipton - Ranch at Ridgeview</t>
  </si>
  <si>
    <t>RAR Plano LLC</t>
  </si>
  <si>
    <t>75025-6454</t>
  </si>
  <si>
    <t>09/05/2028</t>
  </si>
  <si>
    <t>2751 River Park Dr</t>
  </si>
  <si>
    <t>The Canyons Apartments</t>
  </si>
  <si>
    <t>Clearfork</t>
  </si>
  <si>
    <t>Willow Bridge - The Canyons Apartments</t>
  </si>
  <si>
    <t>Canyons Apartments II LLC</t>
  </si>
  <si>
    <t>76116-0720</t>
  </si>
  <si>
    <t>3101 River Park Dr</t>
  </si>
  <si>
    <t>The Lodge at River Park</t>
  </si>
  <si>
    <t>Harbor Group - The Lodge at River Park</t>
  </si>
  <si>
    <t>River Park Gardens</t>
  </si>
  <si>
    <t>76116-0609</t>
  </si>
  <si>
    <t>3450 River Park Dr</t>
  </si>
  <si>
    <t>Avana River Park</t>
  </si>
  <si>
    <t>Greystar - Avana River Park</t>
  </si>
  <si>
    <t>Gep X River Park LLC</t>
  </si>
  <si>
    <t>3451 River Park Dr</t>
  </si>
  <si>
    <t>River Park Place</t>
  </si>
  <si>
    <t>Roger Sachar</t>
  </si>
  <si>
    <t>RIV Prk PL, LLC</t>
  </si>
  <si>
    <t>76116-9587</t>
  </si>
  <si>
    <t>10/01/2027</t>
  </si>
  <si>
    <t>1315 Riverchase Dr</t>
  </si>
  <si>
    <t>The Club at Riverchase</t>
  </si>
  <si>
    <t>Busboom - The Club at Riverchase</t>
  </si>
  <si>
    <t>Busboom Investments Riverchase, LLC</t>
  </si>
  <si>
    <t>2803 Riverside Pky</t>
  </si>
  <si>
    <t>2803 Riverside Apartments</t>
  </si>
  <si>
    <t>Atlantic Pacific Companies</t>
  </si>
  <si>
    <t>Atlantic | Pacific - 2803 Riverside</t>
  </si>
  <si>
    <t>Blue Atlantic Riverside, LP</t>
  </si>
  <si>
    <t>75050-7820</t>
  </si>
  <si>
    <t>2201 Rockbrook Dr</t>
  </si>
  <si>
    <t>Saratoga Apartments</t>
  </si>
  <si>
    <t>Greystar - Saratoga</t>
  </si>
  <si>
    <t>2201 Rockbrook Lewisville, LLC</t>
  </si>
  <si>
    <t>9425 Rolater Rd</t>
  </si>
  <si>
    <t>St. Martin</t>
  </si>
  <si>
    <t>Knightvest - St Martin</t>
  </si>
  <si>
    <t>Sonsrena Owner LP</t>
  </si>
  <si>
    <t>07/16/2024</t>
  </si>
  <si>
    <t>7500 Rolling Brook Dr</t>
  </si>
  <si>
    <t>The Ranch at Frisco</t>
  </si>
  <si>
    <t>Paskin Group - The Ranch at Frisco</t>
  </si>
  <si>
    <t>Cr Strata Stonebrook Village Lp</t>
  </si>
  <si>
    <t>485 Rolling Hills Pl</t>
  </si>
  <si>
    <t>Creekwood Place</t>
  </si>
  <si>
    <t>Morgan Properties</t>
  </si>
  <si>
    <t>Morgan - Creekwood Place</t>
  </si>
  <si>
    <t>75146-1800</t>
  </si>
  <si>
    <t>4343 Rosemeade Pky</t>
  </si>
  <si>
    <t>The Chase</t>
  </si>
  <si>
    <t>Summit - The Chase</t>
  </si>
  <si>
    <t>Tides at Park43 Owner, LLC</t>
  </si>
  <si>
    <t>3440 E Rosemeade Pky</t>
  </si>
  <si>
    <t>Fountains of Rosemeade</t>
  </si>
  <si>
    <t>Gary Silver</t>
  </si>
  <si>
    <t>Accolade - Fountains of Rosemeade</t>
  </si>
  <si>
    <t>Norstar Fountains Of Rosemeade Llc</t>
  </si>
  <si>
    <t>75007-2054</t>
  </si>
  <si>
    <t>195 E Round Grove Rd</t>
  </si>
  <si>
    <t>Bridges at Oak Bend</t>
  </si>
  <si>
    <t>Bridge - Bridges at Oak Bend</t>
  </si>
  <si>
    <t>201 E Round Grove Rd</t>
  </si>
  <si>
    <t>Arboretum at Lewisville</t>
  </si>
  <si>
    <t>Cameron County Housing Authority</t>
  </si>
  <si>
    <t>ResProp - Arboretum at Lewisville</t>
  </si>
  <si>
    <t>Cameron County Housing Finance Corporation</t>
  </si>
  <si>
    <t>75067-8338</t>
  </si>
  <si>
    <t>300 E Round Grove Rd</t>
  </si>
  <si>
    <t>Chapel Hill</t>
  </si>
  <si>
    <t>Bridge - Chapel Hill</t>
  </si>
  <si>
    <t>BMF IV TX Chapel Hill, LLC</t>
  </si>
  <si>
    <t>2121 Routh St</t>
  </si>
  <si>
    <t>MAA Uptown Village</t>
  </si>
  <si>
    <t>MAA - MAA Uptown Village</t>
  </si>
  <si>
    <t>2940 W Royal Ln</t>
  </si>
  <si>
    <t>The Palmer at Las Colinas</t>
  </si>
  <si>
    <t>PAC - The Palmer at Las Colinas</t>
  </si>
  <si>
    <t>3001 Sale St</t>
  </si>
  <si>
    <t>Vines at Turtle Creek</t>
  </si>
  <si>
    <t>First Capital Advisors Holdings, LLC</t>
  </si>
  <si>
    <t>Cardinal - Vines at Turtle Creek</t>
  </si>
  <si>
    <t>FCA Turtle Creek (Dallas) Propco, LLC</t>
  </si>
  <si>
    <t>6700 Sandshell Blvd</t>
  </si>
  <si>
    <t>Western Station Apartments</t>
  </si>
  <si>
    <t>LiveNJoy - Western Station</t>
  </si>
  <si>
    <t>03/01/2035</t>
  </si>
  <si>
    <t>5800 Sandshell Dr</t>
  </si>
  <si>
    <t>Sorrento</t>
  </si>
  <si>
    <t>BH - Sorrento</t>
  </si>
  <si>
    <t>76137-2908</t>
  </si>
  <si>
    <t>202 Santa Fe Trl</t>
  </si>
  <si>
    <t>The Lexington at Valley Ranch</t>
  </si>
  <si>
    <t>Tonti - The Lexington at Valley Ranch</t>
  </si>
  <si>
    <t>Creekwood Lexington LLC</t>
  </si>
  <si>
    <t>75063-4719</t>
  </si>
  <si>
    <t>4101 Sayle St</t>
  </si>
  <si>
    <t>Sayle Village Apartments</t>
  </si>
  <si>
    <t>AMBO - Sayle Village Apartments</t>
  </si>
  <si>
    <t>Sayle Village Llc</t>
  </si>
  <si>
    <t>75401-6529</t>
  </si>
  <si>
    <t>5501 Sayle St</t>
  </si>
  <si>
    <t>Residences at Bear Creek</t>
  </si>
  <si>
    <t>ChadNic Properties</t>
  </si>
  <si>
    <t>Chad-Nic -  Residences at Bear Creek</t>
  </si>
  <si>
    <t>Residences At Bear Creek Llc</t>
  </si>
  <si>
    <t>75402-6378</t>
  </si>
  <si>
    <t>815 Senior Creek Dr</t>
  </si>
  <si>
    <t>Village at Johnson Creek</t>
  </si>
  <si>
    <t>Sandalwood - Villages at Johnson Creek</t>
  </si>
  <si>
    <t>Arlington Senior Housing</t>
  </si>
  <si>
    <t>76010-1933</t>
  </si>
  <si>
    <t>6200 N Shiloh Rd</t>
  </si>
  <si>
    <t>Dane Park North Garland</t>
  </si>
  <si>
    <t>Cypress Equity Investments LLC</t>
  </si>
  <si>
    <t>Greystar - Dane Park North Garland</t>
  </si>
  <si>
    <t>12/09/2023</t>
  </si>
  <si>
    <t>2426 Simpson Stuart Rd</t>
  </si>
  <si>
    <t>Cliff View Village Apartments</t>
  </si>
  <si>
    <t>Highland Hills</t>
  </si>
  <si>
    <t>Alpha-Barnes Real Estate Services</t>
  </si>
  <si>
    <t>Asset Living - Cliff View Apartments</t>
  </si>
  <si>
    <t>Cliff View Village Inc</t>
  </si>
  <si>
    <t>75241-4800</t>
  </si>
  <si>
    <t>3245 Simpson Stuart Rd</t>
  </si>
  <si>
    <t>viva townhomes</t>
  </si>
  <si>
    <t>JDFW Management</t>
  </si>
  <si>
    <t>AVMP - Viva Townhomes</t>
  </si>
  <si>
    <t>HOP Apartments II LLC</t>
  </si>
  <si>
    <t>75241</t>
  </si>
  <si>
    <t>06/01/2051</t>
  </si>
  <si>
    <t>1531 South Highway 121</t>
  </si>
  <si>
    <t>Oak Forest</t>
  </si>
  <si>
    <t>TAM - Oak Forest</t>
  </si>
  <si>
    <t>Post Oak Forest Llc</t>
  </si>
  <si>
    <t>04/01/2033</t>
  </si>
  <si>
    <t>5383 Southern Blvd</t>
  </si>
  <si>
    <t>Daxton</t>
  </si>
  <si>
    <t>RPM - Daxton</t>
  </si>
  <si>
    <t>KRE DFWT Monfort Owner LLC</t>
  </si>
  <si>
    <t>8705 Southwestern Blvd</t>
  </si>
  <si>
    <t>The Village Northbridge</t>
  </si>
  <si>
    <t>The Village Dallas  - The Village Northbridge</t>
  </si>
  <si>
    <t>PCV Northbridge LLC</t>
  </si>
  <si>
    <t>2100 Spencer Rd</t>
  </si>
  <si>
    <t>Waterford at Spencer Oaks</t>
  </si>
  <si>
    <t>April Housing</t>
  </si>
  <si>
    <t>AOG Living - Waterford at Spencer Oaks</t>
  </si>
  <si>
    <t>2100 Spencer Road Tx Owner Lp</t>
  </si>
  <si>
    <t>76205</t>
  </si>
  <si>
    <t>09/25/2028</t>
  </si>
  <si>
    <t>1800 E Spring Creek Pky</t>
  </si>
  <si>
    <t>The Gio</t>
  </si>
  <si>
    <t>Highmark - The Gio</t>
  </si>
  <si>
    <t>SREIT Gio Apartments LLC</t>
  </si>
  <si>
    <t>04/01/2036</t>
  </si>
  <si>
    <t>2001 E Spring Creek Pky</t>
  </si>
  <si>
    <t>Sheridan Park at Spring Creek</t>
  </si>
  <si>
    <t>Spoke Real Estate Capital</t>
  </si>
  <si>
    <t>RPM - Sheridan Park at Spring Creek</t>
  </si>
  <si>
    <t>Spring Creek Fee Owner LLC</t>
  </si>
  <si>
    <t>08/10/2024</t>
  </si>
  <si>
    <t>3801 W Spring Creek Pky</t>
  </si>
  <si>
    <t>Somerset at Spring Creek</t>
  </si>
  <si>
    <t>Harbor Group - Somerset at Spring Creek</t>
  </si>
  <si>
    <t>Spring Creek Gardens Lp</t>
  </si>
  <si>
    <t>1801-1809 W Spring Creek Pky</t>
  </si>
  <si>
    <t>Springwood Creek Condominiums</t>
  </si>
  <si>
    <t>Principal Management Group of North Texas</t>
  </si>
  <si>
    <t>75023-4214</t>
  </si>
  <si>
    <t>1940 W Spring Creek Pky</t>
  </si>
  <si>
    <t>Solstice Senior Living at Plano</t>
  </si>
  <si>
    <t>Solstice - Solstice Senior Living at Plano</t>
  </si>
  <si>
    <t>Winterfell Cottonwood Owner LLC</t>
  </si>
  <si>
    <t>75023-4265</t>
  </si>
  <si>
    <t>07/01/2032</t>
  </si>
  <si>
    <t>5301 W Spring Creek Pky</t>
  </si>
  <si>
    <t>Villas at Legacy</t>
  </si>
  <si>
    <t>Greystar - Villas at Legacy</t>
  </si>
  <si>
    <t>JLLX Villas At Legacy DST</t>
  </si>
  <si>
    <t>3950-3990 Spring Valley Rd</t>
  </si>
  <si>
    <t>Lakeview At Parkside</t>
  </si>
  <si>
    <t>Management Support - Lakeview at Parkside</t>
  </si>
  <si>
    <t>75244-3428</t>
  </si>
  <si>
    <t>4040 Spring Valley Rd</t>
  </si>
  <si>
    <t>Chateau De Ville</t>
  </si>
  <si>
    <t>Management Support - Chateau de Ville</t>
  </si>
  <si>
    <t>75244-3612</t>
  </si>
  <si>
    <t>5300 Spring Valley Rd</t>
  </si>
  <si>
    <t>The Dorchester Apartments</t>
  </si>
  <si>
    <t>Richdale - The Dorchester</t>
  </si>
  <si>
    <t>Dorchester Ppties Ltd</t>
  </si>
  <si>
    <t>3130 Stag Rd</t>
  </si>
  <si>
    <t>The Villas of Sorrento</t>
  </si>
  <si>
    <t>The Veranda Apartment Homes</t>
  </si>
  <si>
    <t>OSPM-  The Villas of Sorrento</t>
  </si>
  <si>
    <t>Vos Owner Llc</t>
  </si>
  <si>
    <t>12/26/2014</t>
  </si>
  <si>
    <t>2907-3015 State St</t>
  </si>
  <si>
    <t>MAA Heights</t>
  </si>
  <si>
    <t>MAA - MAA Heights</t>
  </si>
  <si>
    <t>Post Apartment Homes LP</t>
  </si>
  <si>
    <t>75204-2723</t>
  </si>
  <si>
    <t>1500 S State St</t>
  </si>
  <si>
    <t>Eagle Ridge Terrace</t>
  </si>
  <si>
    <t>Fountainhead - Eagle Ridge Terrace</t>
  </si>
  <si>
    <t>Eagles Ridge Terrace</t>
  </si>
  <si>
    <t>76234</t>
  </si>
  <si>
    <t>2400 State Highway 121</t>
  </si>
  <si>
    <t>Kensington by the Vineyard</t>
  </si>
  <si>
    <t>IRT - Kensington by the Vineyard</t>
  </si>
  <si>
    <t>Star Kensington Llc</t>
  </si>
  <si>
    <t>2175 N State Highway 360</t>
  </si>
  <si>
    <t>Seasons at Green Oaks</t>
  </si>
  <si>
    <t>S &amp; H - Seasons at Green Oaks</t>
  </si>
  <si>
    <t>The Seasons at Green Oaks, L.P.</t>
  </si>
  <si>
    <t>75050-1013</t>
  </si>
  <si>
    <t>2355 N State Highway 360</t>
  </si>
  <si>
    <t>Clairborne</t>
  </si>
  <si>
    <t>Price Brothers - Clairborne Apartments</t>
  </si>
  <si>
    <t>Clairborne Apartments, LLC</t>
  </si>
  <si>
    <t>06/29/2021</t>
  </si>
  <si>
    <t>2775 N State Highway 360</t>
  </si>
  <si>
    <t>Riverhill Luxury Residence</t>
  </si>
  <si>
    <t>BSR Real Estate Investment Trust</t>
  </si>
  <si>
    <t>BSR - Riverhill Apartments</t>
  </si>
  <si>
    <t>Riverhill Apartments, LLC</t>
  </si>
  <si>
    <t>7549 Stonebrook Pky</t>
  </si>
  <si>
    <t>The Brook</t>
  </si>
  <si>
    <t>Greystar - The Brook</t>
  </si>
  <si>
    <t>7549 Stonebrook Frisco, LLC</t>
  </si>
  <si>
    <t>8083 Stonebrook Pky</t>
  </si>
  <si>
    <t>The Enclave at Stonebrook</t>
  </si>
  <si>
    <t>RCMI</t>
  </si>
  <si>
    <t>RCMI - Enclave at Stonebrook</t>
  </si>
  <si>
    <t>Enclave At Stonebrook Llc The</t>
  </si>
  <si>
    <t>75034-7203</t>
  </si>
  <si>
    <t>8400 Stonebrook Pky</t>
  </si>
  <si>
    <t>Silverado Apartments</t>
  </si>
  <si>
    <t>Sares-Regis Group</t>
  </si>
  <si>
    <t>ZRS - Silverado Apartments</t>
  </si>
  <si>
    <t>Srgmf Iii Stonebrook Frisco Llc</t>
  </si>
  <si>
    <t>75034-5569</t>
  </si>
  <si>
    <t>6301 Stonewood Dr</t>
  </si>
  <si>
    <t>Villas of Spring Creek</t>
  </si>
  <si>
    <t>Tonti - Villas of Spring Creek</t>
  </si>
  <si>
    <t>Creekwood Hunting Ridge, LP</t>
  </si>
  <si>
    <t>75024-5269</t>
  </si>
  <si>
    <t>202 Sweetwater Dr</t>
  </si>
  <si>
    <t>Fox Hollow Townhomes</t>
  </si>
  <si>
    <t>ST&amp;H- Fox Hollow</t>
  </si>
  <si>
    <t>Mont Blanc Homes Ltd</t>
  </si>
  <si>
    <t>76086-3505</t>
  </si>
  <si>
    <t>10106 Technology Blvd W</t>
  </si>
  <si>
    <t>La Valencia</t>
  </si>
  <si>
    <t>Koreatown/Gribble</t>
  </si>
  <si>
    <t>Crest - La Valencia</t>
  </si>
  <si>
    <t>Crest ALV LP</t>
  </si>
  <si>
    <t>75220-4352</t>
  </si>
  <si>
    <t>910 Texas St</t>
  </si>
  <si>
    <t>Gateway East at the Arts District</t>
  </si>
  <si>
    <t>RPM - Gateway East at the Arts District</t>
  </si>
  <si>
    <t>910 Tx Partners Llc</t>
  </si>
  <si>
    <t>75204-5992</t>
  </si>
  <si>
    <t>10/05/2028</t>
  </si>
  <si>
    <t>218 N Texas Blvd</t>
  </si>
  <si>
    <t>Eagles Landing</t>
  </si>
  <si>
    <t>Rayzor Ranch</t>
  </si>
  <si>
    <t>Adami &amp; Associates - Eagles Landing</t>
  </si>
  <si>
    <t>76201-5630</t>
  </si>
  <si>
    <t>3110 Thomas Ave</t>
  </si>
  <si>
    <t>588 Lofts</t>
  </si>
  <si>
    <t>Andrew Scholl</t>
  </si>
  <si>
    <t>333 Throckmorton St</t>
  </si>
  <si>
    <t>Sundance West - Sundance Square</t>
  </si>
  <si>
    <t>Sundance Square Inc</t>
  </si>
  <si>
    <t>Sundance - Sundance West</t>
  </si>
  <si>
    <t>Sundance West Partners</t>
  </si>
  <si>
    <t>76102-7421</t>
  </si>
  <si>
    <t>201 Timber Ct</t>
  </si>
  <si>
    <t>Timbers At The Park</t>
  </si>
  <si>
    <t>SunRidge - Timbers at the Park</t>
  </si>
  <si>
    <t>Unified Housing Of Terrell LLC</t>
  </si>
  <si>
    <t>07/01/2053</t>
  </si>
  <si>
    <t>3653 Timberglen Rd</t>
  </si>
  <si>
    <t>Keystone Falls</t>
  </si>
  <si>
    <t>StepStone Group LP</t>
  </si>
  <si>
    <t>Western Wealth Communities - Keystone Falls</t>
  </si>
  <si>
    <t>Wwc Keystone Falls Lp</t>
  </si>
  <si>
    <t>75287-3563</t>
  </si>
  <si>
    <t>4607 Timberglen Rd</t>
  </si>
  <si>
    <t>The Vincent</t>
  </si>
  <si>
    <t>Hilltop Residential - The Vincent</t>
  </si>
  <si>
    <t>LVA5 Dallas Verandas, LLC</t>
  </si>
  <si>
    <t>10/01/2032</t>
  </si>
  <si>
    <t>5200 Town &amp; Country Blvd</t>
  </si>
  <si>
    <t>Stonebriar of Frisco Apartments</t>
  </si>
  <si>
    <t>Cottonwood Residential</t>
  </si>
  <si>
    <t>Cottonwood - Stonebriar of Frisco</t>
  </si>
  <si>
    <t>Cw Stonebriar Llc</t>
  </si>
  <si>
    <t>75034-6883</t>
  </si>
  <si>
    <t>8205 Towne Main Dr</t>
  </si>
  <si>
    <t>Cortland West Plano</t>
  </si>
  <si>
    <t>Cortland - Cortland West Plano</t>
  </si>
  <si>
    <t>Tx Apt 8205 Towne Main Drive Lp</t>
  </si>
  <si>
    <t>3530 Travis St</t>
  </si>
  <si>
    <t>Riviera at West Village Apartments</t>
  </si>
  <si>
    <t>Connell Real Estate &amp; Development Co.</t>
  </si>
  <si>
    <t>Greystar - Riviera at West Village Apartments</t>
  </si>
  <si>
    <t>Connell Riviera, LLC</t>
  </si>
  <si>
    <t>4611 Travis St</t>
  </si>
  <si>
    <t>Travis At Knox</t>
  </si>
  <si>
    <t>Randell C Roberts</t>
  </si>
  <si>
    <t>4350 Trinity Mills Rd</t>
  </si>
  <si>
    <t>Trinity Square Apartments</t>
  </si>
  <si>
    <t>Gaines - Trinity Square Apartments</t>
  </si>
  <si>
    <t>Trinity Square Grantor Trust</t>
  </si>
  <si>
    <t>75287-7014</t>
  </si>
  <si>
    <t>3939 E Trinity Mills Rd</t>
  </si>
  <si>
    <t>The Ladera Apartments</t>
  </si>
  <si>
    <t>Starwood Property Trust Inc</t>
  </si>
  <si>
    <t>Tarantino - The Ladera Apartments</t>
  </si>
  <si>
    <t>3939 East Trinity Mills Llc</t>
  </si>
  <si>
    <t>2801 Turnberry Dr</t>
  </si>
  <si>
    <t>Saint Andrews at River Park</t>
  </si>
  <si>
    <t>Acacia Equities, Inc.</t>
  </si>
  <si>
    <t>FDC - St Andrews at River Park</t>
  </si>
  <si>
    <t>Villa Rio Vista Ltd</t>
  </si>
  <si>
    <t>501 Turner Rd</t>
  </si>
  <si>
    <t>Montelena</t>
  </si>
  <si>
    <t>Simpson Property Group</t>
  </si>
  <si>
    <t>Simpson - Montelena</t>
  </si>
  <si>
    <t>TREA SH Montelena LLC</t>
  </si>
  <si>
    <t>3505 Turtle Creek Blvd</t>
  </si>
  <si>
    <t>The Vendome on Turtle Creek</t>
  </si>
  <si>
    <t>FirstService Residential</t>
  </si>
  <si>
    <t>2200 Uecker Dr</t>
  </si>
  <si>
    <t>Rockbrook Creek</t>
  </si>
  <si>
    <t>Harbor Group - Rockbrook Creek</t>
  </si>
  <si>
    <t>Rockbrook Creek Gardens Lp</t>
  </si>
  <si>
    <t>75067-7892</t>
  </si>
  <si>
    <t>2190 S Uecker Ln</t>
  </si>
  <si>
    <t>Edgewood Village</t>
  </si>
  <si>
    <t>UNIVESCO - Edgewood Village</t>
  </si>
  <si>
    <t>Rjw Interest I</t>
  </si>
  <si>
    <t>4400 University Blvd</t>
  </si>
  <si>
    <t>The Arches at Park Cities</t>
  </si>
  <si>
    <t>Eaton Vance Real Estate Investment Group</t>
  </si>
  <si>
    <t>Willow Bridge - The Arches at Park Cities</t>
  </si>
  <si>
    <t>BEL Dallas Park Cities Holdings LLC</t>
  </si>
  <si>
    <t>75209-3876</t>
  </si>
  <si>
    <t>5750 E University Blvd</t>
  </si>
  <si>
    <t>Arrive on University</t>
  </si>
  <si>
    <t>FPA Multifamily LLC</t>
  </si>
  <si>
    <t>Trinity - Arrive on University</t>
  </si>
  <si>
    <t>FPACP3 Greenville LLC</t>
  </si>
  <si>
    <t>901 Us Highway 80 E</t>
  </si>
  <si>
    <t>Mission Ranch</t>
  </si>
  <si>
    <t>RPM - Mission Ranch</t>
  </si>
  <si>
    <t>Tripp Fee Owner LLC</t>
  </si>
  <si>
    <t>09/23/2027</t>
  </si>
  <si>
    <t>8600 Valley Ranch Pky W</t>
  </si>
  <si>
    <t>The Verandah at Valley Ranch Apartments</t>
  </si>
  <si>
    <t>Morguard - The Verandah at Valley Ranch Apartments</t>
  </si>
  <si>
    <t>8903 E Valley Ranch Pky</t>
  </si>
  <si>
    <t>Valley Trails</t>
  </si>
  <si>
    <t>Fairfield Residential</t>
  </si>
  <si>
    <t>Fairfield - Valley Trails</t>
  </si>
  <si>
    <t>Fairfield Valley Trails LLC</t>
  </si>
  <si>
    <t>1000 Valley Ridge Blvd</t>
  </si>
  <si>
    <t>Valley Ridge Apartment Homes</t>
  </si>
  <si>
    <t>Fairfield - Valley Ridge Apartments</t>
  </si>
  <si>
    <t>Fairfield Valley Ridge LLC</t>
  </si>
  <si>
    <t>75077-2955</t>
  </si>
  <si>
    <t>9000 Vantage Point Dr</t>
  </si>
  <si>
    <t>The Pavilions</t>
  </si>
  <si>
    <t>Willow Bridge - The Pavilions</t>
  </si>
  <si>
    <t>Bel Vantage Point LLC</t>
  </si>
  <si>
    <t>09/19/2014</t>
  </si>
  <si>
    <t>2600 Ventura Dr</t>
  </si>
  <si>
    <t>La Ventura Apartments</t>
  </si>
  <si>
    <t>Willow Bridge - La Ventura Apartments</t>
  </si>
  <si>
    <t>La Ventura Plano LLC</t>
  </si>
  <si>
    <t>5151 Verde Valley Ln</t>
  </si>
  <si>
    <t>Verlaine on the Parkway</t>
  </si>
  <si>
    <t>ClearWorth Capital</t>
  </si>
  <si>
    <t>Clearworth - Verlaine on the Parkway</t>
  </si>
  <si>
    <t>CW Addison Owner, LLC</t>
  </si>
  <si>
    <t>75254-7475</t>
  </si>
  <si>
    <t>6530 Virginia Pky</t>
  </si>
  <si>
    <t>MAA Stonebridge Ranch</t>
  </si>
  <si>
    <t>MAA - MAA Stonebridge Ranch</t>
  </si>
  <si>
    <t>MMF II Venue At Stonebridge Ranch LLC</t>
  </si>
  <si>
    <t>75071</t>
  </si>
  <si>
    <t>7101 Virginia Pky</t>
  </si>
  <si>
    <t>Villas At Stonebridge Ranch</t>
  </si>
  <si>
    <t>Simpson Property Group, LLC</t>
  </si>
  <si>
    <t>Simpson - Villas at Stonebridge Ranch</t>
  </si>
  <si>
    <t>Preddicord Protection Trust</t>
  </si>
  <si>
    <t>75071-5753</t>
  </si>
  <si>
    <t>12/01/2036</t>
  </si>
  <si>
    <t>9399 Wade Blvd</t>
  </si>
  <si>
    <t>Wade Crossing</t>
  </si>
  <si>
    <t>Price Brothers - Wade Crossing Apts</t>
  </si>
  <si>
    <t>KAP Wade Crossing, LLC</t>
  </si>
  <si>
    <t>75035-2115</t>
  </si>
  <si>
    <t>9400 Wade Blvd</t>
  </si>
  <si>
    <t>The Vineyards Apartments</t>
  </si>
  <si>
    <t>Michelson Realty Company LLC</t>
  </si>
  <si>
    <t>Michelson - The Vineyards Apartment Homes</t>
  </si>
  <si>
    <t>Ucm &amp; Michelson-Vineyards</t>
  </si>
  <si>
    <t>75035-6527</t>
  </si>
  <si>
    <t>8568 Warren Pky</t>
  </si>
  <si>
    <t>Republic House at Frisco Bridges</t>
  </si>
  <si>
    <t>Marubeni Corporation</t>
  </si>
  <si>
    <t>Greystar - Republic House at Frisco Bridges</t>
  </si>
  <si>
    <t>Ztv Co Ltd</t>
  </si>
  <si>
    <t>10/04/2027</t>
  </si>
  <si>
    <t>2403 N Washington Ave</t>
  </si>
  <si>
    <t>Broadstone Paragon</t>
  </si>
  <si>
    <t>Alliance Residential Company</t>
  </si>
  <si>
    <t>Willow Bridge - Broadstone Paragon</t>
  </si>
  <si>
    <t>Broadstone CityPlace Owner, LP</t>
  </si>
  <si>
    <t>909 S Washington St</t>
  </si>
  <si>
    <t>Landings at Pilot Point Apartments</t>
  </si>
  <si>
    <t>AMBO - The Landings</t>
  </si>
  <si>
    <t>909 S Washington Llc</t>
  </si>
  <si>
    <t>Pilot Point</t>
  </si>
  <si>
    <t>76258-4356</t>
  </si>
  <si>
    <t>500 Waters Edge Dr</t>
  </si>
  <si>
    <t>Water's Edge Condominium</t>
  </si>
  <si>
    <t>Deborah Trimble</t>
  </si>
  <si>
    <t>75065</t>
  </si>
  <si>
    <t>3400 Welborn St</t>
  </si>
  <si>
    <t>Wyndemere Condominium</t>
  </si>
  <si>
    <t>De Fex And Sons Llc</t>
  </si>
  <si>
    <t>525 W Westchester Pky</t>
  </si>
  <si>
    <t>MAA Grand Courtyards</t>
  </si>
  <si>
    <t>MAA - MAA Grand Courtyards</t>
  </si>
  <si>
    <t>Mid America Apt Of Texas</t>
  </si>
  <si>
    <t>620 W Westchester Pky</t>
  </si>
  <si>
    <t>NeuRock of Westchester</t>
  </si>
  <si>
    <t>NPM - NeuRock of Westchester</t>
  </si>
  <si>
    <t>Grand Prairie Housing Finance Corporation</t>
  </si>
  <si>
    <t>17200 Westgrove Dr</t>
  </si>
  <si>
    <t>Camden Addison</t>
  </si>
  <si>
    <t>Camden - Camden Addison</t>
  </si>
  <si>
    <t>CPT Addison</t>
  </si>
  <si>
    <t>2301 W White Ave</t>
  </si>
  <si>
    <t>The Larkin</t>
  </si>
  <si>
    <t>AGL - The Larkin</t>
  </si>
  <si>
    <t>75071-3119</t>
  </si>
  <si>
    <t>9215 White Rock Trl</t>
  </si>
  <si>
    <t>Whiterock Court</t>
  </si>
  <si>
    <t>Discovery - Whiterock Court</t>
  </si>
  <si>
    <t>Nic 13 Whiterock Court Owner LLC</t>
  </si>
  <si>
    <t>5000 Whitestone Ln</t>
  </si>
  <si>
    <t>Waters Edge</t>
  </si>
  <si>
    <t>Adara - Waters Edge</t>
  </si>
  <si>
    <t>Sagar Edge Master, LLC</t>
  </si>
  <si>
    <t>75024-3031</t>
  </si>
  <si>
    <t>5135 Willis Ave</t>
  </si>
  <si>
    <t>Eastbridge Apartments</t>
  </si>
  <si>
    <t>Lower Greenville</t>
  </si>
  <si>
    <t>Willow Bridge - Eastbridge</t>
  </si>
  <si>
    <t>Eastbridge Apartments Po, LP</t>
  </si>
  <si>
    <t>75206-6481</t>
  </si>
  <si>
    <t>901 Wilson Creek Pky</t>
  </si>
  <si>
    <t>Treymore in McKinney Apartments</t>
  </si>
  <si>
    <t>UAG - Treymore in McKinney Apartments</t>
  </si>
  <si>
    <t>Carleton Mckinney Ltd</t>
  </si>
  <si>
    <t>75069-5375</t>
  </si>
  <si>
    <t>6300 Windcrest Dr</t>
  </si>
  <si>
    <t>Creekside at Legacy</t>
  </si>
  <si>
    <t>Key Real Estate Company</t>
  </si>
  <si>
    <t>Key Real Estate - Creekside at Legacy</t>
  </si>
  <si>
    <t>Key Creekside Llc</t>
  </si>
  <si>
    <t>6400 Windcrest Dr</t>
  </si>
  <si>
    <t>Windsor at Legacy</t>
  </si>
  <si>
    <t>Windsor - Windsor at Legacy</t>
  </si>
  <si>
    <t>Mainstay Legacy Plano LP</t>
  </si>
  <si>
    <t>6201 Windhaven Pky</t>
  </si>
  <si>
    <t>Windhaven Park</t>
  </si>
  <si>
    <t>TPG Angelo Gordon &amp; Co., L.P.</t>
  </si>
  <si>
    <t>Hilltop - Windhaven Park</t>
  </si>
  <si>
    <t>Carlos Verandel Johnson</t>
  </si>
  <si>
    <t>6301 Windhaven Pky</t>
  </si>
  <si>
    <t>The Livingston Apartments</t>
  </si>
  <si>
    <t>RPC Realty, Inc.</t>
  </si>
  <si>
    <t>Greystar - The Livingston Apartments</t>
  </si>
  <si>
    <t>GP-RPC LIVINGSTON LLC</t>
  </si>
  <si>
    <t>6815-6855 Windhaven Pky</t>
  </si>
  <si>
    <t>The Flatiron District at Austin Ranch</t>
  </si>
  <si>
    <t>Willow Bridge - The Flatiron District</t>
  </si>
  <si>
    <t>Ar Phase 1 Llc</t>
  </si>
  <si>
    <t>2208-2210 Winsted Dr</t>
  </si>
  <si>
    <t>Winsted at White Rock Lake Apartments</t>
  </si>
  <si>
    <t>Lakewood-Dallas</t>
  </si>
  <si>
    <t>Valiant - Winsted at White Rock</t>
  </si>
  <si>
    <t>Spi Winsted 314 De LLC</t>
  </si>
  <si>
    <t>75214-3890</t>
  </si>
  <si>
    <t>2201 Wolf St</t>
  </si>
  <si>
    <t>Topaz  Townhomes in Uptown</t>
  </si>
  <si>
    <t>Topaz Townhomes in Uptown</t>
  </si>
  <si>
    <t>BPMI Properties, Inc.</t>
  </si>
  <si>
    <t>Elaine M Phillips</t>
  </si>
  <si>
    <t>75201-1115</t>
  </si>
  <si>
    <t>1661 Woodard Ave</t>
  </si>
  <si>
    <t>Cleburne Terrace</t>
  </si>
  <si>
    <t>Luma Residential - Cleburne Terrace</t>
  </si>
  <si>
    <t>Cbt Associates Ltd</t>
  </si>
  <si>
    <t>2104 Worth St</t>
  </si>
  <si>
    <t>Mayfield Park Apartments</t>
  </si>
  <si>
    <t>AOG Living - Mayfield Park Apartments</t>
  </si>
  <si>
    <t>76014</t>
  </si>
  <si>
    <t>2305 Worthington St</t>
  </si>
  <si>
    <t>Belvedere Condominiums</t>
  </si>
  <si>
    <t>Glenda De Leon</t>
  </si>
  <si>
    <t>11/26/2054</t>
  </si>
  <si>
    <t>923 Yellow Jacket Ln</t>
  </si>
  <si>
    <t>Mission Rockwall</t>
  </si>
  <si>
    <t>Greystar - Mission Rockwall Apartments</t>
  </si>
  <si>
    <t>923 Yellow Rockwall Llc</t>
  </si>
  <si>
    <t>Rockwall</t>
  </si>
  <si>
    <t>75087</t>
  </si>
  <si>
    <t>2300 Yorkstown Dr</t>
  </si>
  <si>
    <t>The Willows</t>
  </si>
  <si>
    <t>Marcus &amp; Millichap</t>
  </si>
  <si>
    <t>Richmark - The Willows</t>
  </si>
  <si>
    <t>Willows Ennis 84 Spe Llc</t>
  </si>
  <si>
    <t>75119-8208</t>
  </si>
  <si>
    <t>102 Aster Ln</t>
  </si>
  <si>
    <t>Ennis Mobile Home Park</t>
  </si>
  <si>
    <t>Impact Communities</t>
  </si>
  <si>
    <t>Ennis MHP LLC</t>
  </si>
  <si>
    <t>75119-1515</t>
  </si>
  <si>
    <t>2339 Bloomfield Dr</t>
  </si>
  <si>
    <t>Wesley Commons</t>
  </si>
  <si>
    <t>Nabil Raouf Yousif Rassam</t>
  </si>
  <si>
    <t>Rassam Properties Llc Series A</t>
  </si>
  <si>
    <t>76012-3675</t>
  </si>
  <si>
    <t>4700 Diaz Ave</t>
  </si>
  <si>
    <t>John Holmes</t>
  </si>
  <si>
    <t>Pat Gray - 4700 Diaz Ave</t>
  </si>
  <si>
    <t>Arlington Heights Manor Ltd</t>
  </si>
  <si>
    <t>3245 Donnelly Cir</t>
  </si>
  <si>
    <t>Hulen Heights Apartments</t>
  </si>
  <si>
    <t>76107-5446</t>
  </si>
  <si>
    <t>12/01/2052</t>
  </si>
  <si>
    <t>570 W Lawson Rd</t>
  </si>
  <si>
    <t>Las Brisas Mobile Home</t>
  </si>
  <si>
    <t>Joyeria La Amistad</t>
  </si>
  <si>
    <t>Ow Las Brisas Llc</t>
  </si>
  <si>
    <t>75253-6266</t>
  </si>
  <si>
    <t>3750 Pockrus Paige Rd</t>
  </si>
  <si>
    <t>Sherwood Mobile Home Park</t>
  </si>
  <si>
    <t>Sheldon Bromberg</t>
  </si>
  <si>
    <t>Sherwood Mobile Home Park LLC</t>
  </si>
  <si>
    <t>76208-5866</t>
  </si>
  <si>
    <t>8100 Precinct Line Rd</t>
  </si>
  <si>
    <t>Oak Leaf Mobile Home Park</t>
  </si>
  <si>
    <t>Oak Leaf MHC LLC</t>
  </si>
  <si>
    <t>6603 Spring Hill Ln</t>
  </si>
  <si>
    <t>Southfork Homes</t>
  </si>
  <si>
    <t>Sisk Beverly</t>
  </si>
  <si>
    <t>Krum</t>
  </si>
  <si>
    <t>76249-7059</t>
  </si>
  <si>
    <t>3853 Trinity Hills Ln</t>
  </si>
  <si>
    <t>Trinty Place</t>
  </si>
  <si>
    <t>Levell Ronald T</t>
  </si>
  <si>
    <t>76040-7259</t>
  </si>
  <si>
    <t>3600 Waketon Rd</t>
  </si>
  <si>
    <t>David P Lansing</t>
  </si>
  <si>
    <t>75028-2460</t>
  </si>
  <si>
    <t>1140 Westmount Ave</t>
  </si>
  <si>
    <t>NRH MHP, Inc.</t>
  </si>
  <si>
    <t>Dallas Sunset Mhp Llc</t>
  </si>
  <si>
    <t>75211-2544</t>
  </si>
  <si>
    <t>Estimated Annual Rental Collection @ 90% economic Occupancy</t>
  </si>
  <si>
    <t>Total Revenue @ $150/unit Other Income</t>
  </si>
  <si>
    <t>NOI @ 50% OPEX</t>
  </si>
  <si>
    <t>PP @ 6% Cap</t>
  </si>
  <si>
    <t>PP/Unit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</si>
</sst>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\$#,##0"/>
    <numFmt numFmtId="166" formatCode="#,##0.0"/>
    <numFmt numFmtId="167" formatCode="#0.#######"/>
    <numFmt numFmtId="168" formatCode="###0.00"/>
  </numFmts>
  <fonts count="3" x14ac:knownFonts="1">
    <font>
      <sz val="11"/>
      <color theme="1"/>
      <name val="Calibri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0" applyFont="1"/>
    <xf numFmtId="1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F74BE-CD70-412D-934A-00B9C9976DCE}">
  <dimension ref="A1:BO821"/>
  <sheetViews>
    <sheetView tabSelected="1" workbookViewId="0">
      <selection activeCell="C26" sqref="C26"/>
    </sheetView>
  </sheetViews>
  <sheetFormatPr defaultRowHeight="15" x14ac:dyDescent="0.25"/>
  <cols>
    <col min="1" max="1" width="29.140625" bestFit="1" customWidth="1"/>
    <col min="2" max="2" width="39.28515625" bestFit="1" customWidth="1"/>
    <col min="3" max="3" width="59" style="4" bestFit="1" customWidth="1"/>
    <col min="4" max="4" width="38.42578125" style="4" bestFit="1" customWidth="1"/>
    <col min="5" max="5" width="16" style="4" bestFit="1" customWidth="1"/>
    <col min="6" max="6" width="12.28515625" style="4" bestFit="1" customWidth="1"/>
    <col min="7" max="7" width="8.5703125" style="4" bestFit="1" customWidth="1"/>
    <col min="8" max="8" width="16.28515625" style="1" bestFit="1" customWidth="1"/>
    <col min="9" max="9" width="9.7109375" style="1" bestFit="1" customWidth="1"/>
    <col min="10" max="10" width="19.85546875" bestFit="1" customWidth="1"/>
    <col min="11" max="11" width="30.5703125" bestFit="1" customWidth="1"/>
    <col min="12" max="12" width="46.140625" bestFit="1" customWidth="1"/>
    <col min="13" max="13" width="48.42578125" bestFit="1" customWidth="1"/>
    <col min="14" max="14" width="60.7109375" bestFit="1" customWidth="1"/>
    <col min="15" max="15" width="46.140625" bestFit="1" customWidth="1"/>
    <col min="16" max="16" width="10.85546875" style="1" bestFit="1" customWidth="1"/>
    <col min="17" max="17" width="13.28515625" bestFit="1" customWidth="1"/>
    <col min="18" max="18" width="13.7109375" bestFit="1" customWidth="1"/>
    <col min="19" max="19" width="38.42578125" bestFit="1" customWidth="1"/>
    <col min="20" max="20" width="15.42578125" bestFit="1" customWidth="1"/>
    <col min="21" max="21" width="17" hidden="1" customWidth="1"/>
    <col min="22" max="22" width="18.42578125" hidden="1" customWidth="1"/>
    <col min="23" max="23" width="5.7109375" hidden="1" customWidth="1"/>
    <col min="24" max="24" width="11.5703125" hidden="1" customWidth="1"/>
    <col min="25" max="25" width="11.28515625" style="2" bestFit="1" customWidth="1"/>
    <col min="26" max="26" width="13.7109375" style="3" bestFit="1" customWidth="1"/>
    <col min="27" max="27" width="15.5703125" style="4" bestFit="1" customWidth="1"/>
    <col min="28" max="28" width="13.140625" style="4" bestFit="1" customWidth="1"/>
    <col min="29" max="29" width="9" style="2" bestFit="1" customWidth="1"/>
    <col min="30" max="30" width="20.85546875" style="4" bestFit="1" customWidth="1"/>
    <col min="31" max="31" width="32" bestFit="1" customWidth="1"/>
    <col min="32" max="32" width="21.42578125" bestFit="1" customWidth="1"/>
    <col min="33" max="33" width="26" bestFit="1" customWidth="1"/>
    <col min="34" max="34" width="19.85546875" bestFit="1" customWidth="1"/>
    <col min="35" max="35" width="17.28515625" bestFit="1" customWidth="1"/>
    <col min="36" max="36" width="21.140625" bestFit="1" customWidth="1"/>
    <col min="37" max="37" width="10.5703125" style="5" bestFit="1" customWidth="1"/>
    <col min="38" max="38" width="11.85546875" style="1" bestFit="1" customWidth="1"/>
    <col min="39" max="39" width="15.28515625" style="1" bestFit="1" customWidth="1"/>
    <col min="40" max="40" width="17.7109375" style="1" bestFit="1" customWidth="1"/>
    <col min="41" max="41" width="12.85546875" bestFit="1" customWidth="1"/>
    <col min="42" max="42" width="10" bestFit="1" customWidth="1"/>
    <col min="43" max="43" width="14" bestFit="1" customWidth="1"/>
    <col min="44" max="44" width="27.7109375" style="3" bestFit="1" customWidth="1"/>
    <col min="45" max="45" width="29.5703125" style="4" bestFit="1" customWidth="1"/>
    <col min="46" max="46" width="20" style="1" bestFit="1" customWidth="1"/>
    <col min="47" max="47" width="29" style="3" bestFit="1" customWidth="1"/>
    <col min="48" max="48" width="30.85546875" style="4" bestFit="1" customWidth="1"/>
    <col min="49" max="49" width="21.42578125" style="1" bestFit="1" customWidth="1"/>
    <col min="50" max="50" width="13.5703125" style="3" bestFit="1" customWidth="1"/>
    <col min="51" max="51" width="20.85546875" style="3" bestFit="1" customWidth="1"/>
    <col min="52" max="52" width="22.7109375" style="4" bestFit="1" customWidth="1"/>
    <col min="53" max="53" width="13.140625" style="6" bestFit="1" customWidth="1"/>
    <col min="54" max="54" width="13.140625" bestFit="1" customWidth="1"/>
    <col min="55" max="55" width="12.42578125" style="7" bestFit="1" customWidth="1"/>
    <col min="56" max="56" width="27.5703125" style="3" bestFit="1" customWidth="1"/>
    <col min="57" max="57" width="29.42578125" style="4" bestFit="1" customWidth="1"/>
    <col min="58" max="58" width="19.85546875" style="1" bestFit="1" customWidth="1"/>
    <col min="59" max="62" width="26.5703125" style="1" bestFit="1" customWidth="1"/>
    <col min="63" max="63" width="13.7109375" bestFit="1" customWidth="1"/>
    <col min="64" max="64" width="25.140625" bestFit="1" customWidth="1"/>
    <col min="65" max="65" width="28" style="3" bestFit="1" customWidth="1"/>
    <col min="66" max="66" width="29.85546875" style="4" bestFit="1" customWidth="1"/>
    <col min="67" max="67" width="20.28515625" style="1" bestFit="1" customWidth="1"/>
  </cols>
  <sheetData>
    <row r="1" spans="1:67" x14ac:dyDescent="0.25">
      <c r="A1" s="8" t="s">
        <v>0</v>
      </c>
      <c r="B1" s="8" t="s">
        <v>1</v>
      </c>
      <c r="C1" s="16" t="s">
        <v>4334</v>
      </c>
      <c r="D1" s="16" t="s">
        <v>4335</v>
      </c>
      <c r="E1" s="16" t="s">
        <v>4336</v>
      </c>
      <c r="F1" s="16" t="s">
        <v>4337</v>
      </c>
      <c r="G1" s="16" t="s">
        <v>4338</v>
      </c>
      <c r="H1" s="9" t="s">
        <v>2</v>
      </c>
      <c r="I1" s="9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9" t="s">
        <v>10</v>
      </c>
      <c r="Q1" s="8" t="s">
        <v>11</v>
      </c>
      <c r="R1" s="8" t="s">
        <v>12</v>
      </c>
      <c r="S1" s="8" t="s">
        <v>13</v>
      </c>
      <c r="T1" s="8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10" t="s">
        <v>19</v>
      </c>
      <c r="Z1" s="11" t="s">
        <v>20</v>
      </c>
      <c r="AA1" s="12" t="s">
        <v>21</v>
      </c>
      <c r="AB1" s="12" t="s">
        <v>22</v>
      </c>
      <c r="AC1" s="10" t="s">
        <v>23</v>
      </c>
      <c r="AD1" s="12" t="s">
        <v>24</v>
      </c>
      <c r="AE1" s="8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8" t="s">
        <v>30</v>
      </c>
      <c r="AK1" s="13" t="s">
        <v>31</v>
      </c>
      <c r="AL1" s="9" t="s">
        <v>32</v>
      </c>
      <c r="AM1" s="9" t="s">
        <v>33</v>
      </c>
      <c r="AN1" s="9" t="s">
        <v>34</v>
      </c>
      <c r="AO1" s="8" t="s">
        <v>35</v>
      </c>
      <c r="AP1" s="8" t="s">
        <v>36</v>
      </c>
      <c r="AQ1" s="8" t="s">
        <v>37</v>
      </c>
      <c r="AR1" s="11" t="s">
        <v>38</v>
      </c>
      <c r="AS1" s="12" t="s">
        <v>39</v>
      </c>
      <c r="AT1" s="9" t="s">
        <v>40</v>
      </c>
      <c r="AU1" s="11" t="s">
        <v>41</v>
      </c>
      <c r="AV1" s="12" t="s">
        <v>42</v>
      </c>
      <c r="AW1" s="9" t="s">
        <v>43</v>
      </c>
      <c r="AX1" s="11" t="s">
        <v>44</v>
      </c>
      <c r="AY1" s="11" t="s">
        <v>45</v>
      </c>
      <c r="AZ1" s="12" t="s">
        <v>46</v>
      </c>
      <c r="BA1" s="14" t="s">
        <v>47</v>
      </c>
      <c r="BB1" s="8" t="s">
        <v>48</v>
      </c>
      <c r="BC1" s="15" t="s">
        <v>49</v>
      </c>
      <c r="BD1" s="11" t="s">
        <v>50</v>
      </c>
      <c r="BE1" s="12" t="s">
        <v>51</v>
      </c>
      <c r="BF1" s="9" t="s">
        <v>52</v>
      </c>
      <c r="BG1" s="9" t="s">
        <v>53</v>
      </c>
      <c r="BH1" s="9" t="s">
        <v>54</v>
      </c>
      <c r="BI1" s="9" t="s">
        <v>55</v>
      </c>
      <c r="BJ1" s="9" t="s">
        <v>56</v>
      </c>
      <c r="BK1" s="8" t="s">
        <v>57</v>
      </c>
      <c r="BL1" s="8" t="s">
        <v>58</v>
      </c>
      <c r="BM1" s="11" t="s">
        <v>59</v>
      </c>
      <c r="BN1" s="12" t="s">
        <v>60</v>
      </c>
      <c r="BO1" s="9" t="s">
        <v>61</v>
      </c>
    </row>
    <row r="2" spans="1:67" x14ac:dyDescent="0.25">
      <c r="A2" t="s">
        <v>3873</v>
      </c>
      <c r="B2" t="s">
        <v>3874</v>
      </c>
      <c r="C2" s="4">
        <f>(AA2*(H2*0.9))*12</f>
        <v>395539.20000000007</v>
      </c>
      <c r="D2" s="4">
        <f>IF(C2=0,"",(H2*150*12)+C2)</f>
        <v>546739.20000000007</v>
      </c>
      <c r="E2" s="4">
        <f>IFERROR(D2*0.5,"")</f>
        <v>273369.60000000003</v>
      </c>
      <c r="F2" s="4">
        <f>IFERROR(E2/0.06,"")</f>
        <v>4556160.0000000009</v>
      </c>
      <c r="G2" s="4">
        <f>IFERROR(F2/H2,"")</f>
        <v>54240.000000000015</v>
      </c>
      <c r="H2" s="1">
        <v>84</v>
      </c>
      <c r="I2" s="1">
        <v>1997</v>
      </c>
      <c r="J2" t="s">
        <v>64</v>
      </c>
      <c r="K2" t="s">
        <v>3875</v>
      </c>
      <c r="L2" t="s">
        <v>3876</v>
      </c>
      <c r="M2" t="s">
        <v>3877</v>
      </c>
      <c r="N2" t="s">
        <v>3878</v>
      </c>
      <c r="O2" t="s">
        <v>3876</v>
      </c>
      <c r="P2" s="1">
        <v>3</v>
      </c>
      <c r="Q2" t="s">
        <v>91</v>
      </c>
      <c r="R2" t="s">
        <v>70</v>
      </c>
      <c r="S2" t="s">
        <v>71</v>
      </c>
      <c r="T2" t="s">
        <v>426</v>
      </c>
      <c r="U2" t="s">
        <v>72</v>
      </c>
      <c r="V2" t="s">
        <v>73</v>
      </c>
      <c r="W2" t="s">
        <v>74</v>
      </c>
      <c r="X2" t="s">
        <v>3879</v>
      </c>
      <c r="Y2" s="2">
        <v>602</v>
      </c>
      <c r="Z2" s="3">
        <v>0.72</v>
      </c>
      <c r="AA2" s="4">
        <v>436</v>
      </c>
      <c r="AK2" s="5">
        <v>0</v>
      </c>
      <c r="AN2" s="1">
        <v>1</v>
      </c>
      <c r="AO2" t="s">
        <v>81</v>
      </c>
      <c r="AP2" t="s">
        <v>82</v>
      </c>
      <c r="AQ2" t="s">
        <v>83</v>
      </c>
      <c r="AR2" s="3">
        <v>0.81</v>
      </c>
      <c r="AS2" s="4">
        <v>564</v>
      </c>
      <c r="AT2" s="1">
        <v>700</v>
      </c>
      <c r="BB2" t="s">
        <v>84</v>
      </c>
      <c r="BD2" s="3">
        <v>0.72</v>
      </c>
      <c r="BE2" s="4">
        <v>432</v>
      </c>
      <c r="BF2" s="1">
        <v>600</v>
      </c>
      <c r="BG2" s="1">
        <v>82</v>
      </c>
      <c r="BH2" s="1">
        <v>2</v>
      </c>
    </row>
    <row r="3" spans="1:67" x14ac:dyDescent="0.25">
      <c r="A3" t="s">
        <v>1160</v>
      </c>
      <c r="B3" t="s">
        <v>1161</v>
      </c>
      <c r="C3" s="4">
        <f>(AA3*(H3*0.9))*12</f>
        <v>327974.40000000002</v>
      </c>
      <c r="D3" s="4">
        <f>IF(C3=0,"",(H3*150*12)+C3)</f>
        <v>421574.40000000002</v>
      </c>
      <c r="E3" s="4">
        <f>IFERROR(D3*0.5,"")</f>
        <v>210787.20000000001</v>
      </c>
      <c r="F3" s="4">
        <f>IFERROR(E3/0.06,"")</f>
        <v>3513120.0000000005</v>
      </c>
      <c r="G3" s="4">
        <f>IFERROR(F3/H3,"")</f>
        <v>67560.000000000015</v>
      </c>
      <c r="H3" s="1">
        <v>52</v>
      </c>
      <c r="I3" s="1">
        <v>1989</v>
      </c>
      <c r="J3" t="s">
        <v>64</v>
      </c>
      <c r="K3" t="s">
        <v>1154</v>
      </c>
      <c r="L3" t="s">
        <v>1162</v>
      </c>
      <c r="M3" t="s">
        <v>1163</v>
      </c>
      <c r="N3" t="s">
        <v>1164</v>
      </c>
      <c r="O3" t="s">
        <v>1162</v>
      </c>
      <c r="P3" s="1">
        <v>3</v>
      </c>
      <c r="Q3" t="s">
        <v>91</v>
      </c>
      <c r="R3" t="s">
        <v>70</v>
      </c>
      <c r="S3" t="s">
        <v>71</v>
      </c>
      <c r="T3" t="s">
        <v>426</v>
      </c>
      <c r="U3" t="s">
        <v>72</v>
      </c>
      <c r="V3" t="s">
        <v>1158</v>
      </c>
      <c r="W3" t="s">
        <v>74</v>
      </c>
      <c r="X3" t="s">
        <v>1165</v>
      </c>
      <c r="Y3" s="2">
        <v>753</v>
      </c>
      <c r="Z3" s="3">
        <v>0.78</v>
      </c>
      <c r="AA3" s="4">
        <v>584</v>
      </c>
      <c r="AN3" s="1">
        <v>2</v>
      </c>
      <c r="AO3" t="s">
        <v>81</v>
      </c>
      <c r="AP3" t="s">
        <v>82</v>
      </c>
      <c r="AQ3" t="s">
        <v>83</v>
      </c>
      <c r="AR3" s="3">
        <v>0.76</v>
      </c>
      <c r="AS3" s="4">
        <v>600</v>
      </c>
      <c r="AT3" s="1">
        <v>791</v>
      </c>
      <c r="AX3" s="3">
        <v>22582.62</v>
      </c>
      <c r="BB3" t="s">
        <v>84</v>
      </c>
      <c r="BD3" s="3">
        <v>0.82</v>
      </c>
      <c r="BE3" s="4">
        <v>548</v>
      </c>
      <c r="BF3" s="1">
        <v>669</v>
      </c>
      <c r="BG3" s="1">
        <v>16</v>
      </c>
      <c r="BH3" s="1">
        <v>36</v>
      </c>
    </row>
    <row r="4" spans="1:67" x14ac:dyDescent="0.25">
      <c r="A4" t="s">
        <v>429</v>
      </c>
      <c r="B4" t="s">
        <v>430</v>
      </c>
      <c r="C4" s="4">
        <f>(AA4*(H4*0.9))*12</f>
        <v>337521.60000000003</v>
      </c>
      <c r="D4" s="4">
        <f>IF(C4=0,"",(H4*150*12)+C4)</f>
        <v>431121.60000000003</v>
      </c>
      <c r="E4" s="4">
        <f>IFERROR(D4*0.5,"")</f>
        <v>215560.80000000002</v>
      </c>
      <c r="F4" s="4">
        <f>IFERROR(E4/0.06,"")</f>
        <v>3592680.0000000005</v>
      </c>
      <c r="G4" s="4">
        <f>IFERROR(F4/H4,"")</f>
        <v>69090.000000000015</v>
      </c>
      <c r="H4" s="1">
        <v>52</v>
      </c>
      <c r="I4" s="1">
        <v>1986</v>
      </c>
      <c r="J4" t="s">
        <v>64</v>
      </c>
      <c r="K4" t="s">
        <v>431</v>
      </c>
      <c r="L4" t="s">
        <v>432</v>
      </c>
      <c r="M4" t="s">
        <v>433</v>
      </c>
      <c r="N4" t="s">
        <v>434</v>
      </c>
      <c r="O4" t="s">
        <v>432</v>
      </c>
      <c r="P4" s="1">
        <v>2</v>
      </c>
      <c r="Q4" t="s">
        <v>69</v>
      </c>
      <c r="R4" t="s">
        <v>70</v>
      </c>
      <c r="S4" t="s">
        <v>71</v>
      </c>
      <c r="T4" t="s">
        <v>118</v>
      </c>
      <c r="U4" t="s">
        <v>72</v>
      </c>
      <c r="V4" t="s">
        <v>435</v>
      </c>
      <c r="W4" t="s">
        <v>74</v>
      </c>
      <c r="X4" t="s">
        <v>436</v>
      </c>
      <c r="Y4" s="2">
        <v>848</v>
      </c>
      <c r="Z4" s="3">
        <v>0.71</v>
      </c>
      <c r="AA4" s="4">
        <v>601</v>
      </c>
      <c r="AN4" s="1">
        <v>2</v>
      </c>
      <c r="AO4" t="s">
        <v>81</v>
      </c>
      <c r="AP4" t="s">
        <v>82</v>
      </c>
      <c r="AQ4" t="s">
        <v>83</v>
      </c>
      <c r="AR4" s="3">
        <v>0.7</v>
      </c>
      <c r="AS4" s="4">
        <v>640</v>
      </c>
      <c r="AT4" s="1">
        <v>910</v>
      </c>
      <c r="AX4" s="3">
        <v>9297.52</v>
      </c>
      <c r="BB4" t="s">
        <v>84</v>
      </c>
      <c r="BD4" s="3">
        <v>0.72</v>
      </c>
      <c r="BE4" s="4">
        <v>513</v>
      </c>
      <c r="BF4" s="1">
        <v>710</v>
      </c>
      <c r="BG4" s="1">
        <v>16</v>
      </c>
      <c r="BH4" s="1">
        <v>36</v>
      </c>
    </row>
    <row r="5" spans="1:67" x14ac:dyDescent="0.25">
      <c r="A5" t="s">
        <v>2857</v>
      </c>
      <c r="B5" t="s">
        <v>2858</v>
      </c>
      <c r="C5" s="4">
        <f>(AA5*(H5*0.9))*12</f>
        <v>333720</v>
      </c>
      <c r="D5" s="4">
        <f>IF(C5=0,"",(H5*150*12)+C5)</f>
        <v>423720</v>
      </c>
      <c r="E5" s="4">
        <f>IFERROR(D5*0.5,"")</f>
        <v>211860</v>
      </c>
      <c r="F5" s="4">
        <f>IFERROR(E5/0.06,"")</f>
        <v>3531000</v>
      </c>
      <c r="G5" s="4">
        <f>IFERROR(F5/H5,"")</f>
        <v>70620</v>
      </c>
      <c r="H5" s="1">
        <v>50</v>
      </c>
      <c r="I5" s="1">
        <v>1991</v>
      </c>
      <c r="J5" t="s">
        <v>64</v>
      </c>
      <c r="K5" t="s">
        <v>280</v>
      </c>
      <c r="L5" t="s">
        <v>2859</v>
      </c>
      <c r="M5" t="s">
        <v>2860</v>
      </c>
      <c r="N5" t="s">
        <v>2861</v>
      </c>
      <c r="O5" t="s">
        <v>2859</v>
      </c>
      <c r="P5" s="1">
        <v>3</v>
      </c>
      <c r="Q5" t="s">
        <v>91</v>
      </c>
      <c r="R5" t="s">
        <v>70</v>
      </c>
      <c r="S5" t="s">
        <v>71</v>
      </c>
      <c r="T5" t="s">
        <v>118</v>
      </c>
      <c r="U5" t="s">
        <v>72</v>
      </c>
      <c r="V5" t="s">
        <v>523</v>
      </c>
      <c r="W5" t="s">
        <v>74</v>
      </c>
      <c r="X5" t="s">
        <v>2862</v>
      </c>
      <c r="Y5" s="2">
        <v>670</v>
      </c>
      <c r="Z5" s="3">
        <v>0.92</v>
      </c>
      <c r="AA5" s="4">
        <v>618</v>
      </c>
      <c r="AK5" s="5">
        <v>6</v>
      </c>
      <c r="AN5" s="1">
        <v>1</v>
      </c>
      <c r="AO5" t="s">
        <v>81</v>
      </c>
      <c r="AP5" t="s">
        <v>82</v>
      </c>
      <c r="AQ5" t="s">
        <v>83</v>
      </c>
      <c r="AR5" s="3">
        <v>0.86</v>
      </c>
      <c r="AS5" s="4">
        <v>739</v>
      </c>
      <c r="AT5" s="1">
        <v>864</v>
      </c>
      <c r="AX5" s="3">
        <v>23320.15</v>
      </c>
      <c r="BB5" t="s">
        <v>84</v>
      </c>
      <c r="BD5" s="3">
        <v>0.94</v>
      </c>
      <c r="BE5" s="4">
        <v>595</v>
      </c>
      <c r="BF5" s="1">
        <v>634</v>
      </c>
      <c r="BG5" s="1">
        <v>42</v>
      </c>
      <c r="BH5" s="1">
        <v>8</v>
      </c>
    </row>
    <row r="6" spans="1:67" x14ac:dyDescent="0.25">
      <c r="A6" t="s">
        <v>1447</v>
      </c>
      <c r="B6" t="s">
        <v>1448</v>
      </c>
      <c r="C6" s="4">
        <f>(AA6*(H6*0.9))*12</f>
        <v>335340</v>
      </c>
      <c r="D6" s="4">
        <f>IF(C6=0,"",(H6*150*12)+C6)</f>
        <v>425340</v>
      </c>
      <c r="E6" s="4">
        <f>IFERROR(D6*0.5,"")</f>
        <v>212670</v>
      </c>
      <c r="F6" s="4">
        <f>IFERROR(E6/0.06,"")</f>
        <v>3544500</v>
      </c>
      <c r="G6" s="4">
        <f>IFERROR(F6/H6,"")</f>
        <v>70890</v>
      </c>
      <c r="H6" s="1">
        <v>50</v>
      </c>
      <c r="I6" s="1">
        <v>1985</v>
      </c>
      <c r="J6" t="s">
        <v>64</v>
      </c>
      <c r="K6" t="s">
        <v>439</v>
      </c>
      <c r="L6" t="s">
        <v>1449</v>
      </c>
      <c r="M6" t="s">
        <v>1450</v>
      </c>
      <c r="N6" t="s">
        <v>1451</v>
      </c>
      <c r="O6" t="s">
        <v>1449</v>
      </c>
      <c r="P6" s="1">
        <v>3</v>
      </c>
      <c r="Q6" t="s">
        <v>91</v>
      </c>
      <c r="R6" t="s">
        <v>70</v>
      </c>
      <c r="S6" t="s">
        <v>71</v>
      </c>
      <c r="U6" t="s">
        <v>72</v>
      </c>
      <c r="V6" t="s">
        <v>1452</v>
      </c>
      <c r="W6" t="s">
        <v>74</v>
      </c>
      <c r="X6" t="s">
        <v>1453</v>
      </c>
      <c r="Y6" s="2">
        <v>799</v>
      </c>
      <c r="Z6" s="3">
        <v>0.78</v>
      </c>
      <c r="AA6" s="4">
        <v>621</v>
      </c>
      <c r="AK6" s="5">
        <v>2</v>
      </c>
      <c r="AN6" s="1">
        <v>2</v>
      </c>
      <c r="AO6" t="s">
        <v>81</v>
      </c>
      <c r="AP6" t="s">
        <v>82</v>
      </c>
      <c r="AQ6" t="s">
        <v>83</v>
      </c>
      <c r="AR6" s="3">
        <v>0.78</v>
      </c>
      <c r="AS6" s="4">
        <v>643</v>
      </c>
      <c r="AT6" s="1">
        <v>825</v>
      </c>
      <c r="AU6" s="3">
        <v>0.77</v>
      </c>
      <c r="AV6" s="4">
        <v>789</v>
      </c>
      <c r="AW6" s="1">
        <v>1025</v>
      </c>
      <c r="AX6" s="3">
        <v>20439.14</v>
      </c>
      <c r="BB6" t="s">
        <v>84</v>
      </c>
      <c r="BD6" s="3">
        <v>0.77</v>
      </c>
      <c r="BE6" s="4">
        <v>522</v>
      </c>
      <c r="BF6" s="1">
        <v>675</v>
      </c>
      <c r="BG6" s="1">
        <v>14</v>
      </c>
      <c r="BH6" s="1">
        <v>32</v>
      </c>
      <c r="BI6" s="1">
        <v>4</v>
      </c>
    </row>
    <row r="7" spans="1:67" x14ac:dyDescent="0.25">
      <c r="A7" t="s">
        <v>3959</v>
      </c>
      <c r="B7" t="s">
        <v>3960</v>
      </c>
      <c r="C7" s="4">
        <f>(AA7*(H7*0.9))*12</f>
        <v>609444</v>
      </c>
      <c r="D7" s="4">
        <f>IF(C7=0,"",(H7*150*12)+C7)</f>
        <v>771444</v>
      </c>
      <c r="E7" s="4">
        <f>IFERROR(D7*0.5,"")</f>
        <v>385722</v>
      </c>
      <c r="F7" s="4">
        <f>IFERROR(E7/0.06,"")</f>
        <v>6428700</v>
      </c>
      <c r="G7" s="4">
        <f>IFERROR(F7/H7,"")</f>
        <v>71430</v>
      </c>
      <c r="H7" s="1">
        <v>90</v>
      </c>
      <c r="I7" s="1">
        <v>1998</v>
      </c>
      <c r="J7" t="s">
        <v>64</v>
      </c>
      <c r="K7" t="s">
        <v>493</v>
      </c>
      <c r="L7" t="s">
        <v>432</v>
      </c>
      <c r="M7" t="s">
        <v>3961</v>
      </c>
      <c r="N7" t="s">
        <v>3962</v>
      </c>
      <c r="O7" t="s">
        <v>432</v>
      </c>
      <c r="P7" s="1">
        <v>3</v>
      </c>
      <c r="Q7" t="s">
        <v>91</v>
      </c>
      <c r="R7" t="s">
        <v>70</v>
      </c>
      <c r="S7" t="s">
        <v>71</v>
      </c>
      <c r="T7" t="s">
        <v>118</v>
      </c>
      <c r="U7" t="s">
        <v>72</v>
      </c>
      <c r="V7" t="s">
        <v>497</v>
      </c>
      <c r="W7" t="s">
        <v>74</v>
      </c>
      <c r="X7" t="s">
        <v>3963</v>
      </c>
      <c r="Y7" s="2">
        <v>779</v>
      </c>
      <c r="Z7" s="3">
        <v>0.8</v>
      </c>
      <c r="AA7" s="4">
        <v>627</v>
      </c>
      <c r="AK7" s="5">
        <v>5.5556000000000001</v>
      </c>
      <c r="AL7" s="1">
        <v>5</v>
      </c>
      <c r="AN7" s="1">
        <v>1</v>
      </c>
      <c r="AO7" t="s">
        <v>81</v>
      </c>
      <c r="AP7" t="s">
        <v>82</v>
      </c>
      <c r="AQ7" t="s">
        <v>83</v>
      </c>
      <c r="AR7" s="3">
        <v>0.82</v>
      </c>
      <c r="AS7" s="4">
        <v>678</v>
      </c>
      <c r="AT7" s="1">
        <v>825</v>
      </c>
      <c r="AU7" s="3">
        <v>0.78</v>
      </c>
      <c r="AV7" s="4">
        <v>758</v>
      </c>
      <c r="AW7" s="1">
        <v>975</v>
      </c>
      <c r="AX7" s="3">
        <v>29122.720000000001</v>
      </c>
      <c r="BB7" t="s">
        <v>84</v>
      </c>
      <c r="BD7" s="3">
        <v>0.78</v>
      </c>
      <c r="BE7" s="4">
        <v>513</v>
      </c>
      <c r="BF7" s="1">
        <v>660</v>
      </c>
      <c r="BG7" s="1">
        <v>32</v>
      </c>
      <c r="BH7" s="1">
        <v>50</v>
      </c>
      <c r="BI7" s="1">
        <v>8</v>
      </c>
    </row>
    <row r="8" spans="1:67" x14ac:dyDescent="0.25">
      <c r="A8" t="s">
        <v>1111</v>
      </c>
      <c r="B8" t="s">
        <v>1112</v>
      </c>
      <c r="C8" s="4">
        <f>(AA8*(H8*0.9))*12</f>
        <v>377956.80000000005</v>
      </c>
      <c r="D8" s="4">
        <f>IF(C8=0,"",(H8*150*12)+C8)</f>
        <v>471556.80000000005</v>
      </c>
      <c r="E8" s="4">
        <f>IFERROR(D8*0.5,"")</f>
        <v>235778.40000000002</v>
      </c>
      <c r="F8" s="4">
        <f>IFERROR(E8/0.06,"")</f>
        <v>3929640.0000000005</v>
      </c>
      <c r="G8" s="4">
        <f>IFERROR(F8/H8,"")</f>
        <v>75570.000000000015</v>
      </c>
      <c r="H8" s="1">
        <v>52</v>
      </c>
      <c r="I8" s="1">
        <v>1985</v>
      </c>
      <c r="J8" t="s">
        <v>64</v>
      </c>
      <c r="K8" t="s">
        <v>148</v>
      </c>
      <c r="L8" t="s">
        <v>432</v>
      </c>
      <c r="M8" t="s">
        <v>1113</v>
      </c>
      <c r="N8" t="s">
        <v>1114</v>
      </c>
      <c r="O8" t="s">
        <v>432</v>
      </c>
      <c r="P8" s="1">
        <v>3</v>
      </c>
      <c r="Q8" t="s">
        <v>91</v>
      </c>
      <c r="R8" t="s">
        <v>70</v>
      </c>
      <c r="S8" t="s">
        <v>71</v>
      </c>
      <c r="T8" t="s">
        <v>118</v>
      </c>
      <c r="U8" t="s">
        <v>72</v>
      </c>
      <c r="V8" t="s">
        <v>1115</v>
      </c>
      <c r="W8" t="s">
        <v>74</v>
      </c>
      <c r="X8" t="s">
        <v>1116</v>
      </c>
      <c r="Y8" s="2">
        <v>772</v>
      </c>
      <c r="Z8" s="3">
        <v>0.87</v>
      </c>
      <c r="AA8" s="4">
        <v>673</v>
      </c>
      <c r="AK8" s="5">
        <v>11.538500000000001</v>
      </c>
      <c r="AM8" s="1">
        <v>2011</v>
      </c>
      <c r="AN8" s="1">
        <v>2</v>
      </c>
      <c r="AO8" t="s">
        <v>81</v>
      </c>
      <c r="AP8" t="s">
        <v>82</v>
      </c>
      <c r="AQ8" t="s">
        <v>83</v>
      </c>
      <c r="AR8" s="3">
        <v>0.87</v>
      </c>
      <c r="AS8" s="4">
        <v>700</v>
      </c>
      <c r="AT8" s="1">
        <v>803</v>
      </c>
      <c r="AX8" s="3">
        <v>29322.25</v>
      </c>
      <c r="BB8" t="s">
        <v>84</v>
      </c>
      <c r="BD8" s="3">
        <v>0.87</v>
      </c>
      <c r="BE8" s="4">
        <v>585</v>
      </c>
      <c r="BF8" s="1">
        <v>671</v>
      </c>
      <c r="BG8" s="1">
        <v>12</v>
      </c>
      <c r="BH8" s="1">
        <v>40</v>
      </c>
    </row>
    <row r="9" spans="1:67" x14ac:dyDescent="0.25">
      <c r="A9" t="s">
        <v>636</v>
      </c>
      <c r="B9" t="s">
        <v>637</v>
      </c>
      <c r="C9" s="4">
        <f>(AA9*(H9*0.9))*12</f>
        <v>489240</v>
      </c>
      <c r="D9" s="4">
        <f>IF(C9=0,"",(H9*150*12)+C9)</f>
        <v>597240</v>
      </c>
      <c r="E9" s="4">
        <f>IFERROR(D9*0.5,"")</f>
        <v>298620</v>
      </c>
      <c r="F9" s="4">
        <f>IFERROR(E9/0.06,"")</f>
        <v>4977000</v>
      </c>
      <c r="G9" s="4">
        <f>IFERROR(F9/H9,"")</f>
        <v>82950</v>
      </c>
      <c r="H9" s="1">
        <v>60</v>
      </c>
      <c r="I9" s="1">
        <v>1986</v>
      </c>
      <c r="J9" t="s">
        <v>64</v>
      </c>
      <c r="K9" t="s">
        <v>638</v>
      </c>
      <c r="L9" t="s">
        <v>639</v>
      </c>
      <c r="M9" t="s">
        <v>637</v>
      </c>
      <c r="N9" t="s">
        <v>639</v>
      </c>
      <c r="O9" t="s">
        <v>639</v>
      </c>
      <c r="P9" s="1">
        <v>3</v>
      </c>
      <c r="Q9" t="s">
        <v>69</v>
      </c>
      <c r="R9" t="s">
        <v>70</v>
      </c>
      <c r="S9" t="s">
        <v>71</v>
      </c>
      <c r="U9" t="s">
        <v>72</v>
      </c>
      <c r="V9" t="s">
        <v>640</v>
      </c>
      <c r="W9" t="s">
        <v>74</v>
      </c>
      <c r="X9" t="s">
        <v>641</v>
      </c>
      <c r="Y9" s="2">
        <v>692</v>
      </c>
      <c r="Z9" s="3">
        <v>1.0900000000000001</v>
      </c>
      <c r="AA9" s="4">
        <v>755</v>
      </c>
      <c r="AK9" s="5">
        <v>1.6667000000000001</v>
      </c>
      <c r="AN9" s="1">
        <v>2</v>
      </c>
      <c r="AO9" t="s">
        <v>81</v>
      </c>
      <c r="AP9" t="s">
        <v>82</v>
      </c>
      <c r="AQ9" t="s">
        <v>83</v>
      </c>
      <c r="AR9" s="3">
        <v>1.0900000000000001</v>
      </c>
      <c r="AS9" s="4">
        <v>815</v>
      </c>
      <c r="AT9" s="1">
        <v>745</v>
      </c>
      <c r="AX9" s="3">
        <v>59771.62</v>
      </c>
      <c r="BB9" t="s">
        <v>84</v>
      </c>
      <c r="BD9" s="3">
        <v>1.0900000000000001</v>
      </c>
      <c r="BE9" s="4">
        <v>696</v>
      </c>
      <c r="BF9" s="1">
        <v>640</v>
      </c>
      <c r="BG9" s="1">
        <v>30</v>
      </c>
      <c r="BH9" s="1">
        <v>30</v>
      </c>
      <c r="BK9" t="s">
        <v>642</v>
      </c>
      <c r="BL9" t="s">
        <v>643</v>
      </c>
    </row>
    <row r="10" spans="1:67" x14ac:dyDescent="0.25">
      <c r="A10" t="s">
        <v>95</v>
      </c>
      <c r="B10" t="s">
        <v>96</v>
      </c>
      <c r="C10" s="4">
        <f>(AA10*(H10*0.9))*12</f>
        <v>1311552</v>
      </c>
      <c r="D10" s="4">
        <f>IF(C10=0,"",(H10*150*12)+C10)</f>
        <v>1599552</v>
      </c>
      <c r="E10" s="4">
        <f>IFERROR(D10*0.5,"")</f>
        <v>799776</v>
      </c>
      <c r="F10" s="4">
        <f>IFERROR(E10/0.06,"")</f>
        <v>13329600</v>
      </c>
      <c r="G10" s="4">
        <f>IFERROR(F10/H10,"")</f>
        <v>83310</v>
      </c>
      <c r="H10" s="1">
        <v>160</v>
      </c>
      <c r="I10" s="1">
        <v>1985</v>
      </c>
      <c r="J10" t="s">
        <v>64</v>
      </c>
      <c r="K10" t="s">
        <v>97</v>
      </c>
      <c r="L10" t="s">
        <v>98</v>
      </c>
      <c r="M10" t="s">
        <v>99</v>
      </c>
      <c r="N10" t="s">
        <v>100</v>
      </c>
      <c r="O10" t="s">
        <v>98</v>
      </c>
      <c r="P10" s="1">
        <v>2</v>
      </c>
      <c r="Q10" t="s">
        <v>69</v>
      </c>
      <c r="R10" t="s">
        <v>70</v>
      </c>
      <c r="S10" t="s">
        <v>71</v>
      </c>
      <c r="U10" t="s">
        <v>72</v>
      </c>
      <c r="V10" t="s">
        <v>101</v>
      </c>
      <c r="W10" t="s">
        <v>74</v>
      </c>
      <c r="X10" t="s">
        <v>102</v>
      </c>
      <c r="Y10" s="2">
        <v>592</v>
      </c>
      <c r="Z10" s="3">
        <v>1.28</v>
      </c>
      <c r="AA10" s="4">
        <v>759</v>
      </c>
      <c r="AN10" s="1">
        <v>2</v>
      </c>
      <c r="AO10" t="s">
        <v>81</v>
      </c>
      <c r="AP10" t="s">
        <v>82</v>
      </c>
      <c r="AQ10" t="s">
        <v>83</v>
      </c>
      <c r="AR10" s="3">
        <v>1.21</v>
      </c>
      <c r="AS10" s="4">
        <v>905</v>
      </c>
      <c r="AT10" s="1">
        <v>750</v>
      </c>
      <c r="AX10" s="3">
        <v>114274.41</v>
      </c>
      <c r="AY10" s="3">
        <v>1.53</v>
      </c>
      <c r="AZ10" s="4">
        <v>625</v>
      </c>
      <c r="BA10" s="6">
        <v>410</v>
      </c>
      <c r="BB10" t="s">
        <v>84</v>
      </c>
      <c r="BD10" s="3">
        <v>1.25</v>
      </c>
      <c r="BE10" s="4">
        <v>736</v>
      </c>
      <c r="BF10" s="1">
        <v>589</v>
      </c>
      <c r="BG10" s="1">
        <v>72</v>
      </c>
      <c r="BH10" s="1">
        <v>48</v>
      </c>
      <c r="BK10" t="s">
        <v>103</v>
      </c>
      <c r="BL10" t="s">
        <v>104</v>
      </c>
    </row>
    <row r="11" spans="1:67" x14ac:dyDescent="0.25">
      <c r="A11" t="s">
        <v>1088</v>
      </c>
      <c r="B11" t="s">
        <v>1089</v>
      </c>
      <c r="C11" s="4">
        <f>(AA11*(H11*0.9))*12</f>
        <v>466300.80000000005</v>
      </c>
      <c r="D11" s="4">
        <f>IF(C11=0,"",(H11*150*12)+C11)</f>
        <v>567100.80000000005</v>
      </c>
      <c r="E11" s="4">
        <f>IFERROR(D11*0.5,"")</f>
        <v>283550.40000000002</v>
      </c>
      <c r="F11" s="4">
        <f>IFERROR(E11/0.06,"")</f>
        <v>4725840.0000000009</v>
      </c>
      <c r="G11" s="4">
        <f>IFERROR(F11/H11,"")</f>
        <v>84390.000000000015</v>
      </c>
      <c r="H11" s="1">
        <v>56</v>
      </c>
      <c r="I11" s="1">
        <v>1989</v>
      </c>
      <c r="J11" t="s">
        <v>64</v>
      </c>
      <c r="K11" t="s">
        <v>439</v>
      </c>
      <c r="L11" t="s">
        <v>432</v>
      </c>
      <c r="M11" t="s">
        <v>1090</v>
      </c>
      <c r="N11" t="s">
        <v>1091</v>
      </c>
      <c r="O11" t="s">
        <v>432</v>
      </c>
      <c r="P11" s="1">
        <v>3</v>
      </c>
      <c r="Q11" t="s">
        <v>91</v>
      </c>
      <c r="R11" t="s">
        <v>70</v>
      </c>
      <c r="S11" t="s">
        <v>71</v>
      </c>
      <c r="T11" t="s">
        <v>426</v>
      </c>
      <c r="U11" t="s">
        <v>72</v>
      </c>
      <c r="V11" t="s">
        <v>1092</v>
      </c>
      <c r="W11" t="s">
        <v>74</v>
      </c>
      <c r="X11" t="s">
        <v>1093</v>
      </c>
      <c r="Y11" s="2">
        <v>742</v>
      </c>
      <c r="Z11" s="3">
        <v>1.04</v>
      </c>
      <c r="AA11" s="4">
        <v>771</v>
      </c>
      <c r="AK11" s="5">
        <v>16.071400000000001</v>
      </c>
      <c r="AN11" s="1">
        <v>2</v>
      </c>
      <c r="AO11" t="s">
        <v>81</v>
      </c>
      <c r="AP11" t="s">
        <v>82</v>
      </c>
      <c r="AQ11" t="s">
        <v>83</v>
      </c>
      <c r="AR11" s="3">
        <v>1</v>
      </c>
      <c r="AS11" s="4">
        <v>804</v>
      </c>
      <c r="AT11" s="1">
        <v>800</v>
      </c>
      <c r="AX11" s="3">
        <v>19465.509999999998</v>
      </c>
      <c r="BB11" t="s">
        <v>84</v>
      </c>
      <c r="BD11" s="3">
        <v>1.1499999999999999</v>
      </c>
      <c r="BE11" s="4">
        <v>687</v>
      </c>
      <c r="BF11" s="1">
        <v>600</v>
      </c>
      <c r="BG11" s="1">
        <v>16</v>
      </c>
      <c r="BH11" s="1">
        <v>40</v>
      </c>
    </row>
    <row r="12" spans="1:67" x14ac:dyDescent="0.25">
      <c r="A12" t="s">
        <v>739</v>
      </c>
      <c r="B12" t="s">
        <v>740</v>
      </c>
      <c r="C12" s="4">
        <f>(AA12*(H12*0.9))*12</f>
        <v>3793132.8000000003</v>
      </c>
      <c r="D12" s="4">
        <f>IF(C12=0,"",(H12*150*12)+C12)</f>
        <v>4570732.8000000007</v>
      </c>
      <c r="E12" s="4">
        <f>IFERROR(D12*0.5,"")</f>
        <v>2285366.4000000004</v>
      </c>
      <c r="F12" s="4">
        <f>IFERROR(E12/0.06,"")</f>
        <v>38089440.000000007</v>
      </c>
      <c r="G12" s="4">
        <f>IFERROR(F12/H12,"")</f>
        <v>88170.000000000015</v>
      </c>
      <c r="H12" s="1">
        <v>432</v>
      </c>
      <c r="I12" s="1">
        <v>1986</v>
      </c>
      <c r="J12" t="s">
        <v>64</v>
      </c>
      <c r="K12" t="s">
        <v>97</v>
      </c>
      <c r="L12" t="s">
        <v>741</v>
      </c>
      <c r="M12" t="s">
        <v>742</v>
      </c>
      <c r="N12" t="s">
        <v>741</v>
      </c>
      <c r="O12" t="s">
        <v>741</v>
      </c>
      <c r="P12" s="1">
        <v>3</v>
      </c>
      <c r="Q12" t="s">
        <v>69</v>
      </c>
      <c r="R12" t="s">
        <v>70</v>
      </c>
      <c r="S12" t="s">
        <v>71</v>
      </c>
      <c r="U12" t="s">
        <v>72</v>
      </c>
      <c r="V12" t="s">
        <v>73</v>
      </c>
      <c r="W12" t="s">
        <v>74</v>
      </c>
      <c r="X12" t="s">
        <v>743</v>
      </c>
      <c r="Y12" s="2">
        <v>577</v>
      </c>
      <c r="Z12" s="3">
        <v>1.41</v>
      </c>
      <c r="AA12" s="4">
        <v>813</v>
      </c>
      <c r="AK12" s="5">
        <v>0.46300000000000002</v>
      </c>
      <c r="AN12" s="1">
        <v>3</v>
      </c>
      <c r="AO12" t="s">
        <v>81</v>
      </c>
      <c r="AP12" t="s">
        <v>82</v>
      </c>
      <c r="AQ12" t="s">
        <v>83</v>
      </c>
      <c r="AR12" s="3">
        <v>1.37</v>
      </c>
      <c r="AS12" s="4">
        <v>1090</v>
      </c>
      <c r="AT12" s="1">
        <v>799</v>
      </c>
      <c r="AX12" s="3">
        <v>810564.68</v>
      </c>
      <c r="BB12" t="s">
        <v>84</v>
      </c>
      <c r="BD12" s="3">
        <v>1.42</v>
      </c>
      <c r="BE12" s="4">
        <v>756</v>
      </c>
      <c r="BF12" s="1">
        <v>533</v>
      </c>
      <c r="BG12" s="1">
        <v>359</v>
      </c>
      <c r="BH12" s="1">
        <v>73</v>
      </c>
      <c r="BL12" t="s">
        <v>744</v>
      </c>
    </row>
    <row r="13" spans="1:67" x14ac:dyDescent="0.25">
      <c r="A13" t="s">
        <v>2193</v>
      </c>
      <c r="B13" t="s">
        <v>2194</v>
      </c>
      <c r="C13" s="4">
        <f>(AA13*(H13*0.9))*12</f>
        <v>952948.8</v>
      </c>
      <c r="D13" s="4">
        <f>IF(C13=0,"",(H13*150*12)+C13)</f>
        <v>1147348.8</v>
      </c>
      <c r="E13" s="4">
        <f>IFERROR(D13*0.5,"")</f>
        <v>573674.4</v>
      </c>
      <c r="F13" s="4">
        <f>IFERROR(E13/0.06,"")</f>
        <v>9561240</v>
      </c>
      <c r="G13" s="4">
        <f>IFERROR(F13/H13,"")</f>
        <v>88530</v>
      </c>
      <c r="H13" s="1">
        <v>108</v>
      </c>
      <c r="I13" s="1">
        <v>1999</v>
      </c>
      <c r="J13" t="s">
        <v>64</v>
      </c>
      <c r="K13" t="s">
        <v>177</v>
      </c>
      <c r="L13" t="s">
        <v>2195</v>
      </c>
      <c r="M13" t="s">
        <v>2196</v>
      </c>
      <c r="N13" t="s">
        <v>2197</v>
      </c>
      <c r="O13" t="s">
        <v>2195</v>
      </c>
      <c r="P13" s="1">
        <v>2</v>
      </c>
      <c r="Q13" t="s">
        <v>69</v>
      </c>
      <c r="R13" t="s">
        <v>70</v>
      </c>
      <c r="S13" t="s">
        <v>71</v>
      </c>
      <c r="T13" t="s">
        <v>118</v>
      </c>
      <c r="U13" t="s">
        <v>72</v>
      </c>
      <c r="V13" t="s">
        <v>312</v>
      </c>
      <c r="W13" t="s">
        <v>74</v>
      </c>
      <c r="X13" t="s">
        <v>313</v>
      </c>
      <c r="Y13" s="2">
        <v>728</v>
      </c>
      <c r="Z13" s="3">
        <v>1.1200000000000001</v>
      </c>
      <c r="AA13" s="4">
        <v>817</v>
      </c>
      <c r="AK13" s="5">
        <v>1.8519000000000001</v>
      </c>
      <c r="AN13" s="1">
        <v>2</v>
      </c>
      <c r="AO13" t="s">
        <v>81</v>
      </c>
      <c r="AP13" t="s">
        <v>82</v>
      </c>
      <c r="AQ13" t="s">
        <v>83</v>
      </c>
      <c r="AR13" s="3">
        <v>1.22</v>
      </c>
      <c r="AS13" s="4">
        <v>978</v>
      </c>
      <c r="AT13" s="1">
        <v>800</v>
      </c>
      <c r="AX13" s="3">
        <v>134805.26</v>
      </c>
      <c r="BB13" t="s">
        <v>84</v>
      </c>
      <c r="BD13" s="3">
        <v>1</v>
      </c>
      <c r="BE13" s="4">
        <v>656</v>
      </c>
      <c r="BF13" s="1">
        <v>656</v>
      </c>
      <c r="BG13" s="1">
        <v>54</v>
      </c>
      <c r="BH13" s="1">
        <v>54</v>
      </c>
      <c r="BK13" t="s">
        <v>2198</v>
      </c>
      <c r="BL13" t="s">
        <v>104</v>
      </c>
    </row>
    <row r="14" spans="1:67" x14ac:dyDescent="0.25">
      <c r="A14" t="s">
        <v>132</v>
      </c>
      <c r="B14" t="s">
        <v>133</v>
      </c>
      <c r="C14" s="4">
        <f>(AA14*(H14*0.9))*12</f>
        <v>4309264.8000000007</v>
      </c>
      <c r="D14" s="4">
        <f>IF(C14=0,"",(H14*150*12)+C14)</f>
        <v>5184064.8000000007</v>
      </c>
      <c r="E14" s="4">
        <f>IFERROR(D14*0.5,"")</f>
        <v>2592032.4000000004</v>
      </c>
      <c r="F14" s="4">
        <f>IFERROR(E14/0.06,"")</f>
        <v>43200540.000000007</v>
      </c>
      <c r="G14" s="4">
        <f>IFERROR(F14/H14,"")</f>
        <v>88890.000000000015</v>
      </c>
      <c r="H14" s="1">
        <v>486</v>
      </c>
      <c r="I14" s="1">
        <v>1986</v>
      </c>
      <c r="J14" t="s">
        <v>64</v>
      </c>
      <c r="K14" t="s">
        <v>134</v>
      </c>
      <c r="L14" t="s">
        <v>135</v>
      </c>
      <c r="M14" t="s">
        <v>136</v>
      </c>
      <c r="O14" t="s">
        <v>135</v>
      </c>
      <c r="P14" s="1">
        <v>3</v>
      </c>
      <c r="Q14" t="s">
        <v>91</v>
      </c>
      <c r="R14" t="s">
        <v>70</v>
      </c>
      <c r="S14" t="s">
        <v>71</v>
      </c>
      <c r="U14" t="s">
        <v>72</v>
      </c>
      <c r="V14" t="s">
        <v>73</v>
      </c>
      <c r="W14" t="s">
        <v>74</v>
      </c>
      <c r="X14" t="s">
        <v>137</v>
      </c>
      <c r="Y14" s="2">
        <v>644</v>
      </c>
      <c r="Z14" s="3">
        <v>1.27</v>
      </c>
      <c r="AA14" s="4">
        <v>821</v>
      </c>
      <c r="AK14" s="5">
        <v>20.1646</v>
      </c>
      <c r="AN14" s="1">
        <v>3</v>
      </c>
      <c r="AO14" t="s">
        <v>81</v>
      </c>
      <c r="AP14" t="s">
        <v>82</v>
      </c>
      <c r="AQ14" t="s">
        <v>83</v>
      </c>
      <c r="AR14" s="3">
        <v>1.25</v>
      </c>
      <c r="AS14" s="4">
        <v>1131</v>
      </c>
      <c r="AT14" s="1">
        <v>904</v>
      </c>
      <c r="AX14" s="3">
        <v>0</v>
      </c>
      <c r="BB14" t="s">
        <v>84</v>
      </c>
      <c r="BD14" s="3">
        <v>1.28</v>
      </c>
      <c r="BE14" s="4">
        <v>765</v>
      </c>
      <c r="BF14" s="1">
        <v>598</v>
      </c>
      <c r="BG14" s="1">
        <v>412</v>
      </c>
      <c r="BH14" s="1">
        <v>74</v>
      </c>
    </row>
    <row r="15" spans="1:67" x14ac:dyDescent="0.25">
      <c r="A15" t="s">
        <v>3122</v>
      </c>
      <c r="B15" t="s">
        <v>3123</v>
      </c>
      <c r="C15" s="4">
        <f>(AA15*(H15*0.9))*12</f>
        <v>1759060.7999999998</v>
      </c>
      <c r="D15" s="4">
        <f>IF(C15=0,"",(H15*150*12)+C15)</f>
        <v>2111860.7999999998</v>
      </c>
      <c r="E15" s="4">
        <f>IFERROR(D15*0.5,"")</f>
        <v>1055930.3999999999</v>
      </c>
      <c r="F15" s="4">
        <f>IFERROR(E15/0.06,"")</f>
        <v>17598840</v>
      </c>
      <c r="G15" s="4">
        <f>IFERROR(F15/H15,"")</f>
        <v>89790</v>
      </c>
      <c r="H15" s="1">
        <v>196</v>
      </c>
      <c r="I15" s="1">
        <v>1999</v>
      </c>
      <c r="J15" t="s">
        <v>64</v>
      </c>
      <c r="K15" t="s">
        <v>2253</v>
      </c>
      <c r="L15" t="s">
        <v>546</v>
      </c>
      <c r="M15" t="s">
        <v>3124</v>
      </c>
      <c r="N15" t="s">
        <v>546</v>
      </c>
      <c r="O15" t="s">
        <v>546</v>
      </c>
      <c r="P15" s="1">
        <v>2</v>
      </c>
      <c r="Q15" t="s">
        <v>69</v>
      </c>
      <c r="R15" t="s">
        <v>70</v>
      </c>
      <c r="S15" t="s">
        <v>71</v>
      </c>
      <c r="T15" t="s">
        <v>426</v>
      </c>
      <c r="U15" t="s">
        <v>72</v>
      </c>
      <c r="V15" t="s">
        <v>73</v>
      </c>
      <c r="W15" t="s">
        <v>74</v>
      </c>
      <c r="X15" t="s">
        <v>2259</v>
      </c>
      <c r="Y15" s="2">
        <v>1131</v>
      </c>
      <c r="Z15" s="3">
        <v>0.73</v>
      </c>
      <c r="AA15" s="4">
        <v>831</v>
      </c>
      <c r="AK15" s="5">
        <v>6.1223999999999998</v>
      </c>
      <c r="AN15" s="1">
        <v>2</v>
      </c>
      <c r="AO15" t="s">
        <v>81</v>
      </c>
      <c r="AP15" t="s">
        <v>82</v>
      </c>
      <c r="AQ15" t="s">
        <v>83</v>
      </c>
      <c r="AR15" s="3">
        <v>0.67</v>
      </c>
      <c r="AS15" s="4">
        <v>668</v>
      </c>
      <c r="AT15" s="1">
        <v>1000</v>
      </c>
      <c r="AU15" s="3">
        <v>0.74</v>
      </c>
      <c r="AV15" s="4">
        <v>892</v>
      </c>
      <c r="AW15" s="1">
        <v>1200</v>
      </c>
      <c r="AX15" s="3">
        <v>716499.47</v>
      </c>
      <c r="BB15" t="s">
        <v>84</v>
      </c>
      <c r="BD15" s="3">
        <v>0.73</v>
      </c>
      <c r="BE15" s="4">
        <v>544</v>
      </c>
      <c r="BF15" s="1">
        <v>750</v>
      </c>
      <c r="BG15" s="1">
        <v>10</v>
      </c>
      <c r="BH15" s="1">
        <v>92</v>
      </c>
      <c r="BI15" s="1">
        <v>47</v>
      </c>
      <c r="BJ15" s="1">
        <v>47</v>
      </c>
      <c r="BM15" s="3">
        <v>0.82</v>
      </c>
      <c r="BN15" s="4">
        <v>1149</v>
      </c>
      <c r="BO15" s="1">
        <v>1400</v>
      </c>
    </row>
    <row r="16" spans="1:67" x14ac:dyDescent="0.25">
      <c r="A16" t="s">
        <v>1797</v>
      </c>
      <c r="B16" t="s">
        <v>1798</v>
      </c>
      <c r="C16" s="4">
        <f>(AA16*(H16*0.9))*12</f>
        <v>6601953.5999999996</v>
      </c>
      <c r="D16" s="4">
        <f>IF(C16=0,"",(H16*150*12)+C16)</f>
        <v>7908753.5999999996</v>
      </c>
      <c r="E16" s="4">
        <f>IFERROR(D16*0.5,"")</f>
        <v>3954376.8</v>
      </c>
      <c r="F16" s="4">
        <f>IFERROR(E16/0.06,"")</f>
        <v>65906280</v>
      </c>
      <c r="G16" s="4">
        <f>IFERROR(F16/H16,"")</f>
        <v>90780</v>
      </c>
      <c r="H16" s="1">
        <v>726</v>
      </c>
      <c r="I16" s="1">
        <v>1986</v>
      </c>
      <c r="J16" t="s">
        <v>64</v>
      </c>
      <c r="K16" t="s">
        <v>198</v>
      </c>
      <c r="L16" t="s">
        <v>169</v>
      </c>
      <c r="M16" t="s">
        <v>1799</v>
      </c>
      <c r="N16" t="s">
        <v>1800</v>
      </c>
      <c r="O16" t="s">
        <v>169</v>
      </c>
      <c r="P16" s="1">
        <v>3</v>
      </c>
      <c r="Q16" t="s">
        <v>91</v>
      </c>
      <c r="R16" t="s">
        <v>70</v>
      </c>
      <c r="S16" t="s">
        <v>71</v>
      </c>
      <c r="U16" t="s">
        <v>72</v>
      </c>
      <c r="V16" t="s">
        <v>152</v>
      </c>
      <c r="W16" t="s">
        <v>74</v>
      </c>
      <c r="X16" t="s">
        <v>1801</v>
      </c>
      <c r="Y16" s="2">
        <v>545</v>
      </c>
      <c r="Z16" s="3">
        <v>1.54</v>
      </c>
      <c r="AA16" s="4">
        <v>842</v>
      </c>
      <c r="AK16" s="5">
        <v>12.396699999999999</v>
      </c>
      <c r="AM16" s="1">
        <v>2015</v>
      </c>
      <c r="AN16" s="1">
        <v>3</v>
      </c>
      <c r="AO16" t="s">
        <v>81</v>
      </c>
      <c r="AP16" t="s">
        <v>82</v>
      </c>
      <c r="AQ16" t="s">
        <v>83</v>
      </c>
      <c r="AR16" s="3">
        <v>1.62</v>
      </c>
      <c r="AS16" s="4">
        <v>1227</v>
      </c>
      <c r="AT16" s="1">
        <v>759</v>
      </c>
      <c r="AX16" s="3">
        <v>1466559.16</v>
      </c>
      <c r="BB16" t="s">
        <v>84</v>
      </c>
      <c r="BD16" s="3">
        <v>1.53</v>
      </c>
      <c r="BE16" s="4">
        <v>795</v>
      </c>
      <c r="BF16" s="1">
        <v>519</v>
      </c>
      <c r="BG16" s="1">
        <v>648</v>
      </c>
      <c r="BH16" s="1">
        <v>78</v>
      </c>
      <c r="BK16" t="s">
        <v>1414</v>
      </c>
      <c r="BL16" t="s">
        <v>104</v>
      </c>
    </row>
    <row r="17" spans="1:64" x14ac:dyDescent="0.25">
      <c r="A17" t="s">
        <v>1869</v>
      </c>
      <c r="B17" t="s">
        <v>1870</v>
      </c>
      <c r="C17" s="4">
        <f>(AA17*(H17*0.9))*12</f>
        <v>496303.19999999995</v>
      </c>
      <c r="D17" s="4">
        <f>IF(C17=0,"",(H17*150*12)+C17)</f>
        <v>593503.19999999995</v>
      </c>
      <c r="E17" s="4">
        <f>IFERROR(D17*0.5,"")</f>
        <v>296751.59999999998</v>
      </c>
      <c r="F17" s="4">
        <f>IFERROR(E17/0.06,"")</f>
        <v>4945860</v>
      </c>
      <c r="G17" s="4">
        <f>IFERROR(F17/H17,"")</f>
        <v>91590</v>
      </c>
      <c r="H17" s="1">
        <v>54</v>
      </c>
      <c r="I17" s="1">
        <v>1985</v>
      </c>
      <c r="J17" t="s">
        <v>64</v>
      </c>
      <c r="K17" t="s">
        <v>1871</v>
      </c>
      <c r="L17" t="s">
        <v>1872</v>
      </c>
      <c r="M17" t="s">
        <v>1870</v>
      </c>
      <c r="N17" t="s">
        <v>1872</v>
      </c>
      <c r="O17" t="s">
        <v>1872</v>
      </c>
      <c r="P17" s="1">
        <v>3</v>
      </c>
      <c r="Q17" t="s">
        <v>69</v>
      </c>
      <c r="R17" t="s">
        <v>70</v>
      </c>
      <c r="S17" t="s">
        <v>71</v>
      </c>
      <c r="U17" t="s">
        <v>72</v>
      </c>
      <c r="V17" t="s">
        <v>1873</v>
      </c>
      <c r="W17" t="s">
        <v>74</v>
      </c>
      <c r="X17" t="s">
        <v>1874</v>
      </c>
      <c r="Y17" s="2">
        <v>516</v>
      </c>
      <c r="Z17" s="3">
        <v>1.65</v>
      </c>
      <c r="AA17" s="4">
        <v>851</v>
      </c>
      <c r="AK17" s="5">
        <v>0</v>
      </c>
      <c r="AN17" s="1">
        <v>2</v>
      </c>
      <c r="AO17" t="s">
        <v>81</v>
      </c>
      <c r="AP17" t="s">
        <v>82</v>
      </c>
      <c r="AQ17" t="s">
        <v>83</v>
      </c>
      <c r="AR17" s="3">
        <v>1.53</v>
      </c>
      <c r="AS17" s="4">
        <v>919</v>
      </c>
      <c r="AT17" s="1">
        <v>600</v>
      </c>
      <c r="AX17" s="3">
        <v>16156.98</v>
      </c>
      <c r="BB17" t="s">
        <v>84</v>
      </c>
      <c r="BD17" s="3">
        <v>1.72</v>
      </c>
      <c r="BE17" s="4">
        <v>817</v>
      </c>
      <c r="BF17" s="1">
        <v>475</v>
      </c>
      <c r="BG17" s="1">
        <v>36</v>
      </c>
      <c r="BH17" s="1">
        <v>18</v>
      </c>
    </row>
    <row r="18" spans="1:64" x14ac:dyDescent="0.25">
      <c r="A18" t="s">
        <v>105</v>
      </c>
      <c r="B18" t="s">
        <v>106</v>
      </c>
      <c r="C18" s="4">
        <f>(AA18*(H18*0.9))*12</f>
        <v>499802.4</v>
      </c>
      <c r="D18" s="4">
        <f>IF(C18=0,"",(H18*150*12)+C18)</f>
        <v>597002.4</v>
      </c>
      <c r="E18" s="4">
        <f>IFERROR(D18*0.5,"")</f>
        <v>298501.2</v>
      </c>
      <c r="F18" s="4">
        <f>IFERROR(E18/0.06,"")</f>
        <v>4975020</v>
      </c>
      <c r="G18" s="4">
        <f>IFERROR(F18/H18,"")</f>
        <v>92130</v>
      </c>
      <c r="H18" s="1">
        <v>54</v>
      </c>
      <c r="I18" s="1">
        <v>1986</v>
      </c>
      <c r="J18" t="s">
        <v>64</v>
      </c>
      <c r="K18" t="s">
        <v>107</v>
      </c>
      <c r="L18" t="s">
        <v>108</v>
      </c>
      <c r="M18" t="s">
        <v>109</v>
      </c>
      <c r="N18" t="s">
        <v>108</v>
      </c>
      <c r="P18" s="1">
        <v>3</v>
      </c>
      <c r="Q18" t="s">
        <v>91</v>
      </c>
      <c r="R18" t="s">
        <v>70</v>
      </c>
      <c r="S18" t="s">
        <v>71</v>
      </c>
      <c r="U18" t="s">
        <v>72</v>
      </c>
      <c r="V18" t="s">
        <v>110</v>
      </c>
      <c r="W18" t="s">
        <v>74</v>
      </c>
      <c r="X18" t="s">
        <v>111</v>
      </c>
      <c r="Y18" s="2">
        <v>460</v>
      </c>
      <c r="Z18" s="3">
        <v>1.86</v>
      </c>
      <c r="AA18" s="4">
        <v>857</v>
      </c>
      <c r="AK18" s="5">
        <v>3.7037</v>
      </c>
      <c r="AN18" s="1">
        <v>1</v>
      </c>
      <c r="AO18" t="s">
        <v>81</v>
      </c>
      <c r="AP18" t="s">
        <v>82</v>
      </c>
      <c r="AQ18" t="s">
        <v>83</v>
      </c>
      <c r="AX18" s="3">
        <v>76495.3</v>
      </c>
      <c r="BB18" t="s">
        <v>84</v>
      </c>
      <c r="BD18" s="3">
        <v>1.86</v>
      </c>
      <c r="BE18" s="4">
        <v>857</v>
      </c>
      <c r="BF18" s="1">
        <v>460</v>
      </c>
      <c r="BG18" s="1">
        <v>54</v>
      </c>
    </row>
    <row r="19" spans="1:64" x14ac:dyDescent="0.25">
      <c r="A19" t="s">
        <v>112</v>
      </c>
      <c r="B19" t="s">
        <v>113</v>
      </c>
      <c r="C19" s="4">
        <f>(AA19*(H19*0.9))*12</f>
        <v>518313.6</v>
      </c>
      <c r="D19" s="4">
        <f>IF(C19=0,"",(H19*150*12)+C19)</f>
        <v>619113.6</v>
      </c>
      <c r="E19" s="4">
        <f>IFERROR(D19*0.5,"")</f>
        <v>309556.8</v>
      </c>
      <c r="F19" s="4">
        <f>IFERROR(E19/0.06,"")</f>
        <v>5159280</v>
      </c>
      <c r="G19" s="4">
        <f>IFERROR(F19/H19,"")</f>
        <v>92130</v>
      </c>
      <c r="H19" s="1">
        <v>56</v>
      </c>
      <c r="I19" s="1">
        <v>1988</v>
      </c>
      <c r="J19" t="s">
        <v>64</v>
      </c>
      <c r="K19" t="s">
        <v>114</v>
      </c>
      <c r="L19" t="s">
        <v>115</v>
      </c>
      <c r="M19" t="s">
        <v>116</v>
      </c>
      <c r="N19" t="s">
        <v>117</v>
      </c>
      <c r="O19" t="s">
        <v>115</v>
      </c>
      <c r="P19" s="1">
        <v>2</v>
      </c>
      <c r="Q19" t="s">
        <v>69</v>
      </c>
      <c r="R19" t="s">
        <v>70</v>
      </c>
      <c r="S19" t="s">
        <v>71</v>
      </c>
      <c r="T19" t="s">
        <v>118</v>
      </c>
      <c r="U19" t="s">
        <v>72</v>
      </c>
      <c r="V19" t="s">
        <v>119</v>
      </c>
      <c r="W19" t="s">
        <v>74</v>
      </c>
      <c r="X19" t="s">
        <v>120</v>
      </c>
      <c r="Y19" s="2">
        <v>709</v>
      </c>
      <c r="Z19" s="3">
        <v>1.21</v>
      </c>
      <c r="AA19" s="4">
        <v>857</v>
      </c>
      <c r="AK19" s="5">
        <v>17.857099999999999</v>
      </c>
      <c r="AN19" s="1">
        <v>2</v>
      </c>
      <c r="AO19" t="s">
        <v>81</v>
      </c>
      <c r="AP19" t="s">
        <v>82</v>
      </c>
      <c r="AQ19" t="s">
        <v>83</v>
      </c>
      <c r="AR19" s="3">
        <v>1.19</v>
      </c>
      <c r="AS19" s="4">
        <v>908</v>
      </c>
      <c r="AT19" s="1">
        <v>765</v>
      </c>
      <c r="AX19" s="3">
        <v>53693.05</v>
      </c>
      <c r="BB19" t="s">
        <v>84</v>
      </c>
      <c r="BD19" s="3">
        <v>1.26</v>
      </c>
      <c r="BE19" s="4">
        <v>767</v>
      </c>
      <c r="BF19" s="1">
        <v>610</v>
      </c>
      <c r="BG19" s="1">
        <v>20</v>
      </c>
      <c r="BH19" s="1">
        <v>36</v>
      </c>
    </row>
    <row r="20" spans="1:64" x14ac:dyDescent="0.25">
      <c r="A20" t="s">
        <v>401</v>
      </c>
      <c r="B20" t="s">
        <v>402</v>
      </c>
      <c r="C20" s="4">
        <f>(AA20*(H20*0.9))*12</f>
        <v>1571270.4000000001</v>
      </c>
      <c r="D20" s="4">
        <f>IF(C20=0,"",(H20*150*12)+C20)</f>
        <v>1873670.4000000001</v>
      </c>
      <c r="E20" s="4">
        <f>IFERROR(D20*0.5,"")</f>
        <v>936835.20000000007</v>
      </c>
      <c r="F20" s="4">
        <f>IFERROR(E20/0.06,"")</f>
        <v>15613920.000000002</v>
      </c>
      <c r="G20" s="4">
        <f>IFERROR(F20/H20,"")</f>
        <v>92940.000000000015</v>
      </c>
      <c r="H20" s="1">
        <v>168</v>
      </c>
      <c r="I20" s="1">
        <v>1985</v>
      </c>
      <c r="J20" t="s">
        <v>64</v>
      </c>
      <c r="K20" t="s">
        <v>301</v>
      </c>
      <c r="L20" t="s">
        <v>403</v>
      </c>
      <c r="M20" t="s">
        <v>404</v>
      </c>
      <c r="N20" t="s">
        <v>405</v>
      </c>
      <c r="O20" t="s">
        <v>403</v>
      </c>
      <c r="P20" s="1">
        <v>3</v>
      </c>
      <c r="Q20" t="s">
        <v>91</v>
      </c>
      <c r="R20" t="s">
        <v>70</v>
      </c>
      <c r="S20" t="s">
        <v>71</v>
      </c>
      <c r="T20" t="s">
        <v>118</v>
      </c>
      <c r="U20" t="s">
        <v>72</v>
      </c>
      <c r="V20" t="s">
        <v>152</v>
      </c>
      <c r="W20" t="s">
        <v>74</v>
      </c>
      <c r="X20" t="s">
        <v>406</v>
      </c>
      <c r="Y20" s="2">
        <v>592</v>
      </c>
      <c r="Z20" s="3">
        <v>1.46</v>
      </c>
      <c r="AA20" s="4">
        <v>866</v>
      </c>
      <c r="AK20" s="5">
        <v>10.7143</v>
      </c>
      <c r="AM20" s="1">
        <v>2010</v>
      </c>
      <c r="AN20" s="1">
        <v>3</v>
      </c>
      <c r="AO20" t="s">
        <v>81</v>
      </c>
      <c r="AP20" t="s">
        <v>82</v>
      </c>
      <c r="AQ20" t="s">
        <v>83</v>
      </c>
      <c r="AR20" s="3">
        <v>0.86</v>
      </c>
      <c r="AS20" s="4">
        <v>605</v>
      </c>
      <c r="AT20" s="1">
        <v>706</v>
      </c>
      <c r="AY20" s="3">
        <v>2.37</v>
      </c>
      <c r="AZ20" s="4">
        <v>1065</v>
      </c>
      <c r="BA20" s="6">
        <v>450</v>
      </c>
      <c r="BB20" t="s">
        <v>84</v>
      </c>
      <c r="BD20" s="3">
        <v>1.93</v>
      </c>
      <c r="BE20" s="4">
        <v>1060</v>
      </c>
      <c r="BF20" s="1">
        <v>550</v>
      </c>
      <c r="BG20" s="1">
        <v>56</v>
      </c>
      <c r="BH20" s="1">
        <v>72</v>
      </c>
    </row>
    <row r="21" spans="1:64" x14ac:dyDescent="0.25">
      <c r="A21" t="s">
        <v>1236</v>
      </c>
      <c r="B21" t="s">
        <v>1237</v>
      </c>
      <c r="C21" s="4">
        <f>(AA21*(H21*0.9))*12</f>
        <v>2762262</v>
      </c>
      <c r="D21" s="4">
        <f>IF(C21=0,"",(H21*150*12)+C21)</f>
        <v>3293262</v>
      </c>
      <c r="E21" s="4">
        <f>IFERROR(D21*0.5,"")</f>
        <v>1646631</v>
      </c>
      <c r="F21" s="4">
        <f>IFERROR(E21/0.06,"")</f>
        <v>27443850</v>
      </c>
      <c r="G21" s="4">
        <f>IFERROR(F21/H21,"")</f>
        <v>93030</v>
      </c>
      <c r="H21" s="1">
        <v>295</v>
      </c>
      <c r="I21" s="1">
        <v>1988</v>
      </c>
      <c r="J21" t="s">
        <v>64</v>
      </c>
      <c r="K21" t="s">
        <v>734</v>
      </c>
      <c r="L21" t="s">
        <v>1238</v>
      </c>
      <c r="M21" t="s">
        <v>1239</v>
      </c>
      <c r="N21" t="s">
        <v>1240</v>
      </c>
      <c r="O21" t="s">
        <v>1238</v>
      </c>
      <c r="P21" s="1">
        <v>3</v>
      </c>
      <c r="Q21" t="s">
        <v>91</v>
      </c>
      <c r="R21" t="s">
        <v>70</v>
      </c>
      <c r="S21" t="s">
        <v>71</v>
      </c>
      <c r="U21" t="s">
        <v>72</v>
      </c>
      <c r="V21" t="s">
        <v>73</v>
      </c>
      <c r="W21" t="s">
        <v>74</v>
      </c>
      <c r="X21" t="s">
        <v>1241</v>
      </c>
      <c r="Y21" s="2">
        <v>519</v>
      </c>
      <c r="Z21" s="3">
        <v>1.67</v>
      </c>
      <c r="AA21" s="4">
        <v>867</v>
      </c>
      <c r="AK21" s="5">
        <v>41.355899999999998</v>
      </c>
      <c r="AN21" s="1">
        <v>3</v>
      </c>
      <c r="AO21" t="s">
        <v>81</v>
      </c>
      <c r="AP21" t="s">
        <v>82</v>
      </c>
      <c r="AQ21" t="s">
        <v>83</v>
      </c>
      <c r="AR21" s="3">
        <v>1.19</v>
      </c>
      <c r="AS21" s="4">
        <v>951</v>
      </c>
      <c r="AT21" s="1">
        <v>800</v>
      </c>
      <c r="AX21" s="3">
        <v>0</v>
      </c>
      <c r="AY21" s="3">
        <v>3.7</v>
      </c>
      <c r="AZ21" s="4">
        <v>822</v>
      </c>
      <c r="BA21" s="6">
        <v>223</v>
      </c>
      <c r="BB21" t="s">
        <v>84</v>
      </c>
      <c r="BD21" s="3">
        <v>1.64</v>
      </c>
      <c r="BE21" s="4">
        <v>868</v>
      </c>
      <c r="BF21" s="1">
        <v>528</v>
      </c>
      <c r="BG21" s="1">
        <v>283</v>
      </c>
      <c r="BH21" s="1">
        <v>2</v>
      </c>
    </row>
    <row r="22" spans="1:64" x14ac:dyDescent="0.25">
      <c r="A22" t="s">
        <v>1693</v>
      </c>
      <c r="B22" t="s">
        <v>1694</v>
      </c>
      <c r="C22" s="4">
        <f>(AA22*(H22*0.9))*12</f>
        <v>2384121.6</v>
      </c>
      <c r="D22" s="4">
        <f>IF(C22=0,"",(H22*150*12)+C22)</f>
        <v>2837721.6</v>
      </c>
      <c r="E22" s="4">
        <f>IFERROR(D22*0.5,"")</f>
        <v>1418860.8</v>
      </c>
      <c r="F22" s="4">
        <f>IFERROR(E22/0.06,"")</f>
        <v>23647680</v>
      </c>
      <c r="G22" s="4">
        <f>IFERROR(F22/H22,"")</f>
        <v>93840</v>
      </c>
      <c r="H22" s="1">
        <v>252</v>
      </c>
      <c r="I22" s="1">
        <v>1988</v>
      </c>
      <c r="J22" t="s">
        <v>64</v>
      </c>
      <c r="K22" t="s">
        <v>995</v>
      </c>
      <c r="L22" t="s">
        <v>1695</v>
      </c>
      <c r="M22" t="s">
        <v>1696</v>
      </c>
      <c r="N22" t="s">
        <v>1697</v>
      </c>
      <c r="O22" t="s">
        <v>1695</v>
      </c>
      <c r="P22" s="1">
        <v>3</v>
      </c>
      <c r="Q22" t="s">
        <v>69</v>
      </c>
      <c r="R22" t="s">
        <v>70</v>
      </c>
      <c r="S22" t="s">
        <v>71</v>
      </c>
      <c r="T22" t="s">
        <v>426</v>
      </c>
      <c r="U22" t="s">
        <v>72</v>
      </c>
      <c r="V22" t="s">
        <v>73</v>
      </c>
      <c r="W22" t="s">
        <v>74</v>
      </c>
      <c r="X22" t="s">
        <v>137</v>
      </c>
      <c r="Y22" s="2">
        <v>1105</v>
      </c>
      <c r="Z22" s="3">
        <v>0.79</v>
      </c>
      <c r="AA22" s="4">
        <v>876</v>
      </c>
      <c r="AK22" s="5">
        <v>1.5872999999999999</v>
      </c>
      <c r="AN22" s="1">
        <v>4</v>
      </c>
      <c r="AO22" t="s">
        <v>81</v>
      </c>
      <c r="AP22" t="s">
        <v>82</v>
      </c>
      <c r="AQ22" t="s">
        <v>83</v>
      </c>
      <c r="AR22" s="3">
        <v>0.76</v>
      </c>
      <c r="AS22" s="4">
        <v>923</v>
      </c>
      <c r="AT22" s="1">
        <v>1220</v>
      </c>
      <c r="AX22" s="3">
        <v>221266.92</v>
      </c>
      <c r="BB22" t="s">
        <v>84</v>
      </c>
      <c r="BD22" s="3">
        <v>0.79</v>
      </c>
      <c r="BE22" s="4">
        <v>874</v>
      </c>
      <c r="BF22" s="1">
        <v>1100</v>
      </c>
      <c r="BG22" s="1">
        <v>240</v>
      </c>
      <c r="BH22" s="1">
        <v>12</v>
      </c>
      <c r="BL22" t="s">
        <v>131</v>
      </c>
    </row>
    <row r="23" spans="1:64" x14ac:dyDescent="0.25">
      <c r="A23" t="s">
        <v>1242</v>
      </c>
      <c r="B23" t="s">
        <v>1243</v>
      </c>
      <c r="C23" s="4">
        <f>(AA23*(H23*0.9))*12</f>
        <v>2810052.0000000005</v>
      </c>
      <c r="D23" s="4">
        <f>IF(C23=0,"",(H23*150*12)+C23)</f>
        <v>3339252.0000000005</v>
      </c>
      <c r="E23" s="4">
        <f>IFERROR(D23*0.5,"")</f>
        <v>1669626.0000000002</v>
      </c>
      <c r="F23" s="4">
        <f>IFERROR(E23/0.06,"")</f>
        <v>27827100.000000004</v>
      </c>
      <c r="G23" s="4">
        <f>IFERROR(F23/H23,"")</f>
        <v>94650.000000000015</v>
      </c>
      <c r="H23" s="1">
        <v>294</v>
      </c>
      <c r="I23" s="1">
        <v>1990</v>
      </c>
      <c r="J23" t="s">
        <v>64</v>
      </c>
      <c r="K23" t="s">
        <v>734</v>
      </c>
      <c r="L23" t="s">
        <v>735</v>
      </c>
      <c r="M23" t="s">
        <v>1244</v>
      </c>
      <c r="O23" t="s">
        <v>735</v>
      </c>
      <c r="P23" s="1">
        <v>3</v>
      </c>
      <c r="Q23" t="s">
        <v>91</v>
      </c>
      <c r="R23" t="s">
        <v>70</v>
      </c>
      <c r="S23" t="s">
        <v>71</v>
      </c>
      <c r="U23" t="s">
        <v>72</v>
      </c>
      <c r="V23" t="s">
        <v>73</v>
      </c>
      <c r="W23" t="s">
        <v>74</v>
      </c>
      <c r="X23" t="s">
        <v>1245</v>
      </c>
      <c r="Y23" s="2">
        <v>605</v>
      </c>
      <c r="Z23" s="3">
        <v>1.46</v>
      </c>
      <c r="AA23" s="4">
        <v>885</v>
      </c>
      <c r="AK23" s="5">
        <v>6.4626000000000001</v>
      </c>
      <c r="AN23" s="1">
        <v>3</v>
      </c>
      <c r="AO23" t="s">
        <v>81</v>
      </c>
      <c r="AP23" t="s">
        <v>82</v>
      </c>
      <c r="AQ23" t="s">
        <v>83</v>
      </c>
      <c r="AR23" s="3">
        <v>1.31</v>
      </c>
      <c r="AS23" s="4">
        <v>947</v>
      </c>
      <c r="AT23" s="1">
        <v>725</v>
      </c>
      <c r="AX23" s="3">
        <v>0</v>
      </c>
      <c r="AY23" s="3">
        <v>1.85</v>
      </c>
      <c r="AZ23" s="4">
        <v>785</v>
      </c>
      <c r="BA23" s="6">
        <v>425</v>
      </c>
      <c r="BB23" t="s">
        <v>84</v>
      </c>
      <c r="BD23" s="3">
        <v>1.43</v>
      </c>
      <c r="BE23" s="4">
        <v>901</v>
      </c>
      <c r="BF23" s="1">
        <v>632</v>
      </c>
      <c r="BG23" s="1">
        <v>164</v>
      </c>
      <c r="BH23" s="1">
        <v>64</v>
      </c>
    </row>
    <row r="24" spans="1:64" x14ac:dyDescent="0.25">
      <c r="A24" t="s">
        <v>1242</v>
      </c>
      <c r="B24" t="s">
        <v>1243</v>
      </c>
      <c r="C24" s="4">
        <f>(AA24*(H24*0.9))*12</f>
        <v>2810052.0000000005</v>
      </c>
      <c r="D24" s="4">
        <f>IF(C24=0,"",(H24*150*12)+C24)</f>
        <v>3339252.0000000005</v>
      </c>
      <c r="E24" s="4">
        <f>IFERROR(D24*0.5,"")</f>
        <v>1669626.0000000002</v>
      </c>
      <c r="F24" s="4">
        <f>IFERROR(E24/0.06,"")</f>
        <v>27827100.000000004</v>
      </c>
      <c r="G24" s="4">
        <f>IFERROR(F24/H24,"")</f>
        <v>94650.000000000015</v>
      </c>
      <c r="H24" s="1">
        <v>294</v>
      </c>
      <c r="I24" s="1">
        <v>1990</v>
      </c>
      <c r="J24" t="s">
        <v>64</v>
      </c>
      <c r="K24" t="s">
        <v>734</v>
      </c>
      <c r="L24" t="s">
        <v>735</v>
      </c>
      <c r="M24" t="s">
        <v>1244</v>
      </c>
      <c r="O24" t="s">
        <v>735</v>
      </c>
      <c r="P24" s="1">
        <v>3</v>
      </c>
      <c r="Q24" t="s">
        <v>91</v>
      </c>
      <c r="R24" t="s">
        <v>70</v>
      </c>
      <c r="S24" t="s">
        <v>71</v>
      </c>
      <c r="U24" t="s">
        <v>72</v>
      </c>
      <c r="V24" t="s">
        <v>73</v>
      </c>
      <c r="W24" t="s">
        <v>74</v>
      </c>
      <c r="X24" t="s">
        <v>1245</v>
      </c>
      <c r="Y24" s="2">
        <v>605</v>
      </c>
      <c r="Z24" s="3">
        <v>1.46</v>
      </c>
      <c r="AA24" s="4">
        <v>885</v>
      </c>
      <c r="AK24" s="5">
        <v>6.4626000000000001</v>
      </c>
      <c r="AN24" s="1">
        <v>3</v>
      </c>
      <c r="AO24" t="s">
        <v>81</v>
      </c>
      <c r="AP24" t="s">
        <v>82</v>
      </c>
      <c r="AQ24" t="s">
        <v>83</v>
      </c>
      <c r="AR24" s="3">
        <v>1.31</v>
      </c>
      <c r="AS24" s="4">
        <v>947</v>
      </c>
      <c r="AT24" s="1">
        <v>725</v>
      </c>
      <c r="AX24" s="3">
        <v>0</v>
      </c>
      <c r="AY24" s="3">
        <v>1.85</v>
      </c>
      <c r="AZ24" s="4">
        <v>785</v>
      </c>
      <c r="BA24" s="6">
        <v>425</v>
      </c>
      <c r="BB24" t="s">
        <v>84</v>
      </c>
      <c r="BD24" s="3">
        <v>1.43</v>
      </c>
      <c r="BE24" s="4">
        <v>901</v>
      </c>
      <c r="BF24" s="1">
        <v>632</v>
      </c>
      <c r="BG24" s="1">
        <v>164</v>
      </c>
      <c r="BH24" s="1">
        <v>64</v>
      </c>
    </row>
    <row r="25" spans="1:64" x14ac:dyDescent="0.25">
      <c r="A25" t="s">
        <v>2490</v>
      </c>
      <c r="B25" t="s">
        <v>2491</v>
      </c>
      <c r="C25" s="4">
        <f>(AA25*(H25*0.9))*12</f>
        <v>497577.60000000003</v>
      </c>
      <c r="D25" s="4">
        <f>IF(C25=0,"",(H25*150*12)+C25)</f>
        <v>591177.60000000009</v>
      </c>
      <c r="E25" s="4">
        <f>IFERROR(D25*0.5,"")</f>
        <v>295588.80000000005</v>
      </c>
      <c r="F25" s="4">
        <f>IFERROR(E25/0.06,"")</f>
        <v>4926480.0000000009</v>
      </c>
      <c r="G25" s="4">
        <f>IFERROR(F25/H25,"")</f>
        <v>94740.000000000015</v>
      </c>
      <c r="H25" s="1">
        <v>52</v>
      </c>
      <c r="I25" s="1">
        <v>1998</v>
      </c>
      <c r="J25" t="s">
        <v>64</v>
      </c>
      <c r="K25" t="s">
        <v>211</v>
      </c>
      <c r="L25" t="s">
        <v>2492</v>
      </c>
      <c r="M25" t="s">
        <v>2493</v>
      </c>
      <c r="N25" t="s">
        <v>2494</v>
      </c>
      <c r="O25" t="s">
        <v>2492</v>
      </c>
      <c r="P25" s="1">
        <v>2</v>
      </c>
      <c r="Q25" t="s">
        <v>69</v>
      </c>
      <c r="R25" t="s">
        <v>70</v>
      </c>
      <c r="S25" t="s">
        <v>71</v>
      </c>
      <c r="U25" t="s">
        <v>72</v>
      </c>
      <c r="V25" t="s">
        <v>215</v>
      </c>
      <c r="W25" t="s">
        <v>74</v>
      </c>
      <c r="X25" t="s">
        <v>2495</v>
      </c>
      <c r="Y25" s="2">
        <v>591</v>
      </c>
      <c r="Z25" s="3">
        <v>1.5</v>
      </c>
      <c r="AA25" s="4">
        <v>886</v>
      </c>
      <c r="AK25" s="5">
        <v>5.7691999999999997</v>
      </c>
      <c r="AN25" s="1">
        <v>2</v>
      </c>
      <c r="AO25" t="s">
        <v>81</v>
      </c>
      <c r="AP25" t="s">
        <v>82</v>
      </c>
      <c r="AQ25" t="s">
        <v>83</v>
      </c>
      <c r="AR25" s="3">
        <v>1.58</v>
      </c>
      <c r="AS25" s="4">
        <v>1404</v>
      </c>
      <c r="AT25" s="1">
        <v>886</v>
      </c>
      <c r="AX25" s="3">
        <v>85970.62</v>
      </c>
      <c r="BB25" t="s">
        <v>84</v>
      </c>
      <c r="BD25" s="3">
        <v>1.47</v>
      </c>
      <c r="BE25" s="4">
        <v>792</v>
      </c>
      <c r="BF25" s="1">
        <v>538</v>
      </c>
      <c r="BG25" s="1">
        <v>44</v>
      </c>
      <c r="BH25" s="1">
        <v>8</v>
      </c>
    </row>
    <row r="26" spans="1:64" x14ac:dyDescent="0.25">
      <c r="A26" t="s">
        <v>2284</v>
      </c>
      <c r="B26" t="s">
        <v>2285</v>
      </c>
      <c r="C26" s="4">
        <f>(AA26*(H26*0.9))*12</f>
        <v>1609372.8000000003</v>
      </c>
      <c r="D26" s="4">
        <f>IF(C26=0,"",(H26*150*12)+C26)</f>
        <v>1911772.8000000003</v>
      </c>
      <c r="E26" s="4">
        <f>IFERROR(D26*0.5,"")</f>
        <v>955886.40000000014</v>
      </c>
      <c r="F26" s="4">
        <f>IFERROR(E26/0.06,"")</f>
        <v>15931440.000000004</v>
      </c>
      <c r="G26" s="4">
        <f>IFERROR(F26/H26,"")</f>
        <v>94830.000000000029</v>
      </c>
      <c r="H26" s="1">
        <v>168</v>
      </c>
      <c r="I26" s="1">
        <v>1995</v>
      </c>
      <c r="J26" t="s">
        <v>64</v>
      </c>
      <c r="K26" t="s">
        <v>288</v>
      </c>
      <c r="L26" t="s">
        <v>2286</v>
      </c>
      <c r="M26" t="s">
        <v>2287</v>
      </c>
      <c r="N26" t="s">
        <v>2288</v>
      </c>
      <c r="O26" t="s">
        <v>2286</v>
      </c>
      <c r="P26" s="1">
        <v>3</v>
      </c>
      <c r="Q26" t="s">
        <v>91</v>
      </c>
      <c r="R26" t="s">
        <v>70</v>
      </c>
      <c r="S26" t="s">
        <v>71</v>
      </c>
      <c r="U26" t="s">
        <v>72</v>
      </c>
      <c r="V26" t="s">
        <v>152</v>
      </c>
      <c r="W26" t="s">
        <v>74</v>
      </c>
      <c r="X26" t="s">
        <v>1336</v>
      </c>
      <c r="Y26" s="2">
        <v>855</v>
      </c>
      <c r="Z26" s="3">
        <v>1.04</v>
      </c>
      <c r="AA26" s="4">
        <v>887</v>
      </c>
      <c r="AK26" s="5">
        <v>41.071399999999997</v>
      </c>
      <c r="AM26" s="1">
        <v>2007</v>
      </c>
      <c r="AN26" s="1">
        <v>2</v>
      </c>
      <c r="AO26" t="s">
        <v>81</v>
      </c>
      <c r="AP26" t="s">
        <v>82</v>
      </c>
      <c r="AQ26" t="s">
        <v>83</v>
      </c>
      <c r="AR26" s="3">
        <v>1.03</v>
      </c>
      <c r="AS26" s="4">
        <v>972</v>
      </c>
      <c r="AT26" s="1">
        <v>946</v>
      </c>
      <c r="AU26" s="3">
        <v>1.01</v>
      </c>
      <c r="AV26" s="4">
        <v>1136</v>
      </c>
      <c r="AW26" s="1">
        <v>1125</v>
      </c>
      <c r="AX26" s="3">
        <v>291704.40000000002</v>
      </c>
      <c r="BB26" t="s">
        <v>84</v>
      </c>
      <c r="BD26" s="3">
        <v>1.06</v>
      </c>
      <c r="BE26" s="4">
        <v>761</v>
      </c>
      <c r="BF26" s="1">
        <v>719</v>
      </c>
      <c r="BG26" s="1">
        <v>80</v>
      </c>
      <c r="BH26" s="1">
        <v>72</v>
      </c>
      <c r="BI26" s="1">
        <v>16</v>
      </c>
    </row>
    <row r="27" spans="1:64" x14ac:dyDescent="0.25">
      <c r="A27" t="s">
        <v>166</v>
      </c>
      <c r="B27" t="s">
        <v>167</v>
      </c>
      <c r="C27" s="4">
        <f>(AA27*(H27*0.9))*12</f>
        <v>5779922.4000000004</v>
      </c>
      <c r="D27" s="4">
        <f>IF(C27=0,"",(H27*150*12)+C27)</f>
        <v>6863522.4000000004</v>
      </c>
      <c r="E27" s="4">
        <f>IFERROR(D27*0.5,"")</f>
        <v>3431761.2</v>
      </c>
      <c r="F27" s="4">
        <f>IFERROR(E27/0.06,"")</f>
        <v>57196020.000000007</v>
      </c>
      <c r="G27" s="4">
        <f>IFERROR(F27/H27,"")</f>
        <v>95010.000000000015</v>
      </c>
      <c r="H27" s="1">
        <v>602</v>
      </c>
      <c r="I27" s="1">
        <v>1986</v>
      </c>
      <c r="J27" t="s">
        <v>64</v>
      </c>
      <c r="K27" t="s">
        <v>168</v>
      </c>
      <c r="L27" t="s">
        <v>169</v>
      </c>
      <c r="M27" t="s">
        <v>170</v>
      </c>
      <c r="N27" t="s">
        <v>171</v>
      </c>
      <c r="O27" t="s">
        <v>169</v>
      </c>
      <c r="P27" s="1">
        <v>3</v>
      </c>
      <c r="Q27" t="s">
        <v>91</v>
      </c>
      <c r="R27" t="s">
        <v>70</v>
      </c>
      <c r="S27" t="s">
        <v>71</v>
      </c>
      <c r="U27" t="s">
        <v>72</v>
      </c>
      <c r="V27" t="s">
        <v>172</v>
      </c>
      <c r="W27" t="s">
        <v>74</v>
      </c>
      <c r="X27" t="s">
        <v>173</v>
      </c>
      <c r="Y27" s="2">
        <v>547</v>
      </c>
      <c r="Z27" s="3">
        <v>1.62</v>
      </c>
      <c r="AA27" s="4">
        <v>889</v>
      </c>
      <c r="AK27" s="5">
        <v>4.3189000000000002</v>
      </c>
      <c r="AN27" s="1">
        <v>3</v>
      </c>
      <c r="AO27" t="s">
        <v>81</v>
      </c>
      <c r="AP27" t="s">
        <v>82</v>
      </c>
      <c r="AQ27" t="s">
        <v>83</v>
      </c>
      <c r="AR27" s="3">
        <v>1.66</v>
      </c>
      <c r="AS27" s="4">
        <v>1257</v>
      </c>
      <c r="AT27" s="1">
        <v>759</v>
      </c>
      <c r="AX27" s="3">
        <v>1322483.7</v>
      </c>
      <c r="BB27" t="s">
        <v>84</v>
      </c>
      <c r="BD27" s="3">
        <v>1.62</v>
      </c>
      <c r="BE27" s="4">
        <v>852</v>
      </c>
      <c r="BF27" s="1">
        <v>526</v>
      </c>
      <c r="BG27" s="1">
        <v>546</v>
      </c>
      <c r="BH27" s="1">
        <v>56</v>
      </c>
      <c r="BK27" t="s">
        <v>174</v>
      </c>
      <c r="BL27" t="s">
        <v>104</v>
      </c>
    </row>
    <row r="28" spans="1:64" x14ac:dyDescent="0.25">
      <c r="A28" t="s">
        <v>299</v>
      </c>
      <c r="B28" t="s">
        <v>300</v>
      </c>
      <c r="C28" s="4">
        <f>(AA28*(H28*0.9))*12</f>
        <v>618624</v>
      </c>
      <c r="D28" s="4">
        <f>IF(C28=0,"",(H28*150*12)+C28)</f>
        <v>733824</v>
      </c>
      <c r="E28" s="4">
        <f>IFERROR(D28*0.5,"")</f>
        <v>366912</v>
      </c>
      <c r="F28" s="4">
        <f>IFERROR(E28/0.06,"")</f>
        <v>6115200</v>
      </c>
      <c r="G28" s="4">
        <f>IFERROR(F28/H28,"")</f>
        <v>95550</v>
      </c>
      <c r="H28" s="1">
        <v>64</v>
      </c>
      <c r="I28" s="1">
        <v>1985</v>
      </c>
      <c r="J28" t="s">
        <v>64</v>
      </c>
      <c r="K28" t="s">
        <v>301</v>
      </c>
      <c r="L28" t="s">
        <v>302</v>
      </c>
      <c r="M28" t="s">
        <v>303</v>
      </c>
      <c r="N28" t="s">
        <v>304</v>
      </c>
      <c r="O28" t="s">
        <v>302</v>
      </c>
      <c r="P28" s="1">
        <v>2</v>
      </c>
      <c r="Q28" t="s">
        <v>69</v>
      </c>
      <c r="R28" t="s">
        <v>70</v>
      </c>
      <c r="S28" t="s">
        <v>71</v>
      </c>
      <c r="U28" t="s">
        <v>72</v>
      </c>
      <c r="V28" t="s">
        <v>152</v>
      </c>
      <c r="W28" t="s">
        <v>74</v>
      </c>
      <c r="X28" t="s">
        <v>305</v>
      </c>
      <c r="Y28" s="2">
        <v>550</v>
      </c>
      <c r="Z28" s="3">
        <v>1.63</v>
      </c>
      <c r="AA28" s="4">
        <v>895</v>
      </c>
      <c r="AK28" s="5">
        <v>7.8125</v>
      </c>
      <c r="AN28" s="1">
        <v>2</v>
      </c>
      <c r="AO28" t="s">
        <v>81</v>
      </c>
      <c r="AP28" t="s">
        <v>82</v>
      </c>
      <c r="AQ28" t="s">
        <v>83</v>
      </c>
      <c r="AX28" s="3">
        <v>69560.28</v>
      </c>
      <c r="BB28" t="s">
        <v>84</v>
      </c>
      <c r="BD28" s="3">
        <v>1.63</v>
      </c>
      <c r="BE28" s="4">
        <v>895</v>
      </c>
      <c r="BF28" s="1">
        <v>550</v>
      </c>
      <c r="BG28" s="1">
        <v>64</v>
      </c>
      <c r="BL28" t="s">
        <v>131</v>
      </c>
    </row>
    <row r="29" spans="1:64" x14ac:dyDescent="0.25">
      <c r="A29" t="s">
        <v>1305</v>
      </c>
      <c r="B29" t="s">
        <v>1306</v>
      </c>
      <c r="C29" s="4">
        <f>(AA29*(H29*0.9))*12</f>
        <v>2574633.5999999996</v>
      </c>
      <c r="D29" s="4">
        <f>IF(C29=0,"",(H29*150*12)+C29)</f>
        <v>3049833.5999999996</v>
      </c>
      <c r="E29" s="4">
        <f>IFERROR(D29*0.5,"")</f>
        <v>1524916.7999999998</v>
      </c>
      <c r="F29" s="4">
        <f>IFERROR(E29/0.06,"")</f>
        <v>25415279.999999996</v>
      </c>
      <c r="G29" s="4">
        <f>IFERROR(F29/H29,"")</f>
        <v>96269.999999999985</v>
      </c>
      <c r="H29" s="1">
        <v>264</v>
      </c>
      <c r="I29" s="1">
        <v>1986</v>
      </c>
      <c r="J29" t="s">
        <v>64</v>
      </c>
      <c r="K29" t="s">
        <v>301</v>
      </c>
      <c r="L29" t="s">
        <v>135</v>
      </c>
      <c r="M29" t="s">
        <v>1307</v>
      </c>
      <c r="N29" t="s">
        <v>1308</v>
      </c>
      <c r="O29" t="s">
        <v>135</v>
      </c>
      <c r="P29" s="1">
        <v>3</v>
      </c>
      <c r="Q29" t="s">
        <v>91</v>
      </c>
      <c r="R29" t="s">
        <v>70</v>
      </c>
      <c r="S29" t="s">
        <v>71</v>
      </c>
      <c r="U29" t="s">
        <v>72</v>
      </c>
      <c r="V29" t="s">
        <v>152</v>
      </c>
      <c r="W29" t="s">
        <v>74</v>
      </c>
      <c r="X29" t="s">
        <v>1309</v>
      </c>
      <c r="Y29" s="2">
        <v>822</v>
      </c>
      <c r="Z29" s="3">
        <v>1.1000000000000001</v>
      </c>
      <c r="AA29" s="4">
        <v>903</v>
      </c>
      <c r="AK29" s="5">
        <v>12.5</v>
      </c>
      <c r="AN29" s="1">
        <v>2</v>
      </c>
      <c r="AO29" t="s">
        <v>81</v>
      </c>
      <c r="AP29" t="s">
        <v>82</v>
      </c>
      <c r="AQ29" t="s">
        <v>83</v>
      </c>
      <c r="AR29" s="3">
        <v>1.06</v>
      </c>
      <c r="AS29" s="4">
        <v>953</v>
      </c>
      <c r="AT29" s="1">
        <v>895</v>
      </c>
      <c r="AX29" s="3">
        <v>482839.28</v>
      </c>
      <c r="BB29" t="s">
        <v>84</v>
      </c>
      <c r="BD29" s="3">
        <v>1.2</v>
      </c>
      <c r="BE29" s="4">
        <v>788</v>
      </c>
      <c r="BF29" s="1">
        <v>655</v>
      </c>
      <c r="BG29" s="1">
        <v>80</v>
      </c>
      <c r="BH29" s="1">
        <v>184</v>
      </c>
      <c r="BK29" t="s">
        <v>1310</v>
      </c>
      <c r="BL29" t="s">
        <v>104</v>
      </c>
    </row>
    <row r="30" spans="1:64" x14ac:dyDescent="0.25">
      <c r="A30" t="s">
        <v>420</v>
      </c>
      <c r="B30" t="s">
        <v>421</v>
      </c>
      <c r="C30" s="4">
        <f>(AA30*(H30*0.9))*12</f>
        <v>2340576</v>
      </c>
      <c r="D30" s="4">
        <f>IF(C30=0,"",(H30*150*12)+C30)</f>
        <v>2772576</v>
      </c>
      <c r="E30" s="4">
        <f>IFERROR(D30*0.5,"")</f>
        <v>1386288</v>
      </c>
      <c r="F30" s="4">
        <f>IFERROR(E30/0.06,"")</f>
        <v>23104800</v>
      </c>
      <c r="G30" s="4">
        <f>IFERROR(F30/H30,"")</f>
        <v>96270</v>
      </c>
      <c r="H30" s="1">
        <v>240</v>
      </c>
      <c r="I30" s="1">
        <v>1986</v>
      </c>
      <c r="J30" t="s">
        <v>64</v>
      </c>
      <c r="K30" t="s">
        <v>422</v>
      </c>
      <c r="L30" t="s">
        <v>423</v>
      </c>
      <c r="M30" t="s">
        <v>424</v>
      </c>
      <c r="N30" t="s">
        <v>425</v>
      </c>
      <c r="O30" t="s">
        <v>423</v>
      </c>
      <c r="P30" s="1">
        <v>3</v>
      </c>
      <c r="Q30" t="s">
        <v>69</v>
      </c>
      <c r="R30" t="s">
        <v>70</v>
      </c>
      <c r="S30" t="s">
        <v>71</v>
      </c>
      <c r="T30" t="s">
        <v>426</v>
      </c>
      <c r="U30" t="s">
        <v>72</v>
      </c>
      <c r="V30" t="s">
        <v>427</v>
      </c>
      <c r="W30" t="s">
        <v>74</v>
      </c>
      <c r="X30" t="s">
        <v>428</v>
      </c>
      <c r="Y30" s="2">
        <v>1067</v>
      </c>
      <c r="Z30" s="3">
        <v>0.85</v>
      </c>
      <c r="AA30" s="4">
        <v>903</v>
      </c>
      <c r="AK30" s="5">
        <v>5</v>
      </c>
      <c r="AN30" s="1">
        <v>2</v>
      </c>
      <c r="AO30" t="s">
        <v>81</v>
      </c>
      <c r="AP30" t="s">
        <v>82</v>
      </c>
      <c r="AQ30" t="s">
        <v>83</v>
      </c>
      <c r="AR30" s="3">
        <v>0.83</v>
      </c>
      <c r="AS30" s="4">
        <v>858</v>
      </c>
      <c r="AT30" s="1">
        <v>1038</v>
      </c>
      <c r="AU30" s="3">
        <v>0.81</v>
      </c>
      <c r="AV30" s="4">
        <v>1048</v>
      </c>
      <c r="AW30" s="1">
        <v>1300</v>
      </c>
      <c r="AX30" s="3">
        <v>336160.22</v>
      </c>
      <c r="BB30" t="s">
        <v>84</v>
      </c>
      <c r="BD30" s="3">
        <v>1.02</v>
      </c>
      <c r="BE30" s="4">
        <v>769</v>
      </c>
      <c r="BF30" s="1">
        <v>750</v>
      </c>
      <c r="BG30" s="1">
        <v>48</v>
      </c>
      <c r="BH30" s="1">
        <v>112</v>
      </c>
      <c r="BI30" s="1">
        <v>80</v>
      </c>
    </row>
    <row r="31" spans="1:64" x14ac:dyDescent="0.25">
      <c r="A31" t="s">
        <v>543</v>
      </c>
      <c r="B31" t="s">
        <v>544</v>
      </c>
      <c r="C31" s="4">
        <f>(AA31*(H31*0.9))*12</f>
        <v>976320</v>
      </c>
      <c r="D31" s="4">
        <f>IF(C31=0,"",(H31*150*12)+C31)</f>
        <v>1156320</v>
      </c>
      <c r="E31" s="4">
        <f>IFERROR(D31*0.5,"")</f>
        <v>578160</v>
      </c>
      <c r="F31" s="4">
        <f>IFERROR(E31/0.06,"")</f>
        <v>9636000</v>
      </c>
      <c r="G31" s="4">
        <f>IFERROR(F31/H31,"")</f>
        <v>96360</v>
      </c>
      <c r="H31" s="1">
        <v>100</v>
      </c>
      <c r="I31" s="1">
        <v>1989</v>
      </c>
      <c r="J31" t="s">
        <v>64</v>
      </c>
      <c r="K31" t="s">
        <v>545</v>
      </c>
      <c r="L31" t="s">
        <v>546</v>
      </c>
      <c r="M31" t="s">
        <v>547</v>
      </c>
      <c r="N31" t="s">
        <v>546</v>
      </c>
      <c r="O31" t="s">
        <v>546</v>
      </c>
      <c r="P31" s="1">
        <v>3</v>
      </c>
      <c r="Q31" t="s">
        <v>69</v>
      </c>
      <c r="R31" t="s">
        <v>70</v>
      </c>
      <c r="S31" t="s">
        <v>71</v>
      </c>
      <c r="T31" t="s">
        <v>426</v>
      </c>
      <c r="U31" t="s">
        <v>72</v>
      </c>
      <c r="V31" t="s">
        <v>73</v>
      </c>
      <c r="W31" t="s">
        <v>74</v>
      </c>
      <c r="X31" t="s">
        <v>548</v>
      </c>
      <c r="Y31" s="2">
        <v>1020</v>
      </c>
      <c r="Z31" s="3">
        <v>0.89</v>
      </c>
      <c r="AA31" s="4">
        <v>904</v>
      </c>
      <c r="AK31" s="5">
        <v>5</v>
      </c>
      <c r="AN31" s="1">
        <v>2</v>
      </c>
      <c r="AO31" t="s">
        <v>81</v>
      </c>
      <c r="AP31" t="s">
        <v>82</v>
      </c>
      <c r="AQ31" t="s">
        <v>83</v>
      </c>
      <c r="AU31" s="3">
        <v>0.89</v>
      </c>
      <c r="AV31" s="4">
        <v>904</v>
      </c>
      <c r="AW31" s="1">
        <v>1020</v>
      </c>
      <c r="BB31" t="s">
        <v>84</v>
      </c>
      <c r="BI31" s="1">
        <v>100</v>
      </c>
    </row>
    <row r="32" spans="1:64" x14ac:dyDescent="0.25">
      <c r="A32" t="s">
        <v>1311</v>
      </c>
      <c r="B32" t="s">
        <v>1312</v>
      </c>
      <c r="C32" s="4">
        <f>(AA32*(H32*0.9))*12</f>
        <v>2577484.7999999998</v>
      </c>
      <c r="D32" s="4">
        <f>IF(C32=0,"",(H32*150*12)+C32)</f>
        <v>3052684.8</v>
      </c>
      <c r="E32" s="4">
        <f>IFERROR(D32*0.5,"")</f>
        <v>1526342.4</v>
      </c>
      <c r="F32" s="4">
        <f>IFERROR(E32/0.06,"")</f>
        <v>25439040</v>
      </c>
      <c r="G32" s="4">
        <f>IFERROR(F32/H32,"")</f>
        <v>96360</v>
      </c>
      <c r="H32" s="1">
        <v>264</v>
      </c>
      <c r="I32" s="1">
        <v>1985</v>
      </c>
      <c r="J32" t="s">
        <v>64</v>
      </c>
      <c r="K32" t="s">
        <v>301</v>
      </c>
      <c r="L32" t="s">
        <v>135</v>
      </c>
      <c r="M32" t="s">
        <v>1313</v>
      </c>
      <c r="N32" t="s">
        <v>1314</v>
      </c>
      <c r="O32" t="s">
        <v>135</v>
      </c>
      <c r="P32" s="1">
        <v>3</v>
      </c>
      <c r="Q32" t="s">
        <v>91</v>
      </c>
      <c r="R32" t="s">
        <v>70</v>
      </c>
      <c r="S32" t="s">
        <v>71</v>
      </c>
      <c r="U32" t="s">
        <v>72</v>
      </c>
      <c r="V32" t="s">
        <v>152</v>
      </c>
      <c r="W32" t="s">
        <v>74</v>
      </c>
      <c r="X32" t="s">
        <v>406</v>
      </c>
      <c r="Y32" s="2">
        <v>647</v>
      </c>
      <c r="Z32" s="3">
        <v>1.4</v>
      </c>
      <c r="AA32" s="4">
        <v>904</v>
      </c>
      <c r="AK32" s="5">
        <v>25</v>
      </c>
      <c r="AN32" s="1">
        <v>2</v>
      </c>
      <c r="AO32" t="s">
        <v>81</v>
      </c>
      <c r="AP32" t="s">
        <v>82</v>
      </c>
      <c r="AQ32" t="s">
        <v>83</v>
      </c>
      <c r="AR32" s="3">
        <v>1.4</v>
      </c>
      <c r="AS32" s="4">
        <v>1036</v>
      </c>
      <c r="AT32" s="1">
        <v>740</v>
      </c>
      <c r="AX32" s="3">
        <v>442993.32</v>
      </c>
      <c r="BB32" t="s">
        <v>84</v>
      </c>
      <c r="BD32" s="3">
        <v>1.39</v>
      </c>
      <c r="BE32" s="4">
        <v>764</v>
      </c>
      <c r="BF32" s="1">
        <v>550</v>
      </c>
      <c r="BG32" s="1">
        <v>128</v>
      </c>
      <c r="BH32" s="1">
        <v>136</v>
      </c>
      <c r="BK32" t="s">
        <v>1310</v>
      </c>
      <c r="BL32" t="s">
        <v>104</v>
      </c>
    </row>
    <row r="33" spans="1:64" x14ac:dyDescent="0.25">
      <c r="A33" t="s">
        <v>217</v>
      </c>
      <c r="B33" t="s">
        <v>218</v>
      </c>
      <c r="C33" s="4">
        <f>(AA33*(H33*0.9))*12</f>
        <v>782784</v>
      </c>
      <c r="D33" s="4">
        <f>IF(C33=0,"",(H33*150*12)+C33)</f>
        <v>926784</v>
      </c>
      <c r="E33" s="4">
        <f>IFERROR(D33*0.5,"")</f>
        <v>463392</v>
      </c>
      <c r="F33" s="4">
        <f>IFERROR(E33/0.06,"")</f>
        <v>7723200</v>
      </c>
      <c r="G33" s="4">
        <f>IFERROR(F33/H33,"")</f>
        <v>96540</v>
      </c>
      <c r="H33" s="1">
        <v>80</v>
      </c>
      <c r="I33" s="1">
        <v>1985</v>
      </c>
      <c r="J33" t="s">
        <v>64</v>
      </c>
      <c r="K33" t="s">
        <v>219</v>
      </c>
      <c r="L33" t="s">
        <v>220</v>
      </c>
      <c r="M33" t="s">
        <v>221</v>
      </c>
      <c r="N33" t="s">
        <v>222</v>
      </c>
      <c r="O33" t="s">
        <v>220</v>
      </c>
      <c r="P33" s="1">
        <v>2</v>
      </c>
      <c r="Q33" t="s">
        <v>69</v>
      </c>
      <c r="R33" t="s">
        <v>70</v>
      </c>
      <c r="S33" t="s">
        <v>71</v>
      </c>
      <c r="U33" t="s">
        <v>72</v>
      </c>
      <c r="V33" t="s">
        <v>223</v>
      </c>
      <c r="W33" t="s">
        <v>74</v>
      </c>
      <c r="X33" t="s">
        <v>224</v>
      </c>
      <c r="Y33" s="2">
        <v>725</v>
      </c>
      <c r="Z33" s="3">
        <v>1.25</v>
      </c>
      <c r="AA33" s="4">
        <v>906</v>
      </c>
      <c r="AK33" s="5">
        <v>20</v>
      </c>
      <c r="AN33" s="1">
        <v>1</v>
      </c>
      <c r="AO33" t="s">
        <v>81</v>
      </c>
      <c r="AP33" t="s">
        <v>82</v>
      </c>
      <c r="AQ33" t="s">
        <v>83</v>
      </c>
      <c r="AR33" s="3">
        <v>1.25</v>
      </c>
      <c r="AS33" s="4">
        <v>1000</v>
      </c>
      <c r="AT33" s="1">
        <v>800</v>
      </c>
      <c r="AX33" s="3">
        <v>153197.54</v>
      </c>
      <c r="BB33" t="s">
        <v>84</v>
      </c>
      <c r="BD33" s="3">
        <v>1.25</v>
      </c>
      <c r="BE33" s="4">
        <v>875</v>
      </c>
      <c r="BF33" s="1">
        <v>700</v>
      </c>
      <c r="BG33" s="1">
        <v>60</v>
      </c>
      <c r="BH33" s="1">
        <v>20</v>
      </c>
      <c r="BK33" t="s">
        <v>225</v>
      </c>
      <c r="BL33" t="s">
        <v>104</v>
      </c>
    </row>
    <row r="34" spans="1:64" x14ac:dyDescent="0.25">
      <c r="A34" t="s">
        <v>1246</v>
      </c>
      <c r="B34" t="s">
        <v>1247</v>
      </c>
      <c r="C34" s="4">
        <f>(AA34*(H34*0.9))*12</f>
        <v>538164</v>
      </c>
      <c r="D34" s="4">
        <f>IF(C34=0,"",(H34*150*12)+C34)</f>
        <v>637164</v>
      </c>
      <c r="E34" s="4">
        <f>IFERROR(D34*0.5,"")</f>
        <v>318582</v>
      </c>
      <c r="F34" s="4">
        <f>IFERROR(E34/0.06,"")</f>
        <v>5309700</v>
      </c>
      <c r="G34" s="4">
        <f>IFERROR(F34/H34,"")</f>
        <v>96540</v>
      </c>
      <c r="H34" s="1">
        <v>55</v>
      </c>
      <c r="I34" s="1">
        <v>1985</v>
      </c>
      <c r="J34" t="s">
        <v>64</v>
      </c>
      <c r="K34" t="s">
        <v>734</v>
      </c>
      <c r="L34" t="s">
        <v>1248</v>
      </c>
      <c r="M34" t="s">
        <v>1247</v>
      </c>
      <c r="N34" t="s">
        <v>1249</v>
      </c>
      <c r="O34" t="s">
        <v>1248</v>
      </c>
      <c r="P34" s="1">
        <v>3</v>
      </c>
      <c r="Q34" t="s">
        <v>91</v>
      </c>
      <c r="R34" t="s">
        <v>70</v>
      </c>
      <c r="S34" t="s">
        <v>71</v>
      </c>
      <c r="U34" t="s">
        <v>72</v>
      </c>
      <c r="V34" t="s">
        <v>73</v>
      </c>
      <c r="W34" t="s">
        <v>74</v>
      </c>
      <c r="X34" t="s">
        <v>1250</v>
      </c>
      <c r="Y34" s="2">
        <v>525</v>
      </c>
      <c r="Z34" s="3">
        <v>1.73</v>
      </c>
      <c r="AA34" s="4">
        <v>906</v>
      </c>
      <c r="AK34" s="5">
        <v>20</v>
      </c>
      <c r="AN34" s="1">
        <v>3</v>
      </c>
      <c r="AO34" t="s">
        <v>81</v>
      </c>
      <c r="AP34" t="s">
        <v>82</v>
      </c>
      <c r="AQ34" t="s">
        <v>83</v>
      </c>
      <c r="AX34" s="3">
        <v>93684.33</v>
      </c>
      <c r="BB34" t="s">
        <v>84</v>
      </c>
      <c r="BD34" s="3">
        <v>1.73</v>
      </c>
      <c r="BE34" s="4">
        <v>906</v>
      </c>
      <c r="BF34" s="1">
        <v>525</v>
      </c>
      <c r="BG34" s="1">
        <v>55</v>
      </c>
      <c r="BK34" t="s">
        <v>1251</v>
      </c>
    </row>
    <row r="35" spans="1:64" x14ac:dyDescent="0.25">
      <c r="A35" t="s">
        <v>437</v>
      </c>
      <c r="B35" t="s">
        <v>438</v>
      </c>
      <c r="C35" s="4">
        <f>(AA35*(H35*0.9))*12</f>
        <v>1490572.8</v>
      </c>
      <c r="D35" s="4">
        <f>IF(C35=0,"",(H35*150*12)+C35)</f>
        <v>1764172.8</v>
      </c>
      <c r="E35" s="4">
        <f>IFERROR(D35*0.5,"")</f>
        <v>882086.40000000002</v>
      </c>
      <c r="F35" s="4">
        <f>IFERROR(E35/0.06,"")</f>
        <v>14701440.000000002</v>
      </c>
      <c r="G35" s="4">
        <f>IFERROR(F35/H35,"")</f>
        <v>96720.000000000015</v>
      </c>
      <c r="H35" s="1">
        <v>152</v>
      </c>
      <c r="I35" s="1">
        <v>1986</v>
      </c>
      <c r="J35" t="s">
        <v>64</v>
      </c>
      <c r="K35" t="s">
        <v>439</v>
      </c>
      <c r="L35" t="s">
        <v>220</v>
      </c>
      <c r="M35" t="s">
        <v>440</v>
      </c>
      <c r="N35" t="s">
        <v>441</v>
      </c>
      <c r="O35" t="s">
        <v>220</v>
      </c>
      <c r="P35" s="1">
        <v>2</v>
      </c>
      <c r="Q35" t="s">
        <v>69</v>
      </c>
      <c r="R35" t="s">
        <v>70</v>
      </c>
      <c r="S35" t="s">
        <v>71</v>
      </c>
      <c r="U35" t="s">
        <v>72</v>
      </c>
      <c r="V35" t="s">
        <v>442</v>
      </c>
      <c r="W35" t="s">
        <v>74</v>
      </c>
      <c r="X35" t="s">
        <v>443</v>
      </c>
      <c r="Y35" s="2">
        <v>774</v>
      </c>
      <c r="Z35" s="3">
        <v>1.2</v>
      </c>
      <c r="AA35" s="4">
        <v>908</v>
      </c>
      <c r="AK35" s="5">
        <v>7.2367999999999997</v>
      </c>
      <c r="AN35" s="1">
        <v>2</v>
      </c>
      <c r="AO35" t="s">
        <v>81</v>
      </c>
      <c r="AP35" t="s">
        <v>82</v>
      </c>
      <c r="AQ35" t="s">
        <v>83</v>
      </c>
      <c r="AR35" s="3">
        <v>1.18</v>
      </c>
      <c r="AS35" s="4">
        <v>948</v>
      </c>
      <c r="AT35" s="1">
        <v>806</v>
      </c>
      <c r="AX35" s="3">
        <v>66266.850000000006</v>
      </c>
      <c r="BB35" t="s">
        <v>84</v>
      </c>
      <c r="BD35" s="3">
        <v>1.32</v>
      </c>
      <c r="BE35" s="4">
        <v>827</v>
      </c>
      <c r="BF35" s="1">
        <v>647</v>
      </c>
      <c r="BG35" s="1">
        <v>50</v>
      </c>
      <c r="BH35" s="1">
        <v>102</v>
      </c>
      <c r="BK35" t="s">
        <v>350</v>
      </c>
      <c r="BL35" t="s">
        <v>104</v>
      </c>
    </row>
    <row r="36" spans="1:64" x14ac:dyDescent="0.25">
      <c r="A36" t="s">
        <v>617</v>
      </c>
      <c r="B36" t="s">
        <v>618</v>
      </c>
      <c r="C36" s="4">
        <f>(AA36*(H36*0.9))*12</f>
        <v>3302208.0000000009</v>
      </c>
      <c r="D36" s="4">
        <f>IF(C36=0,"",(H36*150*12)+C36)</f>
        <v>3907008.0000000009</v>
      </c>
      <c r="E36" s="4">
        <f>IFERROR(D36*0.5,"")</f>
        <v>1953504.0000000005</v>
      </c>
      <c r="F36" s="4">
        <f>IFERROR(E36/0.06,"")</f>
        <v>32558400.000000007</v>
      </c>
      <c r="G36" s="4">
        <f>IFERROR(F36/H36,"")</f>
        <v>96900.000000000029</v>
      </c>
      <c r="H36" s="1">
        <v>336</v>
      </c>
      <c r="I36" s="1">
        <v>1985</v>
      </c>
      <c r="J36" t="s">
        <v>64</v>
      </c>
      <c r="K36" t="s">
        <v>110</v>
      </c>
      <c r="L36" t="s">
        <v>619</v>
      </c>
      <c r="M36" t="s">
        <v>620</v>
      </c>
      <c r="N36" t="s">
        <v>621</v>
      </c>
      <c r="O36" t="s">
        <v>619</v>
      </c>
      <c r="P36" s="1">
        <v>3</v>
      </c>
      <c r="Q36" t="s">
        <v>69</v>
      </c>
      <c r="R36" t="s">
        <v>70</v>
      </c>
      <c r="S36" t="s">
        <v>71</v>
      </c>
      <c r="U36" t="s">
        <v>72</v>
      </c>
      <c r="V36" t="s">
        <v>531</v>
      </c>
      <c r="W36" t="s">
        <v>74</v>
      </c>
      <c r="X36" t="s">
        <v>622</v>
      </c>
      <c r="Y36" s="2">
        <v>866</v>
      </c>
      <c r="Z36" s="3">
        <v>1.05</v>
      </c>
      <c r="AA36" s="4">
        <v>910</v>
      </c>
      <c r="AK36" s="5">
        <v>15.178599999999999</v>
      </c>
      <c r="AN36" s="1">
        <v>3</v>
      </c>
      <c r="AO36" t="s">
        <v>81</v>
      </c>
      <c r="AP36" t="s">
        <v>82</v>
      </c>
      <c r="AQ36" t="s">
        <v>83</v>
      </c>
      <c r="AR36" s="3">
        <v>1.04</v>
      </c>
      <c r="AS36" s="4">
        <v>1079</v>
      </c>
      <c r="AT36" s="1">
        <v>1037</v>
      </c>
      <c r="AX36" s="3">
        <v>307641.32</v>
      </c>
      <c r="BB36" t="s">
        <v>84</v>
      </c>
      <c r="BD36" s="3">
        <v>1.06</v>
      </c>
      <c r="BE36" s="4">
        <v>816</v>
      </c>
      <c r="BF36" s="1">
        <v>773</v>
      </c>
      <c r="BG36" s="1">
        <v>216</v>
      </c>
      <c r="BH36" s="1">
        <v>120</v>
      </c>
      <c r="BL36" t="s">
        <v>365</v>
      </c>
    </row>
    <row r="37" spans="1:64" x14ac:dyDescent="0.25">
      <c r="A37" t="s">
        <v>920</v>
      </c>
      <c r="B37" t="s">
        <v>921</v>
      </c>
      <c r="C37" s="4">
        <f>(AA37*(H37*0.9))*12</f>
        <v>1701561.6</v>
      </c>
      <c r="D37" s="4">
        <f>IF(C37=0,"",(H37*150*12)+C37)</f>
        <v>2011161.6000000001</v>
      </c>
      <c r="E37" s="4">
        <f>IFERROR(D37*0.5,"")</f>
        <v>1005580.8</v>
      </c>
      <c r="F37" s="4">
        <f>IFERROR(E37/0.06,"")</f>
        <v>16759680.000000002</v>
      </c>
      <c r="G37" s="4">
        <f>IFERROR(F37/H37,"")</f>
        <v>97440.000000000015</v>
      </c>
      <c r="H37" s="1">
        <v>172</v>
      </c>
      <c r="I37" s="1">
        <v>1985</v>
      </c>
      <c r="J37" t="s">
        <v>64</v>
      </c>
      <c r="K37" t="s">
        <v>922</v>
      </c>
      <c r="L37" t="s">
        <v>923</v>
      </c>
      <c r="M37" t="s">
        <v>924</v>
      </c>
      <c r="N37" t="s">
        <v>925</v>
      </c>
      <c r="O37" t="s">
        <v>923</v>
      </c>
      <c r="P37" s="1">
        <v>2</v>
      </c>
      <c r="Q37" t="s">
        <v>69</v>
      </c>
      <c r="R37" t="s">
        <v>70</v>
      </c>
      <c r="S37" t="s">
        <v>71</v>
      </c>
      <c r="U37" t="s">
        <v>72</v>
      </c>
      <c r="V37" t="s">
        <v>215</v>
      </c>
      <c r="W37" t="s">
        <v>74</v>
      </c>
      <c r="X37" t="s">
        <v>926</v>
      </c>
      <c r="Y37" s="2">
        <v>577</v>
      </c>
      <c r="Z37" s="3">
        <v>1.59</v>
      </c>
      <c r="AA37" s="4">
        <v>916</v>
      </c>
      <c r="AK37" s="5">
        <v>15.116300000000001</v>
      </c>
      <c r="AM37" s="1">
        <v>2022</v>
      </c>
      <c r="AN37" s="1">
        <v>2</v>
      </c>
      <c r="AO37" t="s">
        <v>81</v>
      </c>
      <c r="AP37" t="s">
        <v>82</v>
      </c>
      <c r="AQ37" t="s">
        <v>83</v>
      </c>
      <c r="AR37" s="3">
        <v>1.47</v>
      </c>
      <c r="AS37" s="4">
        <v>1007</v>
      </c>
      <c r="AT37" s="1">
        <v>684</v>
      </c>
      <c r="AX37" s="3">
        <v>130930.43</v>
      </c>
      <c r="BB37" t="s">
        <v>84</v>
      </c>
      <c r="BD37" s="3">
        <v>1.66</v>
      </c>
      <c r="BE37" s="4">
        <v>872</v>
      </c>
      <c r="BF37" s="1">
        <v>527</v>
      </c>
      <c r="BG37" s="1">
        <v>116</v>
      </c>
      <c r="BH37" s="1">
        <v>56</v>
      </c>
      <c r="BL37" t="s">
        <v>131</v>
      </c>
    </row>
    <row r="38" spans="1:64" x14ac:dyDescent="0.25">
      <c r="A38" t="s">
        <v>723</v>
      </c>
      <c r="B38" t="s">
        <v>724</v>
      </c>
      <c r="C38" s="4">
        <f>(AA38*(H38*0.9))*12</f>
        <v>4595432.4000000004</v>
      </c>
      <c r="D38" s="4">
        <f>IF(C38=0,"",(H38*150*12)+C38)</f>
        <v>5425232.4000000004</v>
      </c>
      <c r="E38" s="4">
        <f>IFERROR(D38*0.5,"")</f>
        <v>2712616.2</v>
      </c>
      <c r="F38" s="4">
        <f>IFERROR(E38/0.06,"")</f>
        <v>45210270.000000007</v>
      </c>
      <c r="G38" s="4">
        <f>IFERROR(F38/H38,"")</f>
        <v>98070.000000000015</v>
      </c>
      <c r="H38" s="1">
        <v>461</v>
      </c>
      <c r="I38" s="1">
        <v>1986</v>
      </c>
      <c r="J38" t="s">
        <v>64</v>
      </c>
      <c r="K38" t="s">
        <v>725</v>
      </c>
      <c r="L38" t="s">
        <v>726</v>
      </c>
      <c r="M38" t="s">
        <v>727</v>
      </c>
      <c r="N38" t="s">
        <v>728</v>
      </c>
      <c r="O38" t="s">
        <v>726</v>
      </c>
      <c r="P38" s="1">
        <v>4</v>
      </c>
      <c r="Q38" t="s">
        <v>729</v>
      </c>
      <c r="R38" t="s">
        <v>70</v>
      </c>
      <c r="S38" t="s">
        <v>71</v>
      </c>
      <c r="U38" t="s">
        <v>72</v>
      </c>
      <c r="V38" t="s">
        <v>73</v>
      </c>
      <c r="W38" t="s">
        <v>74</v>
      </c>
      <c r="X38" t="s">
        <v>730</v>
      </c>
      <c r="Y38" s="2">
        <v>631</v>
      </c>
      <c r="Z38" s="3">
        <v>1.46</v>
      </c>
      <c r="AA38" s="4">
        <v>923</v>
      </c>
      <c r="AK38" s="5">
        <v>1.9522999999999999</v>
      </c>
      <c r="AM38" s="1">
        <v>2000</v>
      </c>
      <c r="AN38" s="1">
        <v>3</v>
      </c>
      <c r="AO38" t="s">
        <v>81</v>
      </c>
      <c r="AP38" t="s">
        <v>82</v>
      </c>
      <c r="AQ38" t="s">
        <v>83</v>
      </c>
      <c r="AR38" s="3">
        <v>1.65</v>
      </c>
      <c r="AS38" s="4">
        <v>1607</v>
      </c>
      <c r="AT38" s="1">
        <v>975</v>
      </c>
      <c r="AX38" s="3">
        <v>778610.13</v>
      </c>
      <c r="AY38" s="3">
        <v>1.4</v>
      </c>
      <c r="AZ38" s="4">
        <v>700</v>
      </c>
      <c r="BA38" s="6">
        <v>500</v>
      </c>
      <c r="BB38" t="s">
        <v>84</v>
      </c>
      <c r="BD38" s="3">
        <v>1.44</v>
      </c>
      <c r="BE38" s="4">
        <v>916</v>
      </c>
      <c r="BF38" s="1">
        <v>638</v>
      </c>
      <c r="BG38" s="1">
        <v>275</v>
      </c>
      <c r="BH38" s="1">
        <v>48</v>
      </c>
      <c r="BK38" t="s">
        <v>731</v>
      </c>
      <c r="BL38" t="s">
        <v>104</v>
      </c>
    </row>
    <row r="39" spans="1:64" x14ac:dyDescent="0.25">
      <c r="A39" t="s">
        <v>1725</v>
      </c>
      <c r="B39" t="s">
        <v>1726</v>
      </c>
      <c r="C39" s="4">
        <f>(AA39*(H39*0.9))*12</f>
        <v>637977.60000000009</v>
      </c>
      <c r="D39" s="4">
        <f>IF(C39=0,"",(H39*150*12)+C39)</f>
        <v>753177.60000000009</v>
      </c>
      <c r="E39" s="4">
        <f>IFERROR(D39*0.5,"")</f>
        <v>376588.80000000005</v>
      </c>
      <c r="F39" s="4">
        <f>IFERROR(E39/0.06,"")</f>
        <v>6276480.0000000009</v>
      </c>
      <c r="G39" s="4">
        <f>IFERROR(F39/H39,"")</f>
        <v>98070.000000000015</v>
      </c>
      <c r="H39" s="1">
        <v>64</v>
      </c>
      <c r="I39" s="1">
        <v>1986</v>
      </c>
      <c r="J39" t="s">
        <v>64</v>
      </c>
      <c r="K39" t="s">
        <v>995</v>
      </c>
      <c r="L39" t="s">
        <v>1727</v>
      </c>
      <c r="M39" t="s">
        <v>1728</v>
      </c>
      <c r="N39" t="s">
        <v>1729</v>
      </c>
      <c r="O39" t="s">
        <v>1727</v>
      </c>
      <c r="P39" s="1">
        <v>3</v>
      </c>
      <c r="Q39" t="s">
        <v>69</v>
      </c>
      <c r="R39" t="s">
        <v>70</v>
      </c>
      <c r="S39" t="s">
        <v>71</v>
      </c>
      <c r="U39" t="s">
        <v>72</v>
      </c>
      <c r="V39" t="s">
        <v>73</v>
      </c>
      <c r="W39" t="s">
        <v>74</v>
      </c>
      <c r="X39" t="s">
        <v>1730</v>
      </c>
      <c r="Y39" s="2">
        <v>722</v>
      </c>
      <c r="Z39" s="3">
        <v>1.28</v>
      </c>
      <c r="AA39" s="4">
        <v>923</v>
      </c>
      <c r="AK39" s="5">
        <v>3.125</v>
      </c>
      <c r="AN39" s="1">
        <v>3</v>
      </c>
      <c r="AO39" t="s">
        <v>81</v>
      </c>
      <c r="AP39" t="s">
        <v>82</v>
      </c>
      <c r="AQ39" t="s">
        <v>83</v>
      </c>
      <c r="AR39" s="3">
        <v>1.35</v>
      </c>
      <c r="AS39" s="4">
        <v>1162</v>
      </c>
      <c r="AT39" s="1">
        <v>863</v>
      </c>
      <c r="AX39" s="3">
        <v>189307.76</v>
      </c>
      <c r="BB39" t="s">
        <v>84</v>
      </c>
      <c r="BD39" s="3">
        <v>1.23</v>
      </c>
      <c r="BE39" s="4">
        <v>798</v>
      </c>
      <c r="BF39" s="1">
        <v>649</v>
      </c>
      <c r="BG39" s="1">
        <v>42</v>
      </c>
      <c r="BH39" s="1">
        <v>22</v>
      </c>
      <c r="BK39" t="s">
        <v>1731</v>
      </c>
      <c r="BL39" t="s">
        <v>104</v>
      </c>
    </row>
    <row r="40" spans="1:64" x14ac:dyDescent="0.25">
      <c r="A40" t="s">
        <v>3638</v>
      </c>
      <c r="B40" t="s">
        <v>3639</v>
      </c>
      <c r="C40" s="4">
        <f>(AA40*(H40*0.9))*12</f>
        <v>5001912</v>
      </c>
      <c r="D40" s="4">
        <f>IF(C40=0,"",(H40*150*12)+C40)</f>
        <v>5898312</v>
      </c>
      <c r="E40" s="4">
        <f>IFERROR(D40*0.5,"")</f>
        <v>2949156</v>
      </c>
      <c r="F40" s="4">
        <f>IFERROR(E40/0.06,"")</f>
        <v>49152600</v>
      </c>
      <c r="G40" s="4">
        <f>IFERROR(F40/H40,"")</f>
        <v>98700</v>
      </c>
      <c r="H40" s="1">
        <v>498</v>
      </c>
      <c r="I40" s="1">
        <v>2000</v>
      </c>
      <c r="J40" t="s">
        <v>64</v>
      </c>
      <c r="K40" t="s">
        <v>97</v>
      </c>
      <c r="L40" t="s">
        <v>866</v>
      </c>
      <c r="M40" t="s">
        <v>3640</v>
      </c>
      <c r="N40" t="s">
        <v>3641</v>
      </c>
      <c r="O40" t="s">
        <v>866</v>
      </c>
      <c r="P40" s="1">
        <v>3</v>
      </c>
      <c r="Q40" t="s">
        <v>91</v>
      </c>
      <c r="R40" t="s">
        <v>70</v>
      </c>
      <c r="S40" t="s">
        <v>127</v>
      </c>
      <c r="U40" t="s">
        <v>72</v>
      </c>
      <c r="V40" t="s">
        <v>101</v>
      </c>
      <c r="W40" t="s">
        <v>74</v>
      </c>
      <c r="X40" t="s">
        <v>3642</v>
      </c>
      <c r="Y40" s="2">
        <v>1152</v>
      </c>
      <c r="Z40" s="3">
        <v>0.81</v>
      </c>
      <c r="AA40" s="4">
        <v>930</v>
      </c>
      <c r="AK40" s="5">
        <v>9.0360999999999994</v>
      </c>
      <c r="AN40" s="1">
        <v>1</v>
      </c>
      <c r="AO40" t="s">
        <v>81</v>
      </c>
      <c r="AP40" t="s">
        <v>82</v>
      </c>
      <c r="AQ40" t="s">
        <v>83</v>
      </c>
      <c r="AU40" s="3">
        <v>0.81</v>
      </c>
      <c r="AV40" s="4">
        <v>930</v>
      </c>
      <c r="AW40" s="1">
        <v>1152</v>
      </c>
      <c r="AX40" s="3">
        <v>685044.38</v>
      </c>
      <c r="BB40" t="s">
        <v>84</v>
      </c>
      <c r="BI40" s="1">
        <v>498</v>
      </c>
    </row>
    <row r="41" spans="1:64" x14ac:dyDescent="0.25">
      <c r="A41" t="s">
        <v>1294</v>
      </c>
      <c r="B41" t="s">
        <v>1295</v>
      </c>
      <c r="C41" s="4">
        <f>(AA41*(H41*0.9))*12</f>
        <v>765806.4</v>
      </c>
      <c r="D41" s="4">
        <f>IF(C41=0,"",(H41*150*12)+C41)</f>
        <v>902606.4</v>
      </c>
      <c r="E41" s="4">
        <f>IFERROR(D41*0.5,"")</f>
        <v>451303.2</v>
      </c>
      <c r="F41" s="4">
        <f>IFERROR(E41/0.06,"")</f>
        <v>7521720.0000000009</v>
      </c>
      <c r="G41" s="4">
        <f>IFERROR(F41/H41,"")</f>
        <v>98970.000000000015</v>
      </c>
      <c r="H41" s="1">
        <v>76</v>
      </c>
      <c r="I41" s="1">
        <v>1987</v>
      </c>
      <c r="J41" t="s">
        <v>64</v>
      </c>
      <c r="K41" t="s">
        <v>943</v>
      </c>
      <c r="L41" t="s">
        <v>1296</v>
      </c>
      <c r="M41" t="s">
        <v>1297</v>
      </c>
      <c r="N41" t="s">
        <v>1298</v>
      </c>
      <c r="O41" t="s">
        <v>1296</v>
      </c>
      <c r="P41" s="1">
        <v>3</v>
      </c>
      <c r="Q41" t="s">
        <v>91</v>
      </c>
      <c r="R41" t="s">
        <v>70</v>
      </c>
      <c r="S41" t="s">
        <v>71</v>
      </c>
      <c r="T41" t="s">
        <v>426</v>
      </c>
      <c r="U41" t="s">
        <v>72</v>
      </c>
      <c r="V41" t="s">
        <v>945</v>
      </c>
      <c r="W41" t="s">
        <v>74</v>
      </c>
      <c r="X41" t="s">
        <v>946</v>
      </c>
      <c r="Y41" s="2">
        <v>804</v>
      </c>
      <c r="Z41" s="3">
        <v>1.1599999999999999</v>
      </c>
      <c r="AA41" s="4">
        <v>933</v>
      </c>
      <c r="AK41" s="5">
        <v>13.1579</v>
      </c>
      <c r="AM41" s="1">
        <v>2018</v>
      </c>
      <c r="AN41" s="1">
        <v>2</v>
      </c>
      <c r="AO41" t="s">
        <v>81</v>
      </c>
      <c r="AP41" t="s">
        <v>82</v>
      </c>
      <c r="AQ41" t="s">
        <v>83</v>
      </c>
      <c r="AR41" s="3">
        <v>1.01</v>
      </c>
      <c r="AS41" s="4">
        <v>948</v>
      </c>
      <c r="AT41" s="1">
        <v>935</v>
      </c>
      <c r="AX41" s="3">
        <v>85189.19</v>
      </c>
      <c r="BB41" t="s">
        <v>84</v>
      </c>
      <c r="BD41" s="3">
        <v>1.44</v>
      </c>
      <c r="BE41" s="4">
        <v>913</v>
      </c>
      <c r="BF41" s="1">
        <v>635</v>
      </c>
      <c r="BG41" s="1">
        <v>33</v>
      </c>
      <c r="BH41" s="1">
        <v>43</v>
      </c>
      <c r="BK41" t="s">
        <v>1299</v>
      </c>
      <c r="BL41" t="s">
        <v>131</v>
      </c>
    </row>
    <row r="42" spans="1:64" x14ac:dyDescent="0.25">
      <c r="A42" t="s">
        <v>1575</v>
      </c>
      <c r="B42" t="s">
        <v>1576</v>
      </c>
      <c r="C42" s="4">
        <f>(AA42*(H42*0.9))*12</f>
        <v>1563516</v>
      </c>
      <c r="D42" s="4">
        <f>IF(C42=0,"",(H42*150*12)+C42)</f>
        <v>1842516</v>
      </c>
      <c r="E42" s="4">
        <f>IFERROR(D42*0.5,"")</f>
        <v>921258</v>
      </c>
      <c r="F42" s="4">
        <f>IFERROR(E42/0.06,"")</f>
        <v>15354300</v>
      </c>
      <c r="G42" s="4">
        <f>IFERROR(F42/H42,"")</f>
        <v>99060</v>
      </c>
      <c r="H42" s="1">
        <v>155</v>
      </c>
      <c r="I42" s="1">
        <v>1986</v>
      </c>
      <c r="J42" t="s">
        <v>64</v>
      </c>
      <c r="K42" t="s">
        <v>301</v>
      </c>
      <c r="L42" t="s">
        <v>1577</v>
      </c>
      <c r="M42" t="s">
        <v>1578</v>
      </c>
      <c r="N42" t="s">
        <v>1579</v>
      </c>
      <c r="O42" t="s">
        <v>1577</v>
      </c>
      <c r="P42" s="1">
        <v>3</v>
      </c>
      <c r="Q42" t="s">
        <v>91</v>
      </c>
      <c r="R42" t="s">
        <v>70</v>
      </c>
      <c r="S42" t="s">
        <v>71</v>
      </c>
      <c r="T42" t="s">
        <v>118</v>
      </c>
      <c r="U42" t="s">
        <v>72</v>
      </c>
      <c r="V42" t="s">
        <v>152</v>
      </c>
      <c r="W42" t="s">
        <v>74</v>
      </c>
      <c r="X42" t="s">
        <v>1580</v>
      </c>
      <c r="Y42" s="2">
        <v>633</v>
      </c>
      <c r="Z42" s="3">
        <v>1.47</v>
      </c>
      <c r="AA42" s="4">
        <v>934</v>
      </c>
      <c r="AK42" s="5">
        <v>8.3871000000000002</v>
      </c>
      <c r="AN42" s="1">
        <v>3</v>
      </c>
      <c r="AO42" t="s">
        <v>81</v>
      </c>
      <c r="AP42" t="s">
        <v>82</v>
      </c>
      <c r="AQ42" t="s">
        <v>83</v>
      </c>
      <c r="AR42" s="3">
        <v>1.54</v>
      </c>
      <c r="AS42" s="4">
        <v>1240</v>
      </c>
      <c r="AT42" s="1">
        <v>804</v>
      </c>
      <c r="BB42" t="s">
        <v>84</v>
      </c>
      <c r="BD42" s="3">
        <v>1.46</v>
      </c>
      <c r="BE42" s="4">
        <v>875</v>
      </c>
      <c r="BF42" s="1">
        <v>601</v>
      </c>
      <c r="BG42" s="1">
        <v>130</v>
      </c>
      <c r="BH42" s="1">
        <v>25</v>
      </c>
    </row>
    <row r="43" spans="1:64" x14ac:dyDescent="0.25">
      <c r="A43" t="s">
        <v>580</v>
      </c>
      <c r="B43" t="s">
        <v>581</v>
      </c>
      <c r="C43" s="4">
        <f>(AA43*(H43*0.9))*12</f>
        <v>861084</v>
      </c>
      <c r="D43" s="4">
        <f>IF(C43=0,"",(H43*150*12)+C43)</f>
        <v>1014084</v>
      </c>
      <c r="E43" s="4">
        <f>IFERROR(D43*0.5,"")</f>
        <v>507042</v>
      </c>
      <c r="F43" s="4">
        <f>IFERROR(E43/0.06,"")</f>
        <v>8450700</v>
      </c>
      <c r="G43" s="4">
        <f>IFERROR(F43/H43,"")</f>
        <v>99420</v>
      </c>
      <c r="H43" s="1">
        <v>85</v>
      </c>
      <c r="I43" s="1">
        <v>1986</v>
      </c>
      <c r="J43" t="s">
        <v>64</v>
      </c>
      <c r="K43" t="s">
        <v>582</v>
      </c>
      <c r="L43" t="s">
        <v>583</v>
      </c>
      <c r="M43" t="s">
        <v>584</v>
      </c>
      <c r="N43" t="s">
        <v>585</v>
      </c>
      <c r="O43" t="s">
        <v>583</v>
      </c>
      <c r="P43" s="1">
        <v>2</v>
      </c>
      <c r="Q43" t="s">
        <v>69</v>
      </c>
      <c r="R43" t="s">
        <v>70</v>
      </c>
      <c r="S43" t="s">
        <v>71</v>
      </c>
      <c r="T43" t="s">
        <v>426</v>
      </c>
      <c r="U43" t="s">
        <v>72</v>
      </c>
      <c r="V43" t="s">
        <v>73</v>
      </c>
      <c r="W43" t="s">
        <v>74</v>
      </c>
      <c r="X43" t="s">
        <v>586</v>
      </c>
      <c r="Y43" s="2">
        <v>496</v>
      </c>
      <c r="Z43" s="3">
        <v>1.89</v>
      </c>
      <c r="AA43" s="4">
        <v>938</v>
      </c>
      <c r="AK43" s="5">
        <v>7.0587999999999997</v>
      </c>
      <c r="AN43" s="1">
        <v>3</v>
      </c>
      <c r="AO43" t="s">
        <v>81</v>
      </c>
      <c r="AP43" t="s">
        <v>82</v>
      </c>
      <c r="AQ43" t="s">
        <v>83</v>
      </c>
      <c r="AX43" s="3">
        <v>197241.41</v>
      </c>
      <c r="AY43" s="3">
        <v>2.0099999999999998</v>
      </c>
      <c r="AZ43" s="4">
        <v>804</v>
      </c>
      <c r="BA43" s="6">
        <v>400</v>
      </c>
      <c r="BB43" t="s">
        <v>84</v>
      </c>
      <c r="BD43" s="3">
        <v>1.86</v>
      </c>
      <c r="BE43" s="4">
        <v>985</v>
      </c>
      <c r="BF43" s="1">
        <v>530</v>
      </c>
      <c r="BG43" s="1">
        <v>63</v>
      </c>
      <c r="BL43" t="s">
        <v>131</v>
      </c>
    </row>
    <row r="44" spans="1:64" x14ac:dyDescent="0.25">
      <c r="A44" t="s">
        <v>952</v>
      </c>
      <c r="B44" t="s">
        <v>953</v>
      </c>
      <c r="C44" s="4">
        <f>(AA44*(H44*0.9))*12</f>
        <v>2039040</v>
      </c>
      <c r="D44" s="4">
        <f>IF(C44=0,"",(H44*150*12)+C44)</f>
        <v>2399040</v>
      </c>
      <c r="E44" s="4">
        <f>IFERROR(D44*0.5,"")</f>
        <v>1199520</v>
      </c>
      <c r="F44" s="4">
        <f>IFERROR(E44/0.06,"")</f>
        <v>19992000</v>
      </c>
      <c r="G44" s="4">
        <f>IFERROR(F44/H44,"")</f>
        <v>99960</v>
      </c>
      <c r="H44" s="1">
        <v>200</v>
      </c>
      <c r="I44" s="1">
        <v>1988</v>
      </c>
      <c r="J44" t="s">
        <v>64</v>
      </c>
      <c r="K44" t="s">
        <v>943</v>
      </c>
      <c r="L44" t="s">
        <v>954</v>
      </c>
      <c r="M44" t="s">
        <v>953</v>
      </c>
      <c r="N44" t="s">
        <v>955</v>
      </c>
      <c r="O44" t="s">
        <v>954</v>
      </c>
      <c r="P44" s="1">
        <v>3</v>
      </c>
      <c r="Q44" t="s">
        <v>69</v>
      </c>
      <c r="R44" t="s">
        <v>70</v>
      </c>
      <c r="S44" t="s">
        <v>71</v>
      </c>
      <c r="U44" t="s">
        <v>72</v>
      </c>
      <c r="V44" t="s">
        <v>945</v>
      </c>
      <c r="W44" t="s">
        <v>74</v>
      </c>
      <c r="X44" t="s">
        <v>946</v>
      </c>
      <c r="Y44" s="2">
        <v>777</v>
      </c>
      <c r="Z44" s="3">
        <v>1.21</v>
      </c>
      <c r="AA44" s="4">
        <v>944</v>
      </c>
      <c r="AK44" s="5">
        <v>4</v>
      </c>
      <c r="AM44" s="1">
        <v>2005</v>
      </c>
      <c r="AN44" s="1">
        <v>2</v>
      </c>
      <c r="AO44" t="s">
        <v>81</v>
      </c>
      <c r="AP44" t="s">
        <v>82</v>
      </c>
      <c r="AQ44" t="s">
        <v>83</v>
      </c>
      <c r="AR44" s="3">
        <v>1.18</v>
      </c>
      <c r="AS44" s="4">
        <v>944</v>
      </c>
      <c r="AT44" s="1">
        <v>800</v>
      </c>
      <c r="AU44" s="3">
        <v>0.94</v>
      </c>
      <c r="AV44" s="4">
        <v>944</v>
      </c>
      <c r="AW44" s="1">
        <v>1000</v>
      </c>
      <c r="AX44" s="3">
        <v>211345.03</v>
      </c>
      <c r="BB44" t="s">
        <v>84</v>
      </c>
      <c r="BD44" s="3">
        <v>1.59</v>
      </c>
      <c r="BE44" s="4">
        <v>944</v>
      </c>
      <c r="BF44" s="1">
        <v>593</v>
      </c>
      <c r="BG44" s="1">
        <v>80</v>
      </c>
      <c r="BH44" s="1">
        <v>60</v>
      </c>
      <c r="BI44" s="1">
        <v>60</v>
      </c>
      <c r="BK44" t="s">
        <v>956</v>
      </c>
      <c r="BL44" t="s">
        <v>104</v>
      </c>
    </row>
    <row r="45" spans="1:64" x14ac:dyDescent="0.25">
      <c r="A45" t="s">
        <v>468</v>
      </c>
      <c r="B45" t="s">
        <v>469</v>
      </c>
      <c r="C45" s="4">
        <f>(AA45*(H45*0.9))*12</f>
        <v>3017779.2000000002</v>
      </c>
      <c r="D45" s="4">
        <f>IF(C45=0,"",(H45*150*12)+C45)</f>
        <v>3550579.2</v>
      </c>
      <c r="E45" s="4">
        <f>IFERROR(D45*0.5,"")</f>
        <v>1775289.6</v>
      </c>
      <c r="F45" s="4">
        <f>IFERROR(E45/0.06,"")</f>
        <v>29588160.000000004</v>
      </c>
      <c r="G45" s="4">
        <f>IFERROR(F45/H45,"")</f>
        <v>99960.000000000015</v>
      </c>
      <c r="H45" s="1">
        <v>296</v>
      </c>
      <c r="I45" s="1">
        <v>1985</v>
      </c>
      <c r="J45" t="s">
        <v>64</v>
      </c>
      <c r="K45" t="s">
        <v>470</v>
      </c>
      <c r="L45" t="s">
        <v>471</v>
      </c>
      <c r="M45" t="s">
        <v>469</v>
      </c>
      <c r="N45" t="s">
        <v>472</v>
      </c>
      <c r="O45" t="s">
        <v>471</v>
      </c>
      <c r="P45" s="1">
        <v>3</v>
      </c>
      <c r="Q45" t="s">
        <v>91</v>
      </c>
      <c r="R45" t="s">
        <v>70</v>
      </c>
      <c r="S45" t="s">
        <v>71</v>
      </c>
      <c r="U45" t="s">
        <v>72</v>
      </c>
      <c r="V45" t="s">
        <v>73</v>
      </c>
      <c r="W45" t="s">
        <v>74</v>
      </c>
      <c r="X45" t="s">
        <v>473</v>
      </c>
      <c r="Y45" s="2">
        <v>790</v>
      </c>
      <c r="Z45" s="3">
        <v>1.19</v>
      </c>
      <c r="AA45" s="4">
        <v>944</v>
      </c>
      <c r="AK45" s="5">
        <v>10.1351</v>
      </c>
      <c r="AN45" s="1">
        <v>3</v>
      </c>
      <c r="AO45" t="s">
        <v>81</v>
      </c>
      <c r="AP45" t="s">
        <v>82</v>
      </c>
      <c r="AQ45" t="s">
        <v>83</v>
      </c>
      <c r="AR45" s="3">
        <v>1.1399999999999999</v>
      </c>
      <c r="AS45" s="4">
        <v>1057</v>
      </c>
      <c r="AT45" s="1">
        <v>930</v>
      </c>
      <c r="AX45" s="3">
        <v>571705.69999999995</v>
      </c>
      <c r="BB45" t="s">
        <v>84</v>
      </c>
      <c r="BD45" s="3">
        <v>1.27</v>
      </c>
      <c r="BE45" s="4">
        <v>836</v>
      </c>
      <c r="BF45" s="1">
        <v>658</v>
      </c>
      <c r="BG45" s="1">
        <v>151</v>
      </c>
      <c r="BH45" s="1">
        <v>145</v>
      </c>
      <c r="BK45" t="s">
        <v>474</v>
      </c>
      <c r="BL45" t="s">
        <v>104</v>
      </c>
    </row>
    <row r="46" spans="1:64" x14ac:dyDescent="0.25">
      <c r="A46" t="s">
        <v>1209</v>
      </c>
      <c r="B46" t="s">
        <v>1210</v>
      </c>
      <c r="C46" s="4">
        <f>(AA46*(H46*0.9))*12</f>
        <v>2472465.6</v>
      </c>
      <c r="D46" s="4">
        <f>IF(C46=0,"",(H46*150*12)+C46)</f>
        <v>2908065.6</v>
      </c>
      <c r="E46" s="4">
        <f>IFERROR(D46*0.5,"")</f>
        <v>1454032.8</v>
      </c>
      <c r="F46" s="4">
        <f>IFERROR(E46/0.06,"")</f>
        <v>24233880</v>
      </c>
      <c r="G46" s="4">
        <f>IFERROR(F46/H46,"")</f>
        <v>100140</v>
      </c>
      <c r="H46" s="1">
        <v>242</v>
      </c>
      <c r="I46" s="1">
        <v>1986</v>
      </c>
      <c r="J46" t="s">
        <v>64</v>
      </c>
      <c r="K46" t="s">
        <v>97</v>
      </c>
      <c r="L46" t="s">
        <v>135</v>
      </c>
      <c r="M46" t="s">
        <v>1211</v>
      </c>
      <c r="N46" t="s">
        <v>1212</v>
      </c>
      <c r="O46" t="s">
        <v>135</v>
      </c>
      <c r="P46" s="1">
        <v>2</v>
      </c>
      <c r="Q46" t="s">
        <v>69</v>
      </c>
      <c r="R46" t="s">
        <v>70</v>
      </c>
      <c r="S46" t="s">
        <v>71</v>
      </c>
      <c r="U46" t="s">
        <v>72</v>
      </c>
      <c r="V46" t="s">
        <v>73</v>
      </c>
      <c r="W46" t="s">
        <v>74</v>
      </c>
      <c r="X46" t="s">
        <v>1213</v>
      </c>
      <c r="AA46" s="4">
        <v>946</v>
      </c>
      <c r="AK46" s="5">
        <v>16.5289</v>
      </c>
      <c r="AM46" s="1">
        <v>1997</v>
      </c>
      <c r="AN46" s="1">
        <v>3</v>
      </c>
      <c r="AO46" t="s">
        <v>81</v>
      </c>
      <c r="AP46" t="s">
        <v>82</v>
      </c>
      <c r="AQ46" t="s">
        <v>83</v>
      </c>
      <c r="AS46" s="4">
        <v>1437</v>
      </c>
      <c r="AX46" s="3">
        <v>503851.43</v>
      </c>
      <c r="AZ46" s="4">
        <v>848</v>
      </c>
      <c r="BB46" t="s">
        <v>84</v>
      </c>
      <c r="BE46" s="4">
        <v>961</v>
      </c>
      <c r="BG46" s="1">
        <v>148</v>
      </c>
      <c r="BH46" s="1">
        <v>12</v>
      </c>
      <c r="BK46" t="s">
        <v>1214</v>
      </c>
      <c r="BL46" t="s">
        <v>104</v>
      </c>
    </row>
    <row r="47" spans="1:64" x14ac:dyDescent="0.25">
      <c r="A47" t="s">
        <v>1765</v>
      </c>
      <c r="B47" t="s">
        <v>1766</v>
      </c>
      <c r="C47" s="4">
        <f>(AA47*(H47*0.9))*12</f>
        <v>4097174.4000000004</v>
      </c>
      <c r="D47" s="4">
        <f>IF(C47=0,"",(H47*150*12)+C47)</f>
        <v>4809974.4000000004</v>
      </c>
      <c r="E47" s="4">
        <f>IFERROR(D47*0.5,"")</f>
        <v>2404987.2000000002</v>
      </c>
      <c r="F47" s="4">
        <f>IFERROR(E47/0.06,"")</f>
        <v>40083120.000000007</v>
      </c>
      <c r="G47" s="4">
        <f>IFERROR(F47/H47,"")</f>
        <v>101220.00000000001</v>
      </c>
      <c r="H47" s="1">
        <v>396</v>
      </c>
      <c r="I47" s="1">
        <v>1985</v>
      </c>
      <c r="J47" t="s">
        <v>64</v>
      </c>
      <c r="K47" t="s">
        <v>110</v>
      </c>
      <c r="L47" t="s">
        <v>687</v>
      </c>
      <c r="M47" t="s">
        <v>1767</v>
      </c>
      <c r="N47" t="s">
        <v>1768</v>
      </c>
      <c r="O47" t="s">
        <v>687</v>
      </c>
      <c r="P47" s="1">
        <v>3</v>
      </c>
      <c r="Q47" t="s">
        <v>69</v>
      </c>
      <c r="R47" t="s">
        <v>70</v>
      </c>
      <c r="S47" t="s">
        <v>71</v>
      </c>
      <c r="U47" t="s">
        <v>72</v>
      </c>
      <c r="V47" t="s">
        <v>110</v>
      </c>
      <c r="W47" t="s">
        <v>74</v>
      </c>
      <c r="X47" t="s">
        <v>1769</v>
      </c>
      <c r="Y47" s="2">
        <v>566</v>
      </c>
      <c r="Z47" s="3">
        <v>1.69</v>
      </c>
      <c r="AA47" s="4">
        <v>958</v>
      </c>
      <c r="AK47" s="5">
        <v>5.8080999999999996</v>
      </c>
      <c r="AN47" s="1">
        <v>3</v>
      </c>
      <c r="AO47" t="s">
        <v>81</v>
      </c>
      <c r="AP47" t="s">
        <v>82</v>
      </c>
      <c r="AQ47" t="s">
        <v>83</v>
      </c>
      <c r="AR47" s="3">
        <v>1.73</v>
      </c>
      <c r="AS47" s="4">
        <v>1313</v>
      </c>
      <c r="AT47" s="1">
        <v>759</v>
      </c>
      <c r="AX47" s="3">
        <v>848005.04</v>
      </c>
      <c r="AY47" s="3">
        <v>1.81</v>
      </c>
      <c r="AZ47" s="4">
        <v>842</v>
      </c>
      <c r="BA47" s="6">
        <v>466</v>
      </c>
      <c r="BB47" t="s">
        <v>84</v>
      </c>
      <c r="BD47" s="3">
        <v>1.61</v>
      </c>
      <c r="BE47" s="4">
        <v>982</v>
      </c>
      <c r="BF47" s="1">
        <v>610</v>
      </c>
      <c r="BG47" s="1">
        <v>195</v>
      </c>
      <c r="BH47" s="1">
        <v>40</v>
      </c>
      <c r="BL47" t="s">
        <v>131</v>
      </c>
    </row>
    <row r="48" spans="1:64" x14ac:dyDescent="0.25">
      <c r="A48" t="s">
        <v>1281</v>
      </c>
      <c r="B48" t="s">
        <v>1282</v>
      </c>
      <c r="C48" s="4">
        <f>(AA48*(H48*0.9))*12</f>
        <v>3359232</v>
      </c>
      <c r="D48" s="4">
        <f>IF(C48=0,"",(H48*150*12)+C48)</f>
        <v>3942432</v>
      </c>
      <c r="E48" s="4">
        <f>IFERROR(D48*0.5,"")</f>
        <v>1971216</v>
      </c>
      <c r="F48" s="4">
        <f>IFERROR(E48/0.06,"")</f>
        <v>32853600</v>
      </c>
      <c r="G48" s="4">
        <f>IFERROR(F48/H48,"")</f>
        <v>101400</v>
      </c>
      <c r="H48" s="1">
        <v>324</v>
      </c>
      <c r="I48" s="1">
        <v>1985</v>
      </c>
      <c r="J48" t="s">
        <v>64</v>
      </c>
      <c r="K48" t="s">
        <v>725</v>
      </c>
      <c r="L48" t="s">
        <v>1283</v>
      </c>
      <c r="M48" t="s">
        <v>1284</v>
      </c>
      <c r="N48" t="s">
        <v>1285</v>
      </c>
      <c r="O48" t="s">
        <v>1283</v>
      </c>
      <c r="P48" s="1">
        <v>3</v>
      </c>
      <c r="Q48" t="s">
        <v>91</v>
      </c>
      <c r="R48" t="s">
        <v>70</v>
      </c>
      <c r="S48" t="s">
        <v>71</v>
      </c>
      <c r="U48" t="s">
        <v>72</v>
      </c>
      <c r="V48" t="s">
        <v>73</v>
      </c>
      <c r="W48" t="s">
        <v>74</v>
      </c>
      <c r="X48" t="s">
        <v>1286</v>
      </c>
      <c r="Y48" s="2">
        <v>639</v>
      </c>
      <c r="Z48" s="3">
        <v>1.5</v>
      </c>
      <c r="AA48" s="4">
        <v>960</v>
      </c>
      <c r="AK48" s="5">
        <v>13.271599999999999</v>
      </c>
      <c r="AN48" s="1">
        <v>3</v>
      </c>
      <c r="AO48" t="s">
        <v>81</v>
      </c>
      <c r="AP48" t="s">
        <v>82</v>
      </c>
      <c r="AQ48" t="s">
        <v>83</v>
      </c>
      <c r="AR48" s="3">
        <v>1.57</v>
      </c>
      <c r="AS48" s="4">
        <v>1238</v>
      </c>
      <c r="AT48" s="1">
        <v>789</v>
      </c>
      <c r="AX48" s="3">
        <v>622888.11</v>
      </c>
      <c r="BB48" t="s">
        <v>84</v>
      </c>
      <c r="BD48" s="3">
        <v>1.47</v>
      </c>
      <c r="BE48" s="4">
        <v>863</v>
      </c>
      <c r="BF48" s="1">
        <v>587</v>
      </c>
      <c r="BG48" s="1">
        <v>240</v>
      </c>
      <c r="BH48" s="1">
        <v>84</v>
      </c>
      <c r="BK48" t="s">
        <v>1287</v>
      </c>
      <c r="BL48" t="s">
        <v>104</v>
      </c>
    </row>
    <row r="49" spans="1:64" x14ac:dyDescent="0.25">
      <c r="A49" t="s">
        <v>4179</v>
      </c>
      <c r="B49" t="s">
        <v>4180</v>
      </c>
      <c r="C49" s="4">
        <f>(AA49*(H49*0.9))*12</f>
        <v>622728</v>
      </c>
      <c r="D49" s="4">
        <f>IF(C49=0,"",(H49*150*12)+C49)</f>
        <v>730728</v>
      </c>
      <c r="E49" s="4">
        <f>IFERROR(D49*0.5,"")</f>
        <v>365364</v>
      </c>
      <c r="F49" s="4">
        <f>IFERROR(E49/0.06,"")</f>
        <v>6089400</v>
      </c>
      <c r="G49" s="4">
        <f>IFERROR(F49/H49,"")</f>
        <v>101490</v>
      </c>
      <c r="H49" s="1">
        <v>60</v>
      </c>
      <c r="I49" s="1">
        <v>1998</v>
      </c>
      <c r="J49" t="s">
        <v>64</v>
      </c>
      <c r="K49" t="s">
        <v>215</v>
      </c>
      <c r="L49" t="s">
        <v>220</v>
      </c>
      <c r="M49" t="s">
        <v>4181</v>
      </c>
      <c r="N49" t="s">
        <v>4182</v>
      </c>
      <c r="O49" t="s">
        <v>220</v>
      </c>
      <c r="P49" s="1">
        <v>3</v>
      </c>
      <c r="Q49" t="s">
        <v>91</v>
      </c>
      <c r="R49" t="s">
        <v>70</v>
      </c>
      <c r="S49" t="s">
        <v>71</v>
      </c>
      <c r="U49" t="s">
        <v>72</v>
      </c>
      <c r="V49" t="s">
        <v>4183</v>
      </c>
      <c r="W49" t="s">
        <v>74</v>
      </c>
      <c r="X49" t="s">
        <v>4184</v>
      </c>
      <c r="Y49" s="2">
        <v>930</v>
      </c>
      <c r="Z49" s="3">
        <v>1.03</v>
      </c>
      <c r="AA49" s="4">
        <v>961</v>
      </c>
      <c r="AK49" s="5">
        <v>30</v>
      </c>
      <c r="AM49" s="1">
        <v>2021</v>
      </c>
      <c r="AN49" s="1">
        <v>2</v>
      </c>
      <c r="AO49" t="s">
        <v>81</v>
      </c>
      <c r="AP49" t="s">
        <v>82</v>
      </c>
      <c r="AQ49" t="s">
        <v>83</v>
      </c>
      <c r="AR49" s="3">
        <v>1.03</v>
      </c>
      <c r="AS49" s="4">
        <v>961</v>
      </c>
      <c r="AT49" s="1">
        <v>930</v>
      </c>
      <c r="AX49" s="3">
        <v>77626.990000000005</v>
      </c>
      <c r="BB49" t="s">
        <v>84</v>
      </c>
      <c r="BH49" s="1">
        <v>60</v>
      </c>
      <c r="BK49" t="s">
        <v>731</v>
      </c>
      <c r="BL49" t="s">
        <v>104</v>
      </c>
    </row>
    <row r="50" spans="1:64" x14ac:dyDescent="0.25">
      <c r="A50" t="s">
        <v>3618</v>
      </c>
      <c r="B50" t="s">
        <v>3619</v>
      </c>
      <c r="C50" s="4">
        <f>(AA50*(H50*0.9))*12</f>
        <v>1584144</v>
      </c>
      <c r="D50" s="4">
        <f>IF(C50=0,"",(H50*150*12)+C50)</f>
        <v>1857744</v>
      </c>
      <c r="E50" s="4">
        <f>IFERROR(D50*0.5,"")</f>
        <v>928872</v>
      </c>
      <c r="F50" s="4">
        <f>IFERROR(E50/0.06,"")</f>
        <v>15481200</v>
      </c>
      <c r="G50" s="4">
        <f>IFERROR(F50/H50,"")</f>
        <v>101850</v>
      </c>
      <c r="H50" s="1">
        <v>152</v>
      </c>
      <c r="I50" s="1">
        <v>1998</v>
      </c>
      <c r="J50" t="s">
        <v>64</v>
      </c>
      <c r="K50" t="s">
        <v>3081</v>
      </c>
      <c r="L50" t="s">
        <v>403</v>
      </c>
      <c r="M50" t="s">
        <v>3620</v>
      </c>
      <c r="N50" t="s">
        <v>3621</v>
      </c>
      <c r="O50" t="s">
        <v>403</v>
      </c>
      <c r="P50" s="1">
        <v>3</v>
      </c>
      <c r="Q50" t="s">
        <v>91</v>
      </c>
      <c r="R50" t="s">
        <v>70</v>
      </c>
      <c r="S50" t="s">
        <v>71</v>
      </c>
      <c r="T50" t="s">
        <v>118</v>
      </c>
      <c r="U50" t="s">
        <v>72</v>
      </c>
      <c r="V50" t="s">
        <v>152</v>
      </c>
      <c r="W50" t="s">
        <v>74</v>
      </c>
      <c r="X50" t="s">
        <v>3622</v>
      </c>
      <c r="Y50" s="2">
        <v>850</v>
      </c>
      <c r="Z50" s="3">
        <v>1.1399999999999999</v>
      </c>
      <c r="AA50" s="4">
        <v>965</v>
      </c>
      <c r="AK50" s="5">
        <v>20.3947</v>
      </c>
      <c r="AN50" s="1">
        <v>3</v>
      </c>
      <c r="AO50" t="s">
        <v>81</v>
      </c>
      <c r="AP50" t="s">
        <v>82</v>
      </c>
      <c r="AQ50" t="s">
        <v>83</v>
      </c>
      <c r="AR50" s="3">
        <v>1.05</v>
      </c>
      <c r="AS50" s="4">
        <v>1023</v>
      </c>
      <c r="AT50" s="1">
        <v>974</v>
      </c>
      <c r="AU50" s="3">
        <v>0.93</v>
      </c>
      <c r="AV50" s="4">
        <v>1075</v>
      </c>
      <c r="AW50" s="1">
        <v>1155</v>
      </c>
      <c r="BB50" t="s">
        <v>84</v>
      </c>
      <c r="BD50" s="3">
        <v>1.56</v>
      </c>
      <c r="BE50" s="4">
        <v>846</v>
      </c>
      <c r="BF50" s="1">
        <v>544</v>
      </c>
      <c r="BG50" s="1">
        <v>64</v>
      </c>
      <c r="BH50" s="1">
        <v>40</v>
      </c>
      <c r="BI50" s="1">
        <v>48</v>
      </c>
      <c r="BK50" t="s">
        <v>3623</v>
      </c>
      <c r="BL50" t="s">
        <v>131</v>
      </c>
    </row>
    <row r="51" spans="1:64" x14ac:dyDescent="0.25">
      <c r="A51" t="s">
        <v>1026</v>
      </c>
      <c r="B51" t="s">
        <v>1027</v>
      </c>
      <c r="C51" s="4">
        <f>(AA51*(H51*0.9))*12</f>
        <v>2005171.2000000002</v>
      </c>
      <c r="D51" s="4">
        <f>IF(C51=0,"",(H51*150*12)+C51)</f>
        <v>2350771.2000000002</v>
      </c>
      <c r="E51" s="4">
        <f>IFERROR(D51*0.5,"")</f>
        <v>1175385.6000000001</v>
      </c>
      <c r="F51" s="4">
        <f>IFERROR(E51/0.06,"")</f>
        <v>19589760.000000004</v>
      </c>
      <c r="G51" s="4">
        <f>IFERROR(F51/H51,"")</f>
        <v>102030.00000000001</v>
      </c>
      <c r="H51" s="1">
        <v>192</v>
      </c>
      <c r="I51" s="1">
        <v>1986</v>
      </c>
      <c r="J51" t="s">
        <v>64</v>
      </c>
      <c r="K51" t="s">
        <v>725</v>
      </c>
      <c r="L51" t="s">
        <v>1028</v>
      </c>
      <c r="M51" t="s">
        <v>1029</v>
      </c>
      <c r="N51" t="s">
        <v>1030</v>
      </c>
      <c r="O51" t="s">
        <v>1028</v>
      </c>
      <c r="P51" s="1">
        <v>3</v>
      </c>
      <c r="Q51" t="s">
        <v>91</v>
      </c>
      <c r="R51" t="s">
        <v>70</v>
      </c>
      <c r="S51" t="s">
        <v>71</v>
      </c>
      <c r="U51" t="s">
        <v>72</v>
      </c>
      <c r="V51" t="s">
        <v>73</v>
      </c>
      <c r="W51" t="s">
        <v>74</v>
      </c>
      <c r="X51" t="s">
        <v>730</v>
      </c>
      <c r="Y51" s="2">
        <v>600</v>
      </c>
      <c r="Z51" s="3">
        <v>1.61</v>
      </c>
      <c r="AA51" s="4">
        <v>967</v>
      </c>
      <c r="AK51" s="5">
        <v>15.625</v>
      </c>
      <c r="AN51" s="1">
        <v>2</v>
      </c>
      <c r="AO51" t="s">
        <v>81</v>
      </c>
      <c r="AP51" t="s">
        <v>82</v>
      </c>
      <c r="AQ51" t="s">
        <v>83</v>
      </c>
      <c r="AX51" s="3">
        <v>337710.42</v>
      </c>
      <c r="BB51" t="s">
        <v>84</v>
      </c>
      <c r="BD51" s="3">
        <v>1.61</v>
      </c>
      <c r="BE51" s="4">
        <v>967</v>
      </c>
      <c r="BF51" s="1">
        <v>601</v>
      </c>
      <c r="BG51" s="1">
        <v>192</v>
      </c>
      <c r="BL51" t="s">
        <v>131</v>
      </c>
    </row>
    <row r="52" spans="1:64" x14ac:dyDescent="0.25">
      <c r="A52" t="s">
        <v>941</v>
      </c>
      <c r="B52" t="s">
        <v>942</v>
      </c>
      <c r="C52" s="4">
        <f>(AA52*(H52*0.9))*12</f>
        <v>1170892.7999999998</v>
      </c>
      <c r="D52" s="4">
        <f>IF(C52=0,"",(H52*150*12)+C52)</f>
        <v>1372492.7999999998</v>
      </c>
      <c r="E52" s="4">
        <f>IFERROR(D52*0.5,"")</f>
        <v>686246.39999999991</v>
      </c>
      <c r="F52" s="4">
        <f>IFERROR(E52/0.06,"")</f>
        <v>11437439.999999998</v>
      </c>
      <c r="G52" s="4">
        <f>IFERROR(F52/H52,"")</f>
        <v>102119.99999999999</v>
      </c>
      <c r="H52" s="1">
        <v>112</v>
      </c>
      <c r="I52" s="1">
        <v>1985</v>
      </c>
      <c r="J52" t="s">
        <v>64</v>
      </c>
      <c r="K52" t="s">
        <v>943</v>
      </c>
      <c r="L52" t="s">
        <v>220</v>
      </c>
      <c r="M52" t="s">
        <v>944</v>
      </c>
      <c r="O52" t="s">
        <v>220</v>
      </c>
      <c r="P52" s="1">
        <v>2</v>
      </c>
      <c r="Q52" t="s">
        <v>69</v>
      </c>
      <c r="R52" t="s">
        <v>70</v>
      </c>
      <c r="S52" t="s">
        <v>71</v>
      </c>
      <c r="U52" t="s">
        <v>72</v>
      </c>
      <c r="V52" t="s">
        <v>945</v>
      </c>
      <c r="W52" t="s">
        <v>74</v>
      </c>
      <c r="X52" t="s">
        <v>946</v>
      </c>
      <c r="Y52" s="2">
        <v>687</v>
      </c>
      <c r="Z52" s="3">
        <v>1.41</v>
      </c>
      <c r="AA52" s="4">
        <v>968</v>
      </c>
      <c r="AK52" s="5">
        <v>14.2857</v>
      </c>
      <c r="AN52" s="1">
        <v>2</v>
      </c>
      <c r="AO52" t="s">
        <v>81</v>
      </c>
      <c r="AP52" t="s">
        <v>82</v>
      </c>
      <c r="AQ52" t="s">
        <v>83</v>
      </c>
      <c r="AR52" s="3">
        <v>1.31</v>
      </c>
      <c r="AS52" s="4">
        <v>1088</v>
      </c>
      <c r="AT52" s="1">
        <v>829</v>
      </c>
      <c r="AX52" s="3">
        <v>124530.1</v>
      </c>
      <c r="AY52" s="3">
        <v>1.8</v>
      </c>
      <c r="AZ52" s="4">
        <v>882</v>
      </c>
      <c r="BA52" s="6">
        <v>490</v>
      </c>
      <c r="BB52" t="s">
        <v>84</v>
      </c>
      <c r="BD52" s="3">
        <v>1.36</v>
      </c>
      <c r="BE52" s="4">
        <v>925</v>
      </c>
      <c r="BF52" s="1">
        <v>680</v>
      </c>
      <c r="BG52" s="1">
        <v>52</v>
      </c>
      <c r="BH52" s="1">
        <v>36</v>
      </c>
    </row>
    <row r="53" spans="1:64" x14ac:dyDescent="0.25">
      <c r="A53" t="s">
        <v>146</v>
      </c>
      <c r="B53" t="s">
        <v>147</v>
      </c>
      <c r="C53" s="4">
        <f>(AA53*(H53*0.9))*12</f>
        <v>1676160</v>
      </c>
      <c r="D53" s="4">
        <f>IF(C53=0,"",(H53*150*12)+C53)</f>
        <v>1964160</v>
      </c>
      <c r="E53" s="4">
        <f>IFERROR(D53*0.5,"")</f>
        <v>982080</v>
      </c>
      <c r="F53" s="4">
        <f>IFERROR(E53/0.06,"")</f>
        <v>16368000</v>
      </c>
      <c r="G53" s="4">
        <f>IFERROR(F53/H53,"")</f>
        <v>102300</v>
      </c>
      <c r="H53" s="1">
        <v>160</v>
      </c>
      <c r="I53" s="1">
        <v>1986</v>
      </c>
      <c r="J53" t="s">
        <v>64</v>
      </c>
      <c r="K53" t="s">
        <v>148</v>
      </c>
      <c r="L53" t="s">
        <v>149</v>
      </c>
      <c r="M53" t="s">
        <v>150</v>
      </c>
      <c r="N53" t="s">
        <v>151</v>
      </c>
      <c r="O53" t="s">
        <v>149</v>
      </c>
      <c r="P53" s="1">
        <v>3</v>
      </c>
      <c r="Q53" t="s">
        <v>91</v>
      </c>
      <c r="R53" t="s">
        <v>70</v>
      </c>
      <c r="S53" t="s">
        <v>71</v>
      </c>
      <c r="U53" t="s">
        <v>72</v>
      </c>
      <c r="V53" t="s">
        <v>152</v>
      </c>
      <c r="W53" t="s">
        <v>74</v>
      </c>
      <c r="X53" t="s">
        <v>153</v>
      </c>
      <c r="Y53" s="2">
        <v>812</v>
      </c>
      <c r="Z53" s="3">
        <v>1.19</v>
      </c>
      <c r="AA53" s="4">
        <v>970</v>
      </c>
      <c r="AK53" s="5">
        <v>3.75</v>
      </c>
      <c r="AN53" s="1">
        <v>2</v>
      </c>
      <c r="AO53" t="s">
        <v>81</v>
      </c>
      <c r="AP53" t="s">
        <v>82</v>
      </c>
      <c r="AQ53" t="s">
        <v>83</v>
      </c>
      <c r="AR53" s="3">
        <v>1.2</v>
      </c>
      <c r="AS53" s="4">
        <v>1146</v>
      </c>
      <c r="AT53" s="1">
        <v>958</v>
      </c>
      <c r="AX53" s="3">
        <v>179415.04000000001</v>
      </c>
      <c r="BB53" t="s">
        <v>84</v>
      </c>
      <c r="BD53" s="3">
        <v>1.19</v>
      </c>
      <c r="BE53" s="4">
        <v>853</v>
      </c>
      <c r="BF53" s="1">
        <v>716</v>
      </c>
      <c r="BG53" s="1">
        <v>96</v>
      </c>
      <c r="BH53" s="1">
        <v>64</v>
      </c>
    </row>
    <row r="54" spans="1:64" x14ac:dyDescent="0.25">
      <c r="A54" t="s">
        <v>491</v>
      </c>
      <c r="B54" t="s">
        <v>492</v>
      </c>
      <c r="C54" s="4">
        <f>(AA54*(H54*0.9))*12</f>
        <v>629208</v>
      </c>
      <c r="D54" s="4">
        <f>IF(C54=0,"",(H54*150*12)+C54)</f>
        <v>737208</v>
      </c>
      <c r="E54" s="4">
        <f>IFERROR(D54*0.5,"")</f>
        <v>368604</v>
      </c>
      <c r="F54" s="4">
        <f>IFERROR(E54/0.06,"")</f>
        <v>6143400</v>
      </c>
      <c r="G54" s="4">
        <f>IFERROR(F54/H54,"")</f>
        <v>102390</v>
      </c>
      <c r="H54" s="1">
        <v>60</v>
      </c>
      <c r="I54" s="1">
        <v>1985</v>
      </c>
      <c r="J54" t="s">
        <v>64</v>
      </c>
      <c r="K54" t="s">
        <v>493</v>
      </c>
      <c r="L54" t="s">
        <v>494</v>
      </c>
      <c r="M54" t="s">
        <v>495</v>
      </c>
      <c r="N54" t="s">
        <v>496</v>
      </c>
      <c r="O54" t="s">
        <v>494</v>
      </c>
      <c r="P54" s="1">
        <v>3</v>
      </c>
      <c r="Q54" t="s">
        <v>91</v>
      </c>
      <c r="R54" t="s">
        <v>70</v>
      </c>
      <c r="S54" t="s">
        <v>71</v>
      </c>
      <c r="U54" t="s">
        <v>72</v>
      </c>
      <c r="V54" t="s">
        <v>497</v>
      </c>
      <c r="W54" t="s">
        <v>74</v>
      </c>
      <c r="X54" t="s">
        <v>498</v>
      </c>
      <c r="Y54" s="2">
        <v>875</v>
      </c>
      <c r="Z54" s="3">
        <v>1.1100000000000001</v>
      </c>
      <c r="AA54" s="4">
        <v>971</v>
      </c>
      <c r="AK54" s="5">
        <v>0</v>
      </c>
      <c r="AN54" s="1">
        <v>2</v>
      </c>
      <c r="AO54" t="s">
        <v>81</v>
      </c>
      <c r="AP54" t="s">
        <v>82</v>
      </c>
      <c r="AQ54" t="s">
        <v>83</v>
      </c>
      <c r="AR54" s="3">
        <v>1.0900000000000001</v>
      </c>
      <c r="AS54" s="4">
        <v>1086</v>
      </c>
      <c r="AT54" s="1">
        <v>1000</v>
      </c>
      <c r="AX54" s="3">
        <v>94692.9</v>
      </c>
      <c r="BB54" t="s">
        <v>84</v>
      </c>
      <c r="BD54" s="3">
        <v>1.1399999999999999</v>
      </c>
      <c r="BE54" s="4">
        <v>856</v>
      </c>
      <c r="BF54" s="1">
        <v>750</v>
      </c>
      <c r="BG54" s="1">
        <v>30</v>
      </c>
      <c r="BH54" s="1">
        <v>30</v>
      </c>
    </row>
    <row r="55" spans="1:64" x14ac:dyDescent="0.25">
      <c r="A55" t="s">
        <v>1606</v>
      </c>
      <c r="B55" t="s">
        <v>1607</v>
      </c>
      <c r="C55" s="4">
        <f>(AA55*(H55*0.9))*12</f>
        <v>4094064</v>
      </c>
      <c r="D55" s="4">
        <f>IF(C55=0,"",(H55*150*12)+C55)</f>
        <v>4796064</v>
      </c>
      <c r="E55" s="4">
        <f>IFERROR(D55*0.5,"")</f>
        <v>2398032</v>
      </c>
      <c r="F55" s="4">
        <f>IFERROR(E55/0.06,"")</f>
        <v>39967200</v>
      </c>
      <c r="G55" s="4">
        <f>IFERROR(F55/H55,"")</f>
        <v>102480</v>
      </c>
      <c r="H55" s="1">
        <v>390</v>
      </c>
      <c r="I55" s="1">
        <v>1986</v>
      </c>
      <c r="J55" t="s">
        <v>64</v>
      </c>
      <c r="K55" t="s">
        <v>725</v>
      </c>
      <c r="L55" t="s">
        <v>1028</v>
      </c>
      <c r="M55" t="s">
        <v>1608</v>
      </c>
      <c r="N55" t="s">
        <v>1609</v>
      </c>
      <c r="O55" t="s">
        <v>1028</v>
      </c>
      <c r="P55" s="1">
        <v>3</v>
      </c>
      <c r="Q55" t="s">
        <v>91</v>
      </c>
      <c r="R55" t="s">
        <v>70</v>
      </c>
      <c r="S55" t="s">
        <v>71</v>
      </c>
      <c r="U55" t="s">
        <v>72</v>
      </c>
      <c r="V55" t="s">
        <v>73</v>
      </c>
      <c r="W55" t="s">
        <v>74</v>
      </c>
      <c r="X55" t="s">
        <v>730</v>
      </c>
      <c r="Y55" s="2">
        <v>557</v>
      </c>
      <c r="Z55" s="3">
        <v>1.74</v>
      </c>
      <c r="AA55" s="4">
        <v>972</v>
      </c>
      <c r="AK55" s="5">
        <v>20.769200000000001</v>
      </c>
      <c r="AN55" s="1">
        <v>3</v>
      </c>
      <c r="AO55" t="s">
        <v>81</v>
      </c>
      <c r="AP55" t="s">
        <v>82</v>
      </c>
      <c r="AQ55" t="s">
        <v>83</v>
      </c>
      <c r="AX55" s="3">
        <v>619135.77</v>
      </c>
      <c r="BB55" t="s">
        <v>84</v>
      </c>
      <c r="BD55" s="3">
        <v>1.74</v>
      </c>
      <c r="BE55" s="4">
        <v>972</v>
      </c>
      <c r="BF55" s="1">
        <v>557</v>
      </c>
      <c r="BG55" s="1">
        <v>390</v>
      </c>
    </row>
    <row r="56" spans="1:64" x14ac:dyDescent="0.25">
      <c r="A56" t="s">
        <v>963</v>
      </c>
      <c r="B56" t="s">
        <v>964</v>
      </c>
      <c r="C56" s="4">
        <f>(AA56*(H56*0.9))*12</f>
        <v>4064580.0000000009</v>
      </c>
      <c r="D56" s="4">
        <f>IF(C56=0,"",(H56*150*12)+C56)</f>
        <v>4759380.0000000009</v>
      </c>
      <c r="E56" s="4">
        <f>IFERROR(D56*0.5,"")</f>
        <v>2379690.0000000005</v>
      </c>
      <c r="F56" s="4">
        <f>IFERROR(E56/0.06,"")</f>
        <v>39661500.000000007</v>
      </c>
      <c r="G56" s="4">
        <f>IFERROR(F56/H56,"")</f>
        <v>102750.00000000001</v>
      </c>
      <c r="H56" s="1">
        <v>386</v>
      </c>
      <c r="I56" s="1">
        <v>1985</v>
      </c>
      <c r="J56" t="s">
        <v>64</v>
      </c>
      <c r="K56" t="s">
        <v>653</v>
      </c>
      <c r="L56" t="s">
        <v>965</v>
      </c>
      <c r="M56" t="s">
        <v>966</v>
      </c>
      <c r="N56" t="s">
        <v>779</v>
      </c>
      <c r="O56" t="s">
        <v>965</v>
      </c>
      <c r="P56" s="1">
        <v>2</v>
      </c>
      <c r="Q56" t="s">
        <v>69</v>
      </c>
      <c r="R56" t="s">
        <v>70</v>
      </c>
      <c r="S56" t="s">
        <v>71</v>
      </c>
      <c r="U56" t="s">
        <v>72</v>
      </c>
      <c r="V56" t="s">
        <v>152</v>
      </c>
      <c r="W56" t="s">
        <v>74</v>
      </c>
      <c r="X56" t="s">
        <v>967</v>
      </c>
      <c r="Y56" s="2">
        <v>752</v>
      </c>
      <c r="Z56" s="3">
        <v>1.3</v>
      </c>
      <c r="AA56" s="4">
        <v>975</v>
      </c>
      <c r="AK56" s="5">
        <v>27.202100000000002</v>
      </c>
      <c r="AN56" s="1">
        <v>2</v>
      </c>
      <c r="AO56" t="s">
        <v>81</v>
      </c>
      <c r="AP56" t="s">
        <v>82</v>
      </c>
      <c r="AQ56" t="s">
        <v>83</v>
      </c>
      <c r="AR56" s="3">
        <v>1.32</v>
      </c>
      <c r="AS56" s="4">
        <v>1308</v>
      </c>
      <c r="AT56" s="1">
        <v>987</v>
      </c>
      <c r="AX56" s="3">
        <v>0</v>
      </c>
      <c r="BB56" t="s">
        <v>84</v>
      </c>
      <c r="BD56" s="3">
        <v>1.28</v>
      </c>
      <c r="BE56" s="4">
        <v>859</v>
      </c>
      <c r="BF56" s="1">
        <v>671</v>
      </c>
      <c r="BG56" s="1">
        <v>286</v>
      </c>
      <c r="BH56" s="1">
        <v>100</v>
      </c>
      <c r="BK56" t="s">
        <v>968</v>
      </c>
      <c r="BL56" t="s">
        <v>131</v>
      </c>
    </row>
    <row r="57" spans="1:64" x14ac:dyDescent="0.25">
      <c r="A57" t="s">
        <v>1840</v>
      </c>
      <c r="B57" t="s">
        <v>1841</v>
      </c>
      <c r="C57" s="4">
        <f>(AA57*(H57*0.9))*12</f>
        <v>4673354.4000000004</v>
      </c>
      <c r="D57" s="4">
        <f>IF(C57=0,"",(H57*150*12)+C57)</f>
        <v>5468954.4000000004</v>
      </c>
      <c r="E57" s="4">
        <f>IFERROR(D57*0.5,"")</f>
        <v>2734477.2</v>
      </c>
      <c r="F57" s="4">
        <f>IFERROR(E57/0.06,"")</f>
        <v>45574620.000000007</v>
      </c>
      <c r="G57" s="4">
        <f>IFERROR(F57/H57,"")</f>
        <v>103110.00000000001</v>
      </c>
      <c r="H57" s="1">
        <v>442</v>
      </c>
      <c r="I57" s="1">
        <v>1985</v>
      </c>
      <c r="J57" t="s">
        <v>64</v>
      </c>
      <c r="K57" t="s">
        <v>156</v>
      </c>
      <c r="L57" t="s">
        <v>257</v>
      </c>
      <c r="M57" t="s">
        <v>1842</v>
      </c>
      <c r="N57" t="s">
        <v>1843</v>
      </c>
      <c r="O57" t="s">
        <v>257</v>
      </c>
      <c r="P57" s="1">
        <v>3</v>
      </c>
      <c r="Q57" t="s">
        <v>91</v>
      </c>
      <c r="R57" t="s">
        <v>70</v>
      </c>
      <c r="S57" t="s">
        <v>71</v>
      </c>
      <c r="U57" t="s">
        <v>72</v>
      </c>
      <c r="V57" t="s">
        <v>427</v>
      </c>
      <c r="W57" t="s">
        <v>74</v>
      </c>
      <c r="X57" t="s">
        <v>600</v>
      </c>
      <c r="Y57" s="2">
        <v>772</v>
      </c>
      <c r="Z57" s="3">
        <v>1.27</v>
      </c>
      <c r="AA57" s="4">
        <v>979</v>
      </c>
      <c r="AK57" s="5">
        <v>1.1312</v>
      </c>
      <c r="AM57" s="1">
        <v>1989</v>
      </c>
      <c r="AN57" s="1">
        <v>2</v>
      </c>
      <c r="AO57" t="s">
        <v>81</v>
      </c>
      <c r="AP57" t="s">
        <v>82</v>
      </c>
      <c r="AQ57" t="s">
        <v>83</v>
      </c>
      <c r="AR57" s="3">
        <v>1.21</v>
      </c>
      <c r="AS57" s="4">
        <v>1251</v>
      </c>
      <c r="AT57" s="1">
        <v>1030</v>
      </c>
      <c r="AX57" s="3">
        <v>1205817.4099999999</v>
      </c>
      <c r="BB57" t="s">
        <v>84</v>
      </c>
      <c r="BD57" s="3">
        <v>1.29</v>
      </c>
      <c r="BE57" s="4">
        <v>899</v>
      </c>
      <c r="BF57" s="1">
        <v>697</v>
      </c>
      <c r="BG57" s="1">
        <v>342</v>
      </c>
      <c r="BH57" s="1">
        <v>100</v>
      </c>
      <c r="BK57" t="s">
        <v>261</v>
      </c>
      <c r="BL57" t="s">
        <v>131</v>
      </c>
    </row>
    <row r="58" spans="1:64" x14ac:dyDescent="0.25">
      <c r="A58" t="s">
        <v>380</v>
      </c>
      <c r="B58" t="s">
        <v>381</v>
      </c>
      <c r="C58" s="4">
        <f>(AA58*(H58*0.9))*12</f>
        <v>4227325.2</v>
      </c>
      <c r="D58" s="4">
        <f>IF(C58=0,"",(H58*150*12)+C58)</f>
        <v>4945525.2</v>
      </c>
      <c r="E58" s="4">
        <f>IFERROR(D58*0.5,"")</f>
        <v>2472762.6</v>
      </c>
      <c r="F58" s="4">
        <f>IFERROR(E58/0.06,"")</f>
        <v>41212710</v>
      </c>
      <c r="G58" s="4">
        <f>IFERROR(F58/H58,"")</f>
        <v>103290</v>
      </c>
      <c r="H58" s="1">
        <v>399</v>
      </c>
      <c r="I58" s="1">
        <v>1985</v>
      </c>
      <c r="J58" t="s">
        <v>64</v>
      </c>
      <c r="K58" t="s">
        <v>156</v>
      </c>
      <c r="L58" t="s">
        <v>382</v>
      </c>
      <c r="M58" t="s">
        <v>383</v>
      </c>
      <c r="N58" t="s">
        <v>384</v>
      </c>
      <c r="O58" t="s">
        <v>382</v>
      </c>
      <c r="P58" s="1">
        <v>3</v>
      </c>
      <c r="Q58" t="s">
        <v>69</v>
      </c>
      <c r="R58" t="s">
        <v>70</v>
      </c>
      <c r="S58" t="s">
        <v>71</v>
      </c>
      <c r="U58" t="s">
        <v>72</v>
      </c>
      <c r="V58" t="s">
        <v>73</v>
      </c>
      <c r="W58" t="s">
        <v>74</v>
      </c>
      <c r="X58" t="s">
        <v>385</v>
      </c>
      <c r="Y58" s="2">
        <v>708</v>
      </c>
      <c r="Z58" s="3">
        <v>1.39</v>
      </c>
      <c r="AA58" s="4">
        <v>981</v>
      </c>
      <c r="AK58" s="5">
        <v>7.2682000000000002</v>
      </c>
      <c r="AN58" s="1">
        <v>3</v>
      </c>
      <c r="AO58" t="s">
        <v>81</v>
      </c>
      <c r="AP58" t="s">
        <v>82</v>
      </c>
      <c r="AQ58" t="s">
        <v>83</v>
      </c>
      <c r="AR58" s="3">
        <v>1.19</v>
      </c>
      <c r="AS58" s="4">
        <v>1191</v>
      </c>
      <c r="AT58" s="1">
        <v>1002</v>
      </c>
      <c r="AX58" s="3">
        <v>748735.06</v>
      </c>
      <c r="BB58" t="s">
        <v>84</v>
      </c>
      <c r="BD58" s="3">
        <v>1.47</v>
      </c>
      <c r="BE58" s="4">
        <v>926</v>
      </c>
      <c r="BF58" s="1">
        <v>632</v>
      </c>
      <c r="BG58" s="1">
        <v>317</v>
      </c>
      <c r="BH58" s="1">
        <v>82</v>
      </c>
      <c r="BK58" t="s">
        <v>386</v>
      </c>
      <c r="BL58" t="s">
        <v>104</v>
      </c>
    </row>
    <row r="59" spans="1:64" x14ac:dyDescent="0.25">
      <c r="A59" t="s">
        <v>1393</v>
      </c>
      <c r="B59" t="s">
        <v>1394</v>
      </c>
      <c r="C59" s="4">
        <f>(AA59*(H59*0.9))*12</f>
        <v>4411929.6000000006</v>
      </c>
      <c r="D59" s="4">
        <f>IF(C59=0,"",(H59*150*12)+C59)</f>
        <v>5160729.6000000006</v>
      </c>
      <c r="E59" s="4">
        <f>IFERROR(D59*0.5,"")</f>
        <v>2580364.8000000003</v>
      </c>
      <c r="F59" s="4">
        <f>IFERROR(E59/0.06,"")</f>
        <v>43006080.000000007</v>
      </c>
      <c r="G59" s="4">
        <f>IFERROR(F59/H59,"")</f>
        <v>103380.00000000001</v>
      </c>
      <c r="H59" s="1">
        <v>416</v>
      </c>
      <c r="I59" s="1">
        <v>1986</v>
      </c>
      <c r="J59" t="s">
        <v>64</v>
      </c>
      <c r="K59" t="s">
        <v>259</v>
      </c>
      <c r="L59" t="s">
        <v>784</v>
      </c>
      <c r="M59" t="s">
        <v>1395</v>
      </c>
      <c r="N59" t="s">
        <v>1396</v>
      </c>
      <c r="O59" t="s">
        <v>784</v>
      </c>
      <c r="P59" s="1">
        <v>3</v>
      </c>
      <c r="Q59" t="s">
        <v>91</v>
      </c>
      <c r="R59" t="s">
        <v>70</v>
      </c>
      <c r="S59" t="s">
        <v>71</v>
      </c>
      <c r="U59" t="s">
        <v>72</v>
      </c>
      <c r="V59" t="s">
        <v>152</v>
      </c>
      <c r="W59" t="s">
        <v>74</v>
      </c>
      <c r="X59" t="s">
        <v>780</v>
      </c>
      <c r="Y59" s="2">
        <v>691</v>
      </c>
      <c r="Z59" s="3">
        <v>1.42</v>
      </c>
      <c r="AA59" s="4">
        <v>982</v>
      </c>
      <c r="AK59" s="5">
        <v>11.2981</v>
      </c>
      <c r="AM59" s="1">
        <v>2018</v>
      </c>
      <c r="AN59" s="1">
        <v>3</v>
      </c>
      <c r="AO59" t="s">
        <v>81</v>
      </c>
      <c r="AP59" t="s">
        <v>82</v>
      </c>
      <c r="AQ59" t="s">
        <v>83</v>
      </c>
      <c r="AR59" s="3">
        <v>1.17</v>
      </c>
      <c r="AS59" s="4">
        <v>1231</v>
      </c>
      <c r="AT59" s="1">
        <v>1053</v>
      </c>
      <c r="AU59" s="3">
        <v>1.44</v>
      </c>
      <c r="AV59" s="4">
        <v>1867</v>
      </c>
      <c r="AW59" s="1">
        <v>1294</v>
      </c>
      <c r="AX59" s="3">
        <v>1067265.8400000001</v>
      </c>
      <c r="BB59" t="s">
        <v>84</v>
      </c>
      <c r="BD59" s="3">
        <v>1.5</v>
      </c>
      <c r="BE59" s="4">
        <v>915</v>
      </c>
      <c r="BF59" s="1">
        <v>611</v>
      </c>
      <c r="BG59" s="1">
        <v>344</v>
      </c>
      <c r="BH59" s="1">
        <v>64</v>
      </c>
      <c r="BI59" s="1">
        <v>8</v>
      </c>
      <c r="BK59" t="s">
        <v>1397</v>
      </c>
      <c r="BL59" t="s">
        <v>131</v>
      </c>
    </row>
    <row r="60" spans="1:64" x14ac:dyDescent="0.25">
      <c r="A60" t="s">
        <v>2006</v>
      </c>
      <c r="B60" t="s">
        <v>2007</v>
      </c>
      <c r="C60" s="4">
        <f>(AA60*(H60*0.9))*12</f>
        <v>2566360.7999999998</v>
      </c>
      <c r="D60" s="4">
        <f>IF(C60=0,"",(H60*150*12)+C60)</f>
        <v>3000160.8</v>
      </c>
      <c r="E60" s="4">
        <f>IFERROR(D60*0.5,"")</f>
        <v>1500080.4</v>
      </c>
      <c r="F60" s="4">
        <f>IFERROR(E60/0.06,"")</f>
        <v>25001340</v>
      </c>
      <c r="G60" s="4">
        <f>IFERROR(F60/H60,"")</f>
        <v>103740</v>
      </c>
      <c r="H60" s="1">
        <v>241</v>
      </c>
      <c r="I60" s="1">
        <v>1986</v>
      </c>
      <c r="J60" t="s">
        <v>64</v>
      </c>
      <c r="K60" t="s">
        <v>156</v>
      </c>
      <c r="L60" t="s">
        <v>2008</v>
      </c>
      <c r="M60" t="s">
        <v>2009</v>
      </c>
      <c r="O60" t="s">
        <v>2008</v>
      </c>
      <c r="P60" s="1">
        <v>3</v>
      </c>
      <c r="Q60" t="s">
        <v>91</v>
      </c>
      <c r="R60" t="s">
        <v>70</v>
      </c>
      <c r="S60" t="s">
        <v>71</v>
      </c>
      <c r="U60" t="s">
        <v>72</v>
      </c>
      <c r="V60" t="s">
        <v>73</v>
      </c>
      <c r="W60" t="s">
        <v>74</v>
      </c>
      <c r="X60" t="s">
        <v>461</v>
      </c>
      <c r="Y60" s="2">
        <v>550</v>
      </c>
      <c r="Z60" s="3">
        <v>1.79</v>
      </c>
      <c r="AA60" s="4">
        <v>986</v>
      </c>
      <c r="AK60" s="5">
        <v>14.937799999999999</v>
      </c>
      <c r="AN60" s="1">
        <v>3</v>
      </c>
      <c r="AO60" t="s">
        <v>81</v>
      </c>
      <c r="AP60" t="s">
        <v>82</v>
      </c>
      <c r="AQ60" t="s">
        <v>83</v>
      </c>
      <c r="AR60" s="3">
        <v>1.4</v>
      </c>
      <c r="AS60" s="4">
        <v>1466</v>
      </c>
      <c r="AT60" s="1">
        <v>1048</v>
      </c>
      <c r="AX60" s="3">
        <v>531937.14</v>
      </c>
      <c r="BB60" t="s">
        <v>84</v>
      </c>
      <c r="BD60" s="3">
        <v>1.79</v>
      </c>
      <c r="BE60" s="4">
        <v>984</v>
      </c>
      <c r="BF60" s="1">
        <v>549</v>
      </c>
      <c r="BG60" s="1">
        <v>240</v>
      </c>
      <c r="BH60" s="1">
        <v>1</v>
      </c>
      <c r="BL60" t="s">
        <v>131</v>
      </c>
    </row>
    <row r="61" spans="1:64" x14ac:dyDescent="0.25">
      <c r="A61" t="s">
        <v>3607</v>
      </c>
      <c r="B61" t="s">
        <v>3608</v>
      </c>
      <c r="C61" s="4">
        <f>(AA61*(H61*0.9))*12</f>
        <v>2768688</v>
      </c>
      <c r="D61" s="4">
        <f>IF(C61=0,"",(H61*150*12)+C61)</f>
        <v>3236688</v>
      </c>
      <c r="E61" s="4">
        <f>IFERROR(D61*0.5,"")</f>
        <v>1618344</v>
      </c>
      <c r="F61" s="4">
        <f>IFERROR(E61/0.06,"")</f>
        <v>26972400</v>
      </c>
      <c r="G61" s="4">
        <f>IFERROR(F61/H61,"")</f>
        <v>103740</v>
      </c>
      <c r="H61" s="1">
        <v>260</v>
      </c>
      <c r="I61" s="1">
        <v>1992</v>
      </c>
      <c r="J61" t="s">
        <v>64</v>
      </c>
      <c r="K61" t="s">
        <v>734</v>
      </c>
      <c r="L61" t="s">
        <v>2786</v>
      </c>
      <c r="M61" t="s">
        <v>3609</v>
      </c>
      <c r="N61" t="s">
        <v>3610</v>
      </c>
      <c r="O61" t="s">
        <v>2786</v>
      </c>
      <c r="P61" s="1">
        <v>3</v>
      </c>
      <c r="Q61" t="s">
        <v>91</v>
      </c>
      <c r="R61" t="s">
        <v>70</v>
      </c>
      <c r="S61" t="s">
        <v>71</v>
      </c>
      <c r="U61" t="s">
        <v>72</v>
      </c>
      <c r="V61" t="s">
        <v>73</v>
      </c>
      <c r="W61" t="s">
        <v>74</v>
      </c>
      <c r="X61" t="s">
        <v>3611</v>
      </c>
      <c r="Y61" s="2">
        <v>726</v>
      </c>
      <c r="Z61" s="3">
        <v>1.36</v>
      </c>
      <c r="AA61" s="4">
        <v>986</v>
      </c>
      <c r="AK61" s="5">
        <v>4.2308000000000003</v>
      </c>
      <c r="AN61" s="1">
        <v>3</v>
      </c>
      <c r="AO61" t="s">
        <v>81</v>
      </c>
      <c r="AP61" t="s">
        <v>82</v>
      </c>
      <c r="AQ61" t="s">
        <v>83</v>
      </c>
      <c r="AR61" s="3">
        <v>1.44</v>
      </c>
      <c r="AS61" s="4">
        <v>1336</v>
      </c>
      <c r="AT61" s="1">
        <v>927</v>
      </c>
      <c r="AX61" s="3">
        <v>492228.25</v>
      </c>
      <c r="BB61" t="s">
        <v>84</v>
      </c>
      <c r="BD61" s="3">
        <v>1.3</v>
      </c>
      <c r="BE61" s="4">
        <v>817</v>
      </c>
      <c r="BF61" s="1">
        <v>629</v>
      </c>
      <c r="BG61" s="1">
        <v>175</v>
      </c>
      <c r="BH61" s="1">
        <v>85</v>
      </c>
    </row>
    <row r="62" spans="1:64" x14ac:dyDescent="0.25">
      <c r="A62" t="s">
        <v>573</v>
      </c>
      <c r="B62" t="s">
        <v>574</v>
      </c>
      <c r="C62" s="4">
        <f>(AA62*(H62*0.9))*12</f>
        <v>3217320</v>
      </c>
      <c r="D62" s="4">
        <f>IF(C62=0,"",(H62*150*12)+C62)</f>
        <v>3757320</v>
      </c>
      <c r="E62" s="4">
        <f>IFERROR(D62*0.5,"")</f>
        <v>1878660</v>
      </c>
      <c r="F62" s="4">
        <f>IFERROR(E62/0.06,"")</f>
        <v>31311000</v>
      </c>
      <c r="G62" s="4">
        <f>IFERROR(F62/H62,"")</f>
        <v>104370</v>
      </c>
      <c r="H62" s="1">
        <v>300</v>
      </c>
      <c r="I62" s="1">
        <v>1985</v>
      </c>
      <c r="J62" t="s">
        <v>64</v>
      </c>
      <c r="K62" t="s">
        <v>215</v>
      </c>
      <c r="L62" t="s">
        <v>575</v>
      </c>
      <c r="M62" t="s">
        <v>576</v>
      </c>
      <c r="N62" t="s">
        <v>577</v>
      </c>
      <c r="O62" t="s">
        <v>575</v>
      </c>
      <c r="P62" s="1">
        <v>3</v>
      </c>
      <c r="Q62" t="s">
        <v>69</v>
      </c>
      <c r="R62" t="s">
        <v>70</v>
      </c>
      <c r="S62" t="s">
        <v>71</v>
      </c>
      <c r="U62" t="s">
        <v>72</v>
      </c>
      <c r="V62" t="s">
        <v>215</v>
      </c>
      <c r="W62" t="s">
        <v>74</v>
      </c>
      <c r="X62" t="s">
        <v>578</v>
      </c>
      <c r="Y62" s="2">
        <v>713</v>
      </c>
      <c r="Z62" s="3">
        <v>1.39</v>
      </c>
      <c r="AA62" s="4">
        <v>993</v>
      </c>
      <c r="AK62" s="5">
        <v>8.6667000000000005</v>
      </c>
      <c r="AM62" s="1">
        <v>2012</v>
      </c>
      <c r="AN62" s="1">
        <v>3</v>
      </c>
      <c r="AO62" t="s">
        <v>81</v>
      </c>
      <c r="AP62" t="s">
        <v>82</v>
      </c>
      <c r="AQ62" t="s">
        <v>83</v>
      </c>
      <c r="AR62" s="3">
        <v>1.45</v>
      </c>
      <c r="AS62" s="4">
        <v>1311</v>
      </c>
      <c r="AT62" s="1">
        <v>907</v>
      </c>
      <c r="AX62" s="3">
        <v>593620.72</v>
      </c>
      <c r="BB62" t="s">
        <v>84</v>
      </c>
      <c r="BD62" s="3">
        <v>1.36</v>
      </c>
      <c r="BE62" s="4">
        <v>877</v>
      </c>
      <c r="BF62" s="1">
        <v>643</v>
      </c>
      <c r="BG62" s="1">
        <v>220</v>
      </c>
      <c r="BH62" s="1">
        <v>80</v>
      </c>
      <c r="BK62" t="s">
        <v>579</v>
      </c>
      <c r="BL62" t="s">
        <v>104</v>
      </c>
    </row>
    <row r="63" spans="1:64" x14ac:dyDescent="0.25">
      <c r="A63" t="s">
        <v>2629</v>
      </c>
      <c r="B63" t="s">
        <v>2630</v>
      </c>
      <c r="C63" s="4">
        <f>(AA63*(H63*0.9))*12</f>
        <v>643464</v>
      </c>
      <c r="D63" s="4">
        <f>IF(C63=0,"",(H63*150*12)+C63)</f>
        <v>751464</v>
      </c>
      <c r="E63" s="4">
        <f>IFERROR(D63*0.5,"")</f>
        <v>375732</v>
      </c>
      <c r="F63" s="4">
        <f>IFERROR(E63/0.06,"")</f>
        <v>6262200</v>
      </c>
      <c r="G63" s="4">
        <f>IFERROR(F63/H63,"")</f>
        <v>104370</v>
      </c>
      <c r="H63" s="1">
        <v>60</v>
      </c>
      <c r="I63" s="1">
        <v>1995</v>
      </c>
      <c r="J63" t="s">
        <v>64</v>
      </c>
      <c r="K63" t="s">
        <v>148</v>
      </c>
      <c r="L63" t="s">
        <v>2631</v>
      </c>
      <c r="M63" t="s">
        <v>2632</v>
      </c>
      <c r="N63" t="s">
        <v>2633</v>
      </c>
      <c r="O63" t="s">
        <v>2631</v>
      </c>
      <c r="P63" s="1">
        <v>3</v>
      </c>
      <c r="Q63" t="s">
        <v>69</v>
      </c>
      <c r="R63" t="s">
        <v>70</v>
      </c>
      <c r="S63" t="s">
        <v>71</v>
      </c>
      <c r="T63" t="s">
        <v>426</v>
      </c>
      <c r="U63" t="s">
        <v>72</v>
      </c>
      <c r="V63" t="s">
        <v>152</v>
      </c>
      <c r="W63" t="s">
        <v>74</v>
      </c>
      <c r="X63" t="s">
        <v>2634</v>
      </c>
      <c r="Y63" s="2">
        <v>508</v>
      </c>
      <c r="Z63" s="3">
        <v>1.95</v>
      </c>
      <c r="AA63" s="4">
        <v>993</v>
      </c>
      <c r="AK63" s="5">
        <v>23.333300000000001</v>
      </c>
      <c r="AN63" s="1">
        <v>3</v>
      </c>
      <c r="AO63" t="s">
        <v>81</v>
      </c>
      <c r="AP63" t="s">
        <v>82</v>
      </c>
      <c r="AQ63" t="s">
        <v>83</v>
      </c>
      <c r="AY63" s="3">
        <v>1.99</v>
      </c>
      <c r="AZ63" s="4">
        <v>824</v>
      </c>
      <c r="BA63" s="6">
        <v>415</v>
      </c>
      <c r="BB63" t="s">
        <v>84</v>
      </c>
      <c r="BD63" s="3">
        <v>1.94</v>
      </c>
      <c r="BE63" s="4">
        <v>1049</v>
      </c>
      <c r="BF63" s="1">
        <v>540</v>
      </c>
      <c r="BG63" s="1">
        <v>45</v>
      </c>
    </row>
    <row r="64" spans="1:64" x14ac:dyDescent="0.25">
      <c r="A64" t="s">
        <v>204</v>
      </c>
      <c r="B64" t="s">
        <v>205</v>
      </c>
      <c r="C64" s="4">
        <f>(AA64*(H64*0.9))*12</f>
        <v>3435264</v>
      </c>
      <c r="D64" s="4">
        <f>IF(C64=0,"",(H64*150*12)+C64)</f>
        <v>4011264</v>
      </c>
      <c r="E64" s="4">
        <f>IFERROR(D64*0.5,"")</f>
        <v>2005632</v>
      </c>
      <c r="F64" s="4">
        <f>IFERROR(E64/0.06,"")</f>
        <v>33427200</v>
      </c>
      <c r="G64" s="4">
        <f>IFERROR(F64/H64,"")</f>
        <v>104460</v>
      </c>
      <c r="H64" s="1">
        <v>320</v>
      </c>
      <c r="I64" s="1">
        <v>1985</v>
      </c>
      <c r="J64" t="s">
        <v>64</v>
      </c>
      <c r="K64" t="s">
        <v>134</v>
      </c>
      <c r="L64" t="s">
        <v>206</v>
      </c>
      <c r="M64" t="s">
        <v>207</v>
      </c>
      <c r="N64" t="s">
        <v>208</v>
      </c>
      <c r="O64" t="s">
        <v>206</v>
      </c>
      <c r="P64" s="1">
        <v>3</v>
      </c>
      <c r="Q64" t="s">
        <v>69</v>
      </c>
      <c r="R64" t="s">
        <v>70</v>
      </c>
      <c r="S64" t="s">
        <v>71</v>
      </c>
      <c r="U64" t="s">
        <v>72</v>
      </c>
      <c r="V64" t="s">
        <v>73</v>
      </c>
      <c r="W64" t="s">
        <v>74</v>
      </c>
      <c r="X64" t="s">
        <v>137</v>
      </c>
      <c r="Y64" s="2">
        <v>772</v>
      </c>
      <c r="Z64" s="3">
        <v>1.29</v>
      </c>
      <c r="AA64" s="4">
        <v>994</v>
      </c>
      <c r="AK64" s="5">
        <v>15.3125</v>
      </c>
      <c r="AM64" s="1">
        <v>1999</v>
      </c>
      <c r="AN64" s="1">
        <v>2</v>
      </c>
      <c r="AO64" t="s">
        <v>81</v>
      </c>
      <c r="AP64" t="s">
        <v>82</v>
      </c>
      <c r="AQ64" t="s">
        <v>83</v>
      </c>
      <c r="AR64" s="3">
        <v>1.18</v>
      </c>
      <c r="AS64" s="4">
        <v>1162</v>
      </c>
      <c r="AT64" s="1">
        <v>985</v>
      </c>
      <c r="AX64" s="3">
        <v>796618.3</v>
      </c>
      <c r="BB64" t="s">
        <v>84</v>
      </c>
      <c r="BD64" s="3">
        <v>1.42</v>
      </c>
      <c r="BE64" s="4">
        <v>868</v>
      </c>
      <c r="BF64" s="1">
        <v>613</v>
      </c>
      <c r="BG64" s="1">
        <v>183</v>
      </c>
      <c r="BH64" s="1">
        <v>137</v>
      </c>
    </row>
    <row r="65" spans="1:67" x14ac:dyDescent="0.25">
      <c r="A65" t="s">
        <v>745</v>
      </c>
      <c r="B65" t="s">
        <v>746</v>
      </c>
      <c r="C65" s="4">
        <f>(AA65*(H65*0.9))*12</f>
        <v>1674691.2000000002</v>
      </c>
      <c r="D65" s="4">
        <f>IF(C65=0,"",(H65*150*12)+C65)</f>
        <v>1955491.2000000002</v>
      </c>
      <c r="E65" s="4">
        <f>IFERROR(D65*0.5,"")</f>
        <v>977745.60000000009</v>
      </c>
      <c r="F65" s="4">
        <f>IFERROR(E65/0.06,"")</f>
        <v>16295760.000000002</v>
      </c>
      <c r="G65" s="4">
        <f>IFERROR(F65/H65,"")</f>
        <v>104460.00000000001</v>
      </c>
      <c r="H65" s="1">
        <v>156</v>
      </c>
      <c r="I65" s="1">
        <v>1985</v>
      </c>
      <c r="J65" t="s">
        <v>64</v>
      </c>
      <c r="K65" t="s">
        <v>97</v>
      </c>
      <c r="L65" t="s">
        <v>747</v>
      </c>
      <c r="M65" t="s">
        <v>748</v>
      </c>
      <c r="N65" t="s">
        <v>749</v>
      </c>
      <c r="O65" t="s">
        <v>747</v>
      </c>
      <c r="P65" s="1">
        <v>3</v>
      </c>
      <c r="Q65" t="s">
        <v>91</v>
      </c>
      <c r="R65" t="s">
        <v>70</v>
      </c>
      <c r="S65" t="s">
        <v>71</v>
      </c>
      <c r="U65" t="s">
        <v>72</v>
      </c>
      <c r="V65" t="s">
        <v>73</v>
      </c>
      <c r="W65" t="s">
        <v>74</v>
      </c>
      <c r="X65" t="s">
        <v>750</v>
      </c>
      <c r="Y65" s="2">
        <v>822</v>
      </c>
      <c r="Z65" s="3">
        <v>1.21</v>
      </c>
      <c r="AA65" s="4">
        <v>994</v>
      </c>
      <c r="AK65" s="5">
        <v>9.6153999999999993</v>
      </c>
      <c r="AN65" s="1">
        <v>3</v>
      </c>
      <c r="AO65" t="s">
        <v>81</v>
      </c>
      <c r="AP65" t="s">
        <v>82</v>
      </c>
      <c r="AQ65" t="s">
        <v>83</v>
      </c>
      <c r="AR65" s="3">
        <v>1.1100000000000001</v>
      </c>
      <c r="AS65" s="4">
        <v>1117</v>
      </c>
      <c r="AT65" s="1">
        <v>1008</v>
      </c>
      <c r="AX65" s="3">
        <v>317273.14</v>
      </c>
      <c r="BB65" t="s">
        <v>84</v>
      </c>
      <c r="BD65" s="3">
        <v>1.27</v>
      </c>
      <c r="BE65" s="4">
        <v>939</v>
      </c>
      <c r="BF65" s="1">
        <v>741</v>
      </c>
      <c r="BG65" s="1">
        <v>108</v>
      </c>
      <c r="BH65" s="1">
        <v>48</v>
      </c>
    </row>
    <row r="66" spans="1:67" x14ac:dyDescent="0.25">
      <c r="A66" t="s">
        <v>1630</v>
      </c>
      <c r="B66" t="s">
        <v>1631</v>
      </c>
      <c r="C66" s="4">
        <f>(AA66*(H66*0.9))*12</f>
        <v>667591.20000000007</v>
      </c>
      <c r="D66" s="4">
        <f>IF(C66=0,"",(H66*150*12)+C66)</f>
        <v>779191.20000000007</v>
      </c>
      <c r="E66" s="4">
        <f>IFERROR(D66*0.5,"")</f>
        <v>389595.60000000003</v>
      </c>
      <c r="F66" s="4">
        <f>IFERROR(E66/0.06,"")</f>
        <v>6493260.0000000009</v>
      </c>
      <c r="G66" s="4">
        <f>IFERROR(F66/H66,"")</f>
        <v>104730.00000000001</v>
      </c>
      <c r="H66" s="1">
        <v>62</v>
      </c>
      <c r="I66" s="1">
        <v>1985</v>
      </c>
      <c r="J66" t="s">
        <v>64</v>
      </c>
      <c r="K66" t="s">
        <v>1632</v>
      </c>
      <c r="L66" t="s">
        <v>212</v>
      </c>
      <c r="M66" t="s">
        <v>1633</v>
      </c>
      <c r="N66" t="s">
        <v>1634</v>
      </c>
      <c r="O66" t="s">
        <v>212</v>
      </c>
      <c r="P66" s="1">
        <v>2</v>
      </c>
      <c r="Q66" t="s">
        <v>69</v>
      </c>
      <c r="R66" t="s">
        <v>70</v>
      </c>
      <c r="S66" t="s">
        <v>71</v>
      </c>
      <c r="U66" t="s">
        <v>72</v>
      </c>
      <c r="V66" t="s">
        <v>152</v>
      </c>
      <c r="W66" t="s">
        <v>74</v>
      </c>
      <c r="X66" t="s">
        <v>1635</v>
      </c>
      <c r="Y66" s="2">
        <v>587</v>
      </c>
      <c r="Z66" s="3">
        <v>1.7</v>
      </c>
      <c r="AA66" s="4">
        <v>997</v>
      </c>
      <c r="AK66" s="5">
        <v>8.0645000000000007</v>
      </c>
      <c r="AN66" s="1">
        <v>2</v>
      </c>
      <c r="AO66" t="s">
        <v>81</v>
      </c>
      <c r="AP66" t="s">
        <v>82</v>
      </c>
      <c r="AQ66" t="s">
        <v>83</v>
      </c>
      <c r="AR66" s="3">
        <v>1.53</v>
      </c>
      <c r="AS66" s="4">
        <v>1086</v>
      </c>
      <c r="AT66" s="1">
        <v>710</v>
      </c>
      <c r="AX66" s="3">
        <v>121419</v>
      </c>
      <c r="BB66" t="s">
        <v>84</v>
      </c>
      <c r="BD66" s="3">
        <v>1.85</v>
      </c>
      <c r="BE66" s="4">
        <v>941</v>
      </c>
      <c r="BF66" s="1">
        <v>510</v>
      </c>
      <c r="BG66" s="1">
        <v>38</v>
      </c>
      <c r="BH66" s="1">
        <v>24</v>
      </c>
      <c r="BK66" t="s">
        <v>1636</v>
      </c>
      <c r="BL66" t="s">
        <v>131</v>
      </c>
    </row>
    <row r="67" spans="1:67" x14ac:dyDescent="0.25">
      <c r="A67" t="s">
        <v>1077</v>
      </c>
      <c r="B67" t="s">
        <v>1078</v>
      </c>
      <c r="C67" s="4">
        <f>(AA67*(H67*0.9))*12</f>
        <v>4393569.6000000006</v>
      </c>
      <c r="D67" s="4">
        <f>IF(C67=0,"",(H67*150*12)+C67)</f>
        <v>5124369.6000000006</v>
      </c>
      <c r="E67" s="4">
        <f>IFERROR(D67*0.5,"")</f>
        <v>2562184.8000000003</v>
      </c>
      <c r="F67" s="4">
        <f>IFERROR(E67/0.06,"")</f>
        <v>42703080.000000007</v>
      </c>
      <c r="G67" s="4">
        <f>IFERROR(F67/H67,"")</f>
        <v>105180.00000000001</v>
      </c>
      <c r="H67" s="1">
        <v>406</v>
      </c>
      <c r="I67" s="1">
        <v>1985</v>
      </c>
      <c r="J67" t="s">
        <v>64</v>
      </c>
      <c r="K67" t="s">
        <v>725</v>
      </c>
      <c r="L67" t="s">
        <v>1079</v>
      </c>
      <c r="M67" t="s">
        <v>1080</v>
      </c>
      <c r="N67" t="s">
        <v>1081</v>
      </c>
      <c r="O67" t="s">
        <v>1079</v>
      </c>
      <c r="P67" s="1">
        <v>3</v>
      </c>
      <c r="Q67" t="s">
        <v>69</v>
      </c>
      <c r="R67" t="s">
        <v>70</v>
      </c>
      <c r="S67" t="s">
        <v>71</v>
      </c>
      <c r="U67" t="s">
        <v>72</v>
      </c>
      <c r="V67" t="s">
        <v>73</v>
      </c>
      <c r="W67" t="s">
        <v>74</v>
      </c>
      <c r="X67" t="s">
        <v>1082</v>
      </c>
      <c r="Y67" s="2">
        <v>600</v>
      </c>
      <c r="Z67" s="3">
        <v>1.67</v>
      </c>
      <c r="AA67" s="4">
        <v>1002</v>
      </c>
      <c r="AK67" s="5">
        <v>3.9409000000000001</v>
      </c>
      <c r="AN67" s="1">
        <v>3</v>
      </c>
      <c r="AO67" t="s">
        <v>81</v>
      </c>
      <c r="AP67" t="s">
        <v>82</v>
      </c>
      <c r="AQ67" t="s">
        <v>83</v>
      </c>
      <c r="AR67" s="3">
        <v>1.67</v>
      </c>
      <c r="AS67" s="4">
        <v>1349</v>
      </c>
      <c r="AT67" s="1">
        <v>810</v>
      </c>
      <c r="AX67" s="3">
        <v>671668.5</v>
      </c>
      <c r="BB67" t="s">
        <v>84</v>
      </c>
      <c r="BD67" s="3">
        <v>1.67</v>
      </c>
      <c r="BE67" s="4">
        <v>929</v>
      </c>
      <c r="BF67" s="1">
        <v>557</v>
      </c>
      <c r="BG67" s="1">
        <v>336</v>
      </c>
      <c r="BH67" s="1">
        <v>70</v>
      </c>
    </row>
    <row r="68" spans="1:67" x14ac:dyDescent="0.25">
      <c r="A68" t="s">
        <v>1428</v>
      </c>
      <c r="B68" t="s">
        <v>1429</v>
      </c>
      <c r="C68" s="4">
        <f>(AA68*(H68*0.9))*12</f>
        <v>3574692</v>
      </c>
      <c r="D68" s="4">
        <f>IF(C68=0,"",(H68*150*12)+C68)</f>
        <v>4168692</v>
      </c>
      <c r="E68" s="4">
        <f>IFERROR(D68*0.5,"")</f>
        <v>2084346</v>
      </c>
      <c r="F68" s="4">
        <f>IFERROR(E68/0.06,"")</f>
        <v>34739100</v>
      </c>
      <c r="G68" s="4">
        <f>IFERROR(F68/H68,"")</f>
        <v>105270</v>
      </c>
      <c r="H68" s="1">
        <v>330</v>
      </c>
      <c r="I68" s="1">
        <v>1985</v>
      </c>
      <c r="J68" t="s">
        <v>64</v>
      </c>
      <c r="K68" t="s">
        <v>1430</v>
      </c>
      <c r="L68" t="s">
        <v>1431</v>
      </c>
      <c r="M68" t="s">
        <v>1432</v>
      </c>
      <c r="N68" t="s">
        <v>1433</v>
      </c>
      <c r="O68" t="s">
        <v>1431</v>
      </c>
      <c r="P68" s="1">
        <v>3</v>
      </c>
      <c r="Q68" t="s">
        <v>91</v>
      </c>
      <c r="R68" t="s">
        <v>70</v>
      </c>
      <c r="S68" t="s">
        <v>71</v>
      </c>
      <c r="T68" t="s">
        <v>118</v>
      </c>
      <c r="U68" t="s">
        <v>72</v>
      </c>
      <c r="V68" t="s">
        <v>73</v>
      </c>
      <c r="W68" t="s">
        <v>74</v>
      </c>
      <c r="X68" t="s">
        <v>1434</v>
      </c>
      <c r="Y68" s="2">
        <v>799</v>
      </c>
      <c r="Z68" s="3">
        <v>1.26</v>
      </c>
      <c r="AA68" s="4">
        <v>1003</v>
      </c>
      <c r="AK68" s="5">
        <v>37.575800000000001</v>
      </c>
      <c r="AM68" s="1">
        <v>2004</v>
      </c>
      <c r="AN68" s="1">
        <v>3</v>
      </c>
      <c r="AO68" t="s">
        <v>81</v>
      </c>
      <c r="AP68" t="s">
        <v>82</v>
      </c>
      <c r="AQ68" t="s">
        <v>83</v>
      </c>
      <c r="AR68" s="3">
        <v>1.19</v>
      </c>
      <c r="AS68" s="4">
        <v>999</v>
      </c>
      <c r="AT68" s="1">
        <v>842</v>
      </c>
      <c r="AU68" s="3">
        <v>1.17</v>
      </c>
      <c r="AV68" s="4">
        <v>1265</v>
      </c>
      <c r="AW68" s="1">
        <v>1082</v>
      </c>
      <c r="AX68" s="3">
        <v>491706.62</v>
      </c>
      <c r="BB68" t="s">
        <v>84</v>
      </c>
      <c r="BD68" s="3">
        <v>1.55</v>
      </c>
      <c r="BE68" s="4">
        <v>887</v>
      </c>
      <c r="BF68" s="1">
        <v>574</v>
      </c>
      <c r="BG68" s="1">
        <v>93</v>
      </c>
      <c r="BH68" s="1">
        <v>192</v>
      </c>
      <c r="BI68" s="1">
        <v>45</v>
      </c>
      <c r="BL68" t="s">
        <v>131</v>
      </c>
    </row>
    <row r="69" spans="1:67" x14ac:dyDescent="0.25">
      <c r="A69" t="s">
        <v>1315</v>
      </c>
      <c r="B69" t="s">
        <v>1316</v>
      </c>
      <c r="C69" s="4">
        <f>(AA69*(H69*0.9))*12</f>
        <v>2092262.4000000001</v>
      </c>
      <c r="D69" s="4">
        <f>IF(C69=0,"",(H69*150*12)+C69)</f>
        <v>2437862.4000000004</v>
      </c>
      <c r="E69" s="4">
        <f>IFERROR(D69*0.5,"")</f>
        <v>1218931.2000000002</v>
      </c>
      <c r="F69" s="4">
        <f>IFERROR(E69/0.06,"")</f>
        <v>20315520.000000004</v>
      </c>
      <c r="G69" s="4">
        <f>IFERROR(F69/H69,"")</f>
        <v>105810.00000000001</v>
      </c>
      <c r="H69" s="1">
        <v>192</v>
      </c>
      <c r="I69" s="1">
        <v>1985</v>
      </c>
      <c r="J69" t="s">
        <v>64</v>
      </c>
      <c r="K69" t="s">
        <v>301</v>
      </c>
      <c r="L69" t="s">
        <v>1317</v>
      </c>
      <c r="M69" t="s">
        <v>1318</v>
      </c>
      <c r="N69" t="s">
        <v>1319</v>
      </c>
      <c r="O69" t="s">
        <v>1317</v>
      </c>
      <c r="P69" s="1">
        <v>3</v>
      </c>
      <c r="Q69" t="s">
        <v>69</v>
      </c>
      <c r="R69" t="s">
        <v>70</v>
      </c>
      <c r="S69" t="s">
        <v>71</v>
      </c>
      <c r="U69" t="s">
        <v>72</v>
      </c>
      <c r="V69" t="s">
        <v>152</v>
      </c>
      <c r="W69" t="s">
        <v>74</v>
      </c>
      <c r="X69" t="s">
        <v>406</v>
      </c>
      <c r="Y69" s="2">
        <v>775</v>
      </c>
      <c r="Z69" s="3">
        <v>1.3</v>
      </c>
      <c r="AA69" s="4">
        <v>1009</v>
      </c>
      <c r="AK69" s="5">
        <v>8.3332999999999995</v>
      </c>
      <c r="AM69" s="1">
        <v>2018</v>
      </c>
      <c r="AN69" s="1">
        <v>2</v>
      </c>
      <c r="AO69" t="s">
        <v>81</v>
      </c>
      <c r="AP69" t="s">
        <v>82</v>
      </c>
      <c r="AQ69" t="s">
        <v>83</v>
      </c>
      <c r="AR69" s="3">
        <v>1.19</v>
      </c>
      <c r="AS69" s="4">
        <v>1102</v>
      </c>
      <c r="AT69" s="1">
        <v>923</v>
      </c>
      <c r="AU69" s="3">
        <v>1.36</v>
      </c>
      <c r="AV69" s="4">
        <v>1579</v>
      </c>
      <c r="AW69" s="1">
        <v>1159</v>
      </c>
      <c r="AX69" s="3">
        <v>455298.71</v>
      </c>
      <c r="BB69" t="s">
        <v>84</v>
      </c>
      <c r="BD69" s="3">
        <v>1.42</v>
      </c>
      <c r="BE69" s="4">
        <v>837</v>
      </c>
      <c r="BF69" s="1">
        <v>589</v>
      </c>
      <c r="BG69" s="1">
        <v>96</v>
      </c>
      <c r="BH69" s="1">
        <v>80</v>
      </c>
      <c r="BI69" s="1">
        <v>16</v>
      </c>
      <c r="BK69" t="s">
        <v>1320</v>
      </c>
      <c r="BL69" t="s">
        <v>365</v>
      </c>
    </row>
    <row r="70" spans="1:67" x14ac:dyDescent="0.25">
      <c r="A70" t="s">
        <v>998</v>
      </c>
      <c r="B70" t="s">
        <v>999</v>
      </c>
      <c r="C70" s="4">
        <f>(AA70*(H70*0.9))*12</f>
        <v>1178064</v>
      </c>
      <c r="D70" s="4">
        <f>IF(C70=0,"",(H70*150*12)+C70)</f>
        <v>1372464</v>
      </c>
      <c r="E70" s="4">
        <f>IFERROR(D70*0.5,"")</f>
        <v>686232</v>
      </c>
      <c r="F70" s="4">
        <f>IFERROR(E70/0.06,"")</f>
        <v>11437200</v>
      </c>
      <c r="G70" s="4">
        <f>IFERROR(F70/H70,"")</f>
        <v>105900</v>
      </c>
      <c r="H70" s="1">
        <v>108</v>
      </c>
      <c r="I70" s="1">
        <v>1986</v>
      </c>
      <c r="J70" t="s">
        <v>64</v>
      </c>
      <c r="K70" t="s">
        <v>995</v>
      </c>
      <c r="L70" t="s">
        <v>1000</v>
      </c>
      <c r="M70" t="s">
        <v>1001</v>
      </c>
      <c r="N70" t="s">
        <v>1002</v>
      </c>
      <c r="O70" t="s">
        <v>1000</v>
      </c>
      <c r="P70" s="1">
        <v>2</v>
      </c>
      <c r="Q70" t="s">
        <v>69</v>
      </c>
      <c r="R70" t="s">
        <v>70</v>
      </c>
      <c r="S70" t="s">
        <v>71</v>
      </c>
      <c r="U70" t="s">
        <v>72</v>
      </c>
      <c r="V70" t="s">
        <v>73</v>
      </c>
      <c r="W70" t="s">
        <v>74</v>
      </c>
      <c r="X70" t="s">
        <v>997</v>
      </c>
      <c r="Y70" s="2">
        <v>502</v>
      </c>
      <c r="Z70" s="3">
        <v>2.0099999999999998</v>
      </c>
      <c r="AA70" s="4">
        <v>1010</v>
      </c>
      <c r="AK70" s="5">
        <v>12.037000000000001</v>
      </c>
      <c r="AM70" s="1">
        <v>2006</v>
      </c>
      <c r="AN70" s="1">
        <v>3</v>
      </c>
      <c r="AO70" t="s">
        <v>81</v>
      </c>
      <c r="AP70" t="s">
        <v>82</v>
      </c>
      <c r="AQ70" t="s">
        <v>83</v>
      </c>
      <c r="AR70" s="3">
        <v>1.69</v>
      </c>
      <c r="AS70" s="4">
        <v>1475</v>
      </c>
      <c r="AT70" s="1">
        <v>875</v>
      </c>
      <c r="AX70" s="3">
        <v>241383.24</v>
      </c>
      <c r="BB70" t="s">
        <v>84</v>
      </c>
      <c r="BD70" s="3">
        <v>2.02</v>
      </c>
      <c r="BE70" s="4">
        <v>1006</v>
      </c>
      <c r="BF70" s="1">
        <v>499</v>
      </c>
      <c r="BG70" s="1">
        <v>107</v>
      </c>
      <c r="BH70" s="1">
        <v>1</v>
      </c>
      <c r="BL70" t="s">
        <v>131</v>
      </c>
    </row>
    <row r="71" spans="1:67" x14ac:dyDescent="0.25">
      <c r="A71" t="s">
        <v>2635</v>
      </c>
      <c r="B71" t="s">
        <v>2636</v>
      </c>
      <c r="C71" s="4">
        <f>(AA71*(H71*0.9))*12</f>
        <v>655776</v>
      </c>
      <c r="D71" s="4">
        <f>IF(C71=0,"",(H71*150*12)+C71)</f>
        <v>763776</v>
      </c>
      <c r="E71" s="4">
        <f>IFERROR(D71*0.5,"")</f>
        <v>381888</v>
      </c>
      <c r="F71" s="4">
        <f>IFERROR(E71/0.06,"")</f>
        <v>6364800</v>
      </c>
      <c r="G71" s="4">
        <f>IFERROR(F71/H71,"")</f>
        <v>106080</v>
      </c>
      <c r="H71" s="1">
        <v>60</v>
      </c>
      <c r="I71" s="1">
        <v>1995</v>
      </c>
      <c r="J71" t="s">
        <v>64</v>
      </c>
      <c r="K71" t="s">
        <v>148</v>
      </c>
      <c r="L71" t="s">
        <v>2637</v>
      </c>
      <c r="M71" t="s">
        <v>2638</v>
      </c>
      <c r="N71" t="s">
        <v>2639</v>
      </c>
      <c r="O71" t="s">
        <v>2637</v>
      </c>
      <c r="P71" s="1">
        <v>3</v>
      </c>
      <c r="Q71" t="s">
        <v>69</v>
      </c>
      <c r="R71" t="s">
        <v>70</v>
      </c>
      <c r="S71" t="s">
        <v>71</v>
      </c>
      <c r="T71" t="s">
        <v>426</v>
      </c>
      <c r="U71" t="s">
        <v>72</v>
      </c>
      <c r="V71" t="s">
        <v>152</v>
      </c>
      <c r="W71" t="s">
        <v>74</v>
      </c>
      <c r="X71" t="s">
        <v>2640</v>
      </c>
      <c r="Y71" s="2">
        <v>530</v>
      </c>
      <c r="Z71" s="3">
        <v>1.91</v>
      </c>
      <c r="AA71" s="4">
        <v>1012</v>
      </c>
      <c r="AK71" s="5">
        <v>5</v>
      </c>
      <c r="AN71" s="1">
        <v>3</v>
      </c>
      <c r="AO71" t="s">
        <v>81</v>
      </c>
      <c r="AP71" t="s">
        <v>82</v>
      </c>
      <c r="AQ71" t="s">
        <v>83</v>
      </c>
      <c r="AY71" s="3">
        <v>1.72</v>
      </c>
      <c r="AZ71" s="4">
        <v>824</v>
      </c>
      <c r="BA71" s="6">
        <v>480</v>
      </c>
      <c r="BB71" t="s">
        <v>84</v>
      </c>
      <c r="BD71" s="3">
        <v>1.94</v>
      </c>
      <c r="BE71" s="4">
        <v>1049</v>
      </c>
      <c r="BF71" s="1">
        <v>540</v>
      </c>
      <c r="BG71" s="1">
        <v>50</v>
      </c>
    </row>
    <row r="72" spans="1:67" x14ac:dyDescent="0.25">
      <c r="A72" t="s">
        <v>3061</v>
      </c>
      <c r="B72" t="s">
        <v>3062</v>
      </c>
      <c r="C72" s="4">
        <f>(AA72*(H72*0.9))*12</f>
        <v>951814.79999999993</v>
      </c>
      <c r="D72" s="4">
        <f>IF(C72=0,"",(H72*150*12)+C72)</f>
        <v>1108414.7999999998</v>
      </c>
      <c r="E72" s="4">
        <f>IFERROR(D72*0.5,"")</f>
        <v>554207.39999999991</v>
      </c>
      <c r="F72" s="4">
        <f>IFERROR(E72/0.06,"")</f>
        <v>9236789.9999999981</v>
      </c>
      <c r="G72" s="4">
        <f>IFERROR(F72/H72,"")</f>
        <v>106169.99999999999</v>
      </c>
      <c r="H72" s="1">
        <v>87</v>
      </c>
      <c r="I72" s="1">
        <v>1998</v>
      </c>
      <c r="J72" t="s">
        <v>64</v>
      </c>
      <c r="K72" t="s">
        <v>943</v>
      </c>
      <c r="L72" t="s">
        <v>220</v>
      </c>
      <c r="M72" t="s">
        <v>3063</v>
      </c>
      <c r="N72" t="s">
        <v>3064</v>
      </c>
      <c r="O72" t="s">
        <v>220</v>
      </c>
      <c r="P72" s="1">
        <v>3</v>
      </c>
      <c r="Q72" t="s">
        <v>91</v>
      </c>
      <c r="R72" t="s">
        <v>70</v>
      </c>
      <c r="S72" t="s">
        <v>71</v>
      </c>
      <c r="U72" t="s">
        <v>72</v>
      </c>
      <c r="V72" t="s">
        <v>945</v>
      </c>
      <c r="W72" t="s">
        <v>74</v>
      </c>
      <c r="X72" t="s">
        <v>3065</v>
      </c>
      <c r="Y72" s="2">
        <v>846</v>
      </c>
      <c r="Z72" s="3">
        <v>1.2</v>
      </c>
      <c r="AA72" s="4">
        <v>1013</v>
      </c>
      <c r="AK72" s="5">
        <v>6.8966000000000003</v>
      </c>
      <c r="AN72" s="1">
        <v>2</v>
      </c>
      <c r="AO72" t="s">
        <v>81</v>
      </c>
      <c r="AP72" t="s">
        <v>82</v>
      </c>
      <c r="AQ72" t="s">
        <v>83</v>
      </c>
      <c r="AR72" s="3">
        <v>1.1599999999999999</v>
      </c>
      <c r="AS72" s="4">
        <v>1106</v>
      </c>
      <c r="AT72" s="1">
        <v>950</v>
      </c>
      <c r="AU72" s="3">
        <v>1.26</v>
      </c>
      <c r="AV72" s="4">
        <v>1509</v>
      </c>
      <c r="AW72" s="1">
        <v>1200</v>
      </c>
      <c r="AX72" s="3">
        <v>118677.27</v>
      </c>
      <c r="BB72" t="s">
        <v>84</v>
      </c>
      <c r="BD72" s="3">
        <v>1.21</v>
      </c>
      <c r="BE72" s="4">
        <v>875</v>
      </c>
      <c r="BF72" s="1">
        <v>725</v>
      </c>
      <c r="BG72" s="1">
        <v>49</v>
      </c>
      <c r="BH72" s="1">
        <v>30</v>
      </c>
      <c r="BI72" s="1">
        <v>8</v>
      </c>
      <c r="BK72" t="s">
        <v>3066</v>
      </c>
      <c r="BL72" t="s">
        <v>104</v>
      </c>
    </row>
    <row r="73" spans="1:67" x14ac:dyDescent="0.25">
      <c r="A73" t="s">
        <v>902</v>
      </c>
      <c r="B73" t="s">
        <v>903</v>
      </c>
      <c r="C73" s="4">
        <f>(AA73*(H73*0.9))*12</f>
        <v>3569670</v>
      </c>
      <c r="D73" s="4">
        <f>IF(C73=0,"",(H73*150*12)+C73)</f>
        <v>4154670</v>
      </c>
      <c r="E73" s="4">
        <f>IFERROR(D73*0.5,"")</f>
        <v>2077335</v>
      </c>
      <c r="F73" s="4">
        <f>IFERROR(E73/0.06,"")</f>
        <v>34622250</v>
      </c>
      <c r="G73" s="4">
        <f>IFERROR(F73/H73,"")</f>
        <v>106530</v>
      </c>
      <c r="H73" s="1">
        <v>325</v>
      </c>
      <c r="I73" s="1">
        <v>1985</v>
      </c>
      <c r="J73" t="s">
        <v>64</v>
      </c>
      <c r="K73" t="s">
        <v>148</v>
      </c>
      <c r="L73" t="s">
        <v>199</v>
      </c>
      <c r="M73" t="s">
        <v>904</v>
      </c>
      <c r="N73" t="s">
        <v>905</v>
      </c>
      <c r="O73" t="s">
        <v>199</v>
      </c>
      <c r="P73" s="1">
        <v>3</v>
      </c>
      <c r="Q73" t="s">
        <v>91</v>
      </c>
      <c r="R73" t="s">
        <v>70</v>
      </c>
      <c r="S73" t="s">
        <v>71</v>
      </c>
      <c r="U73" t="s">
        <v>72</v>
      </c>
      <c r="V73" t="s">
        <v>152</v>
      </c>
      <c r="W73" t="s">
        <v>74</v>
      </c>
      <c r="X73" t="s">
        <v>780</v>
      </c>
      <c r="Y73" s="2">
        <v>726</v>
      </c>
      <c r="Z73" s="3">
        <v>1.4</v>
      </c>
      <c r="AA73" s="4">
        <v>1017</v>
      </c>
      <c r="AK73" s="5">
        <v>10.461499999999999</v>
      </c>
      <c r="AM73" s="1">
        <v>2018</v>
      </c>
      <c r="AN73" s="1">
        <v>3</v>
      </c>
      <c r="AO73" t="s">
        <v>81</v>
      </c>
      <c r="AP73" t="s">
        <v>82</v>
      </c>
      <c r="AQ73" t="s">
        <v>83</v>
      </c>
      <c r="AR73" s="3">
        <v>1.3</v>
      </c>
      <c r="AS73" s="4">
        <v>1128</v>
      </c>
      <c r="AT73" s="1">
        <v>868</v>
      </c>
      <c r="AX73" s="3">
        <v>731004</v>
      </c>
      <c r="AY73" s="3">
        <v>1.58</v>
      </c>
      <c r="AZ73" s="4">
        <v>896</v>
      </c>
      <c r="BA73" s="6">
        <v>567</v>
      </c>
      <c r="BB73" t="s">
        <v>84</v>
      </c>
      <c r="BD73" s="3">
        <v>1.42</v>
      </c>
      <c r="BE73" s="4">
        <v>888</v>
      </c>
      <c r="BF73" s="1">
        <v>626</v>
      </c>
      <c r="BG73" s="1">
        <v>13</v>
      </c>
      <c r="BH73" s="1">
        <v>170</v>
      </c>
    </row>
    <row r="74" spans="1:67" x14ac:dyDescent="0.25">
      <c r="A74" t="s">
        <v>1220</v>
      </c>
      <c r="B74" t="s">
        <v>1221</v>
      </c>
      <c r="C74" s="4">
        <f>(AA74*(H74*0.9))*12</f>
        <v>3301560</v>
      </c>
      <c r="D74" s="4">
        <f>IF(C74=0,"",(H74*150*12)+C74)</f>
        <v>3841560</v>
      </c>
      <c r="E74" s="4">
        <f>IFERROR(D74*0.5,"")</f>
        <v>1920780</v>
      </c>
      <c r="F74" s="4">
        <f>IFERROR(E74/0.06,"")</f>
        <v>32013000</v>
      </c>
      <c r="G74" s="4">
        <f>IFERROR(F74/H74,"")</f>
        <v>106710</v>
      </c>
      <c r="H74" s="1">
        <v>300</v>
      </c>
      <c r="I74" s="1">
        <v>1985</v>
      </c>
      <c r="J74" t="s">
        <v>64</v>
      </c>
      <c r="K74" t="s">
        <v>97</v>
      </c>
      <c r="L74" t="s">
        <v>747</v>
      </c>
      <c r="M74" t="s">
        <v>1222</v>
      </c>
      <c r="N74" t="s">
        <v>1223</v>
      </c>
      <c r="O74" t="s">
        <v>747</v>
      </c>
      <c r="P74" s="1">
        <v>3</v>
      </c>
      <c r="Q74" t="s">
        <v>91</v>
      </c>
      <c r="R74" t="s">
        <v>70</v>
      </c>
      <c r="S74" t="s">
        <v>71</v>
      </c>
      <c r="U74" t="s">
        <v>72</v>
      </c>
      <c r="V74" t="s">
        <v>73</v>
      </c>
      <c r="W74" t="s">
        <v>74</v>
      </c>
      <c r="X74" t="s">
        <v>743</v>
      </c>
      <c r="Y74" s="2">
        <v>559</v>
      </c>
      <c r="Z74" s="3">
        <v>1.82</v>
      </c>
      <c r="AA74" s="4">
        <v>1019</v>
      </c>
      <c r="AK74" s="5">
        <v>8.3332999999999995</v>
      </c>
      <c r="AN74" s="1">
        <v>3</v>
      </c>
      <c r="AO74" t="s">
        <v>81</v>
      </c>
      <c r="AP74" t="s">
        <v>82</v>
      </c>
      <c r="AQ74" t="s">
        <v>83</v>
      </c>
      <c r="AR74" s="3">
        <v>1.63</v>
      </c>
      <c r="AS74" s="4">
        <v>1171</v>
      </c>
      <c r="AT74" s="1">
        <v>719</v>
      </c>
      <c r="AX74" s="3">
        <v>603449.96</v>
      </c>
      <c r="BB74" t="s">
        <v>84</v>
      </c>
      <c r="BD74" s="3">
        <v>2.0099999999999998</v>
      </c>
      <c r="BE74" s="4">
        <v>923</v>
      </c>
      <c r="BF74" s="1">
        <v>459</v>
      </c>
      <c r="BG74" s="1">
        <v>184</v>
      </c>
      <c r="BH74" s="1">
        <v>116</v>
      </c>
    </row>
    <row r="75" spans="1:67" x14ac:dyDescent="0.25">
      <c r="A75" t="s">
        <v>3709</v>
      </c>
      <c r="B75" t="s">
        <v>3710</v>
      </c>
      <c r="C75" s="4">
        <f>(AA75*(H75*0.9))*12</f>
        <v>1321920</v>
      </c>
      <c r="D75" s="4">
        <f>IF(C75=0,"",(H75*150*12)+C75)</f>
        <v>1537920</v>
      </c>
      <c r="E75" s="4">
        <f>IFERROR(D75*0.5,"")</f>
        <v>768960</v>
      </c>
      <c r="F75" s="4">
        <f>IFERROR(E75/0.06,"")</f>
        <v>12816000</v>
      </c>
      <c r="G75" s="4">
        <f>IFERROR(F75/H75,"")</f>
        <v>106800</v>
      </c>
      <c r="H75" s="1">
        <v>120</v>
      </c>
      <c r="I75" s="1">
        <v>2000</v>
      </c>
      <c r="J75" t="s">
        <v>64</v>
      </c>
      <c r="K75" t="s">
        <v>439</v>
      </c>
      <c r="L75" t="s">
        <v>3711</v>
      </c>
      <c r="M75" t="s">
        <v>3712</v>
      </c>
      <c r="N75" t="s">
        <v>3713</v>
      </c>
      <c r="O75" t="s">
        <v>3711</v>
      </c>
      <c r="P75" s="1">
        <v>3</v>
      </c>
      <c r="Q75" t="s">
        <v>69</v>
      </c>
      <c r="R75" t="s">
        <v>70</v>
      </c>
      <c r="S75" t="s">
        <v>71</v>
      </c>
      <c r="T75" t="s">
        <v>118</v>
      </c>
      <c r="U75" t="s">
        <v>72</v>
      </c>
      <c r="V75" t="s">
        <v>885</v>
      </c>
      <c r="W75" t="s">
        <v>74</v>
      </c>
      <c r="X75" t="s">
        <v>886</v>
      </c>
      <c r="Y75" s="2">
        <v>1294</v>
      </c>
      <c r="Z75" s="3">
        <v>0.79</v>
      </c>
      <c r="AA75" s="4">
        <v>1020</v>
      </c>
      <c r="AN75" s="1">
        <v>2</v>
      </c>
      <c r="AO75" t="s">
        <v>81</v>
      </c>
      <c r="AP75" t="s">
        <v>82</v>
      </c>
      <c r="AQ75" t="s">
        <v>83</v>
      </c>
      <c r="AR75" s="3">
        <v>0.78</v>
      </c>
      <c r="AS75" s="4">
        <v>937</v>
      </c>
      <c r="AT75" s="1">
        <v>1200</v>
      </c>
      <c r="AU75" s="3">
        <v>0.78</v>
      </c>
      <c r="AV75" s="4">
        <v>1090</v>
      </c>
      <c r="AW75" s="1">
        <v>1394</v>
      </c>
      <c r="AX75" s="3">
        <v>88936.5</v>
      </c>
      <c r="BB75" t="s">
        <v>84</v>
      </c>
      <c r="BH75" s="1">
        <v>64</v>
      </c>
      <c r="BI75" s="1">
        <v>44</v>
      </c>
      <c r="BJ75" s="1">
        <v>12</v>
      </c>
      <c r="BM75" s="3">
        <v>0.85</v>
      </c>
      <c r="BN75" s="4">
        <v>1212</v>
      </c>
      <c r="BO75" s="1">
        <v>1428</v>
      </c>
    </row>
    <row r="76" spans="1:67" x14ac:dyDescent="0.25">
      <c r="A76" t="s">
        <v>1678</v>
      </c>
      <c r="B76" t="s">
        <v>1679</v>
      </c>
      <c r="C76" s="4">
        <f>(AA76*(H76*0.9))*12</f>
        <v>5121446.4000000004</v>
      </c>
      <c r="D76" s="4">
        <f>IF(C76=0,"",(H76*150*12)+C76)</f>
        <v>5956646.4000000004</v>
      </c>
      <c r="E76" s="4">
        <f>IFERROR(D76*0.5,"")</f>
        <v>2978323.2</v>
      </c>
      <c r="F76" s="4">
        <f>IFERROR(E76/0.06,"")</f>
        <v>49638720.000000007</v>
      </c>
      <c r="G76" s="4">
        <f>IFERROR(F76/H76,"")</f>
        <v>106980.00000000001</v>
      </c>
      <c r="H76" s="1">
        <v>464</v>
      </c>
      <c r="I76" s="1">
        <v>1986</v>
      </c>
      <c r="J76" t="s">
        <v>64</v>
      </c>
      <c r="K76" t="s">
        <v>360</v>
      </c>
      <c r="L76" t="s">
        <v>687</v>
      </c>
      <c r="M76" t="s">
        <v>1680</v>
      </c>
      <c r="O76" t="s">
        <v>687</v>
      </c>
      <c r="P76" s="1">
        <v>3</v>
      </c>
      <c r="Q76" t="s">
        <v>69</v>
      </c>
      <c r="R76" t="s">
        <v>70</v>
      </c>
      <c r="S76" t="s">
        <v>71</v>
      </c>
      <c r="U76" t="s">
        <v>72</v>
      </c>
      <c r="V76" t="s">
        <v>73</v>
      </c>
      <c r="W76" t="s">
        <v>74</v>
      </c>
      <c r="X76" t="s">
        <v>379</v>
      </c>
      <c r="Y76" s="2">
        <v>755</v>
      </c>
      <c r="Z76" s="3">
        <v>1.35</v>
      </c>
      <c r="AA76" s="4">
        <v>1022</v>
      </c>
      <c r="AK76" s="5">
        <v>10.7759</v>
      </c>
      <c r="AN76" s="1">
        <v>2</v>
      </c>
      <c r="AO76" t="s">
        <v>81</v>
      </c>
      <c r="AP76" t="s">
        <v>82</v>
      </c>
      <c r="AQ76" t="s">
        <v>83</v>
      </c>
      <c r="AR76" s="3">
        <v>1.27</v>
      </c>
      <c r="AS76" s="4">
        <v>1202</v>
      </c>
      <c r="AT76" s="1">
        <v>944</v>
      </c>
      <c r="AX76" s="3">
        <v>0</v>
      </c>
      <c r="BB76" t="s">
        <v>84</v>
      </c>
      <c r="BD76" s="3">
        <v>1.44</v>
      </c>
      <c r="BE76" s="4">
        <v>896</v>
      </c>
      <c r="BF76" s="1">
        <v>622</v>
      </c>
      <c r="BG76" s="1">
        <v>272</v>
      </c>
      <c r="BH76" s="1">
        <v>192</v>
      </c>
      <c r="BL76" t="s">
        <v>131</v>
      </c>
    </row>
    <row r="77" spans="1:67" x14ac:dyDescent="0.25">
      <c r="A77" t="s">
        <v>2016</v>
      </c>
      <c r="B77" t="s">
        <v>2017</v>
      </c>
      <c r="C77" s="4">
        <f>(AA77*(H77*0.9))*12</f>
        <v>3185049.5999999996</v>
      </c>
      <c r="D77" s="4">
        <f>IF(C77=0,"",(H77*150*12)+C77)</f>
        <v>3703449.5999999996</v>
      </c>
      <c r="E77" s="4">
        <f>IFERROR(D77*0.5,"")</f>
        <v>1851724.7999999998</v>
      </c>
      <c r="F77" s="4">
        <f>IFERROR(E77/0.06,"")</f>
        <v>30862079.999999996</v>
      </c>
      <c r="G77" s="4">
        <f>IFERROR(F77/H77,"")</f>
        <v>107159.99999999999</v>
      </c>
      <c r="H77" s="1">
        <v>288</v>
      </c>
      <c r="I77" s="1">
        <v>1986</v>
      </c>
      <c r="J77" t="s">
        <v>64</v>
      </c>
      <c r="K77" t="s">
        <v>156</v>
      </c>
      <c r="L77" t="s">
        <v>2018</v>
      </c>
      <c r="M77" t="s">
        <v>2019</v>
      </c>
      <c r="N77" t="s">
        <v>2020</v>
      </c>
      <c r="O77" t="s">
        <v>2018</v>
      </c>
      <c r="P77" s="1">
        <v>3</v>
      </c>
      <c r="Q77" t="s">
        <v>91</v>
      </c>
      <c r="R77" t="s">
        <v>70</v>
      </c>
      <c r="S77" t="s">
        <v>71</v>
      </c>
      <c r="U77" t="s">
        <v>72</v>
      </c>
      <c r="V77" t="s">
        <v>73</v>
      </c>
      <c r="W77" t="s">
        <v>74</v>
      </c>
      <c r="X77" t="s">
        <v>461</v>
      </c>
      <c r="Y77" s="2">
        <v>666</v>
      </c>
      <c r="Z77" s="3">
        <v>1.54</v>
      </c>
      <c r="AA77" s="4">
        <v>1024</v>
      </c>
      <c r="AK77" s="5">
        <v>15.625</v>
      </c>
      <c r="AN77" s="1">
        <v>3</v>
      </c>
      <c r="AO77" t="s">
        <v>81</v>
      </c>
      <c r="AP77" t="s">
        <v>82</v>
      </c>
      <c r="AQ77" t="s">
        <v>83</v>
      </c>
      <c r="AR77" s="3">
        <v>1.31</v>
      </c>
      <c r="AS77" s="4">
        <v>1210</v>
      </c>
      <c r="AT77" s="1">
        <v>926</v>
      </c>
      <c r="AX77" s="3">
        <v>575520.22</v>
      </c>
      <c r="BB77" t="s">
        <v>84</v>
      </c>
      <c r="BD77" s="3">
        <v>1.66</v>
      </c>
      <c r="BE77" s="4">
        <v>962</v>
      </c>
      <c r="BF77" s="1">
        <v>581</v>
      </c>
      <c r="BG77" s="1">
        <v>216</v>
      </c>
      <c r="BH77" s="1">
        <v>72</v>
      </c>
      <c r="BL77" t="s">
        <v>94</v>
      </c>
    </row>
    <row r="78" spans="1:67" x14ac:dyDescent="0.25">
      <c r="A78" t="s">
        <v>1908</v>
      </c>
      <c r="B78" t="s">
        <v>1909</v>
      </c>
      <c r="C78" s="4">
        <f>(AA78*(H78*0.9))*12</f>
        <v>4525372.8</v>
      </c>
      <c r="D78" s="4">
        <f>IF(C78=0,"",(H78*150*12)+C78)</f>
        <v>5259772.8</v>
      </c>
      <c r="E78" s="4">
        <f>IFERROR(D78*0.5,"")</f>
        <v>2629886.4</v>
      </c>
      <c r="F78" s="4">
        <f>IFERROR(E78/0.06,"")</f>
        <v>43831440</v>
      </c>
      <c r="G78" s="4">
        <f>IFERROR(F78/H78,"")</f>
        <v>107430</v>
      </c>
      <c r="H78" s="1">
        <v>408</v>
      </c>
      <c r="I78" s="1">
        <v>1985</v>
      </c>
      <c r="J78" t="s">
        <v>64</v>
      </c>
      <c r="K78" t="s">
        <v>264</v>
      </c>
      <c r="L78" t="s">
        <v>1910</v>
      </c>
      <c r="M78" t="s">
        <v>1911</v>
      </c>
      <c r="O78" t="s">
        <v>1910</v>
      </c>
      <c r="P78" s="1">
        <v>3</v>
      </c>
      <c r="Q78" t="s">
        <v>91</v>
      </c>
      <c r="R78" t="s">
        <v>70</v>
      </c>
      <c r="S78" t="s">
        <v>71</v>
      </c>
      <c r="U78" t="s">
        <v>72</v>
      </c>
      <c r="V78" t="s">
        <v>264</v>
      </c>
      <c r="W78" t="s">
        <v>74</v>
      </c>
      <c r="X78" t="s">
        <v>1912</v>
      </c>
      <c r="Y78" s="2">
        <v>772</v>
      </c>
      <c r="Z78" s="3">
        <v>1.33</v>
      </c>
      <c r="AA78" s="4">
        <v>1027</v>
      </c>
      <c r="AK78" s="5">
        <v>10.539199999999999</v>
      </c>
      <c r="AM78" s="1">
        <v>2011</v>
      </c>
      <c r="AN78" s="1">
        <v>3</v>
      </c>
      <c r="AO78" t="s">
        <v>81</v>
      </c>
      <c r="AP78" t="s">
        <v>82</v>
      </c>
      <c r="AQ78" t="s">
        <v>83</v>
      </c>
      <c r="AR78" s="3">
        <v>1.3</v>
      </c>
      <c r="AS78" s="4">
        <v>1310</v>
      </c>
      <c r="AT78" s="1">
        <v>1005</v>
      </c>
      <c r="AX78" s="3">
        <v>1144949.8700000001</v>
      </c>
      <c r="BB78" t="s">
        <v>84</v>
      </c>
      <c r="BD78" s="3">
        <v>1.36</v>
      </c>
      <c r="BE78" s="4">
        <v>853</v>
      </c>
      <c r="BF78" s="1">
        <v>629</v>
      </c>
      <c r="BG78" s="1">
        <v>252</v>
      </c>
      <c r="BH78" s="1">
        <v>156</v>
      </c>
      <c r="BK78" t="s">
        <v>1913</v>
      </c>
    </row>
    <row r="79" spans="1:67" x14ac:dyDescent="0.25">
      <c r="A79" t="s">
        <v>358</v>
      </c>
      <c r="B79" t="s">
        <v>359</v>
      </c>
      <c r="C79" s="4">
        <f>(AA79*(H79*0.9))*12</f>
        <v>2307052.8000000003</v>
      </c>
      <c r="D79" s="4">
        <f>IF(C79=0,"",(H79*150*12)+C79)</f>
        <v>2681452.8000000003</v>
      </c>
      <c r="E79" s="4">
        <f>IFERROR(D79*0.5,"")</f>
        <v>1340726.4000000001</v>
      </c>
      <c r="F79" s="4">
        <f>IFERROR(E79/0.06,"")</f>
        <v>22345440.000000004</v>
      </c>
      <c r="G79" s="4">
        <f>IFERROR(F79/H79,"")</f>
        <v>107430.00000000001</v>
      </c>
      <c r="H79" s="1">
        <v>208</v>
      </c>
      <c r="I79" s="1">
        <v>1985</v>
      </c>
      <c r="J79" t="s">
        <v>64</v>
      </c>
      <c r="K79" t="s">
        <v>360</v>
      </c>
      <c r="L79" t="s">
        <v>135</v>
      </c>
      <c r="M79" t="s">
        <v>361</v>
      </c>
      <c r="N79" t="s">
        <v>362</v>
      </c>
      <c r="O79" t="s">
        <v>135</v>
      </c>
      <c r="P79" s="1">
        <v>3</v>
      </c>
      <c r="Q79" t="s">
        <v>91</v>
      </c>
      <c r="R79" t="s">
        <v>70</v>
      </c>
      <c r="S79" t="s">
        <v>71</v>
      </c>
      <c r="U79" t="s">
        <v>72</v>
      </c>
      <c r="V79" t="s">
        <v>73</v>
      </c>
      <c r="W79" t="s">
        <v>74</v>
      </c>
      <c r="X79" t="s">
        <v>363</v>
      </c>
      <c r="Y79" s="2">
        <v>810</v>
      </c>
      <c r="Z79" s="3">
        <v>1.27</v>
      </c>
      <c r="AA79" s="4">
        <v>1027</v>
      </c>
      <c r="AK79" s="5">
        <v>19.230799999999999</v>
      </c>
      <c r="AM79" s="1">
        <v>2005</v>
      </c>
      <c r="AN79" s="1">
        <v>3</v>
      </c>
      <c r="AO79" t="s">
        <v>81</v>
      </c>
      <c r="AP79" t="s">
        <v>82</v>
      </c>
      <c r="AQ79" t="s">
        <v>83</v>
      </c>
      <c r="AR79" s="3">
        <v>1.2</v>
      </c>
      <c r="AS79" s="4">
        <v>1014</v>
      </c>
      <c r="AT79" s="1">
        <v>843</v>
      </c>
      <c r="AU79" s="3">
        <v>1.37</v>
      </c>
      <c r="AV79" s="4">
        <v>1563</v>
      </c>
      <c r="AW79" s="1">
        <v>1140</v>
      </c>
      <c r="AX79" s="3">
        <v>478855.19</v>
      </c>
      <c r="BB79" t="s">
        <v>84</v>
      </c>
      <c r="BD79" s="3">
        <v>1.35</v>
      </c>
      <c r="BE79" s="4">
        <v>748</v>
      </c>
      <c r="BF79" s="1">
        <v>553</v>
      </c>
      <c r="BG79" s="1">
        <v>56</v>
      </c>
      <c r="BH79" s="1">
        <v>120</v>
      </c>
      <c r="BI79" s="1">
        <v>32</v>
      </c>
      <c r="BK79" t="s">
        <v>364</v>
      </c>
      <c r="BL79" t="s">
        <v>365</v>
      </c>
    </row>
    <row r="80" spans="1:67" x14ac:dyDescent="0.25">
      <c r="A80" t="s">
        <v>689</v>
      </c>
      <c r="B80" t="s">
        <v>690</v>
      </c>
      <c r="C80" s="4">
        <f>(AA80*(H80*0.9))*12</f>
        <v>832680</v>
      </c>
      <c r="D80" s="4">
        <f>IF(C80=0,"",(H80*150*12)+C80)</f>
        <v>967680</v>
      </c>
      <c r="E80" s="4">
        <f>IFERROR(D80*0.5,"")</f>
        <v>483840</v>
      </c>
      <c r="F80" s="4">
        <f>IFERROR(E80/0.06,"")</f>
        <v>8064000</v>
      </c>
      <c r="G80" s="4">
        <f>IFERROR(F80/H80,"")</f>
        <v>107520</v>
      </c>
      <c r="H80" s="1">
        <v>75</v>
      </c>
      <c r="I80" s="1">
        <v>1986</v>
      </c>
      <c r="J80" t="s">
        <v>64</v>
      </c>
      <c r="K80" t="s">
        <v>691</v>
      </c>
      <c r="L80" t="s">
        <v>692</v>
      </c>
      <c r="M80" t="s">
        <v>690</v>
      </c>
      <c r="N80" t="s">
        <v>693</v>
      </c>
      <c r="O80" t="s">
        <v>692</v>
      </c>
      <c r="P80" s="1">
        <v>2</v>
      </c>
      <c r="Q80" t="s">
        <v>69</v>
      </c>
      <c r="R80" t="s">
        <v>70</v>
      </c>
      <c r="S80" t="s">
        <v>71</v>
      </c>
      <c r="U80" t="s">
        <v>72</v>
      </c>
      <c r="V80" t="s">
        <v>551</v>
      </c>
      <c r="W80" t="s">
        <v>74</v>
      </c>
      <c r="X80" t="s">
        <v>694</v>
      </c>
      <c r="Y80" s="2">
        <v>633</v>
      </c>
      <c r="Z80" s="3">
        <v>1.62</v>
      </c>
      <c r="AA80" s="4">
        <v>1028</v>
      </c>
      <c r="AK80" s="5">
        <v>1.3332999999999999</v>
      </c>
      <c r="AM80" s="1">
        <v>1991</v>
      </c>
      <c r="AN80" s="1">
        <v>3</v>
      </c>
      <c r="AO80" t="s">
        <v>81</v>
      </c>
      <c r="AP80" t="s">
        <v>82</v>
      </c>
      <c r="AQ80" t="s">
        <v>83</v>
      </c>
      <c r="AR80" s="3">
        <v>1.37</v>
      </c>
      <c r="AS80" s="4">
        <v>1139</v>
      </c>
      <c r="AT80" s="1">
        <v>829</v>
      </c>
      <c r="AX80" s="3">
        <v>63616.03</v>
      </c>
      <c r="AY80" s="3">
        <v>3.07</v>
      </c>
      <c r="AZ80" s="4">
        <v>782</v>
      </c>
      <c r="BA80" s="6">
        <v>255</v>
      </c>
      <c r="BB80" t="s">
        <v>84</v>
      </c>
      <c r="BD80" s="3">
        <v>1.69</v>
      </c>
      <c r="BE80" s="4">
        <v>1025</v>
      </c>
      <c r="BF80" s="1">
        <v>606</v>
      </c>
      <c r="BG80" s="1">
        <v>35</v>
      </c>
      <c r="BH80" s="1">
        <v>28</v>
      </c>
    </row>
    <row r="81" spans="1:64" x14ac:dyDescent="0.25">
      <c r="A81" t="s">
        <v>484</v>
      </c>
      <c r="B81" t="s">
        <v>485</v>
      </c>
      <c r="C81" s="4">
        <f>(AA81*(H81*0.9))*12</f>
        <v>5962464.0000000009</v>
      </c>
      <c r="D81" s="4">
        <f>IF(C81=0,"",(H81*150*12)+C81)</f>
        <v>6927264.0000000009</v>
      </c>
      <c r="E81" s="4">
        <f>IFERROR(D81*0.5,"")</f>
        <v>3463632.0000000005</v>
      </c>
      <c r="F81" s="4">
        <f>IFERROR(E81/0.06,"")</f>
        <v>57727200.000000007</v>
      </c>
      <c r="G81" s="4">
        <f>IFERROR(F81/H81,"")</f>
        <v>107700.00000000001</v>
      </c>
      <c r="H81" s="1">
        <v>536</v>
      </c>
      <c r="I81" s="1">
        <v>1985</v>
      </c>
      <c r="J81" t="s">
        <v>64</v>
      </c>
      <c r="K81" t="s">
        <v>486</v>
      </c>
      <c r="L81" t="s">
        <v>487</v>
      </c>
      <c r="M81" t="s">
        <v>488</v>
      </c>
      <c r="N81" t="s">
        <v>487</v>
      </c>
      <c r="P81" s="1">
        <v>3</v>
      </c>
      <c r="Q81" t="s">
        <v>91</v>
      </c>
      <c r="R81" t="s">
        <v>70</v>
      </c>
      <c r="S81" t="s">
        <v>71</v>
      </c>
      <c r="U81" t="s">
        <v>72</v>
      </c>
      <c r="V81" t="s">
        <v>73</v>
      </c>
      <c r="W81" t="s">
        <v>74</v>
      </c>
      <c r="X81" t="s">
        <v>489</v>
      </c>
      <c r="Y81" s="2">
        <v>715</v>
      </c>
      <c r="Z81" s="3">
        <v>1.44</v>
      </c>
      <c r="AA81" s="4">
        <v>1030</v>
      </c>
      <c r="AK81" s="5">
        <v>14.3657</v>
      </c>
      <c r="AM81" s="1">
        <v>2012</v>
      </c>
      <c r="AN81" s="1">
        <v>2</v>
      </c>
      <c r="AO81" t="s">
        <v>81</v>
      </c>
      <c r="AP81" t="s">
        <v>82</v>
      </c>
      <c r="AQ81" t="s">
        <v>83</v>
      </c>
      <c r="AR81" s="3">
        <v>1.34</v>
      </c>
      <c r="AS81" s="4">
        <v>1194</v>
      </c>
      <c r="AT81" s="1">
        <v>893</v>
      </c>
      <c r="AX81" s="3">
        <v>0</v>
      </c>
      <c r="BB81" t="s">
        <v>84</v>
      </c>
      <c r="BD81" s="3">
        <v>1.5</v>
      </c>
      <c r="BE81" s="4">
        <v>960</v>
      </c>
      <c r="BF81" s="1">
        <v>640</v>
      </c>
      <c r="BG81" s="1">
        <v>376</v>
      </c>
      <c r="BH81" s="1">
        <v>160</v>
      </c>
      <c r="BK81" t="s">
        <v>490</v>
      </c>
      <c r="BL81" t="s">
        <v>104</v>
      </c>
    </row>
    <row r="82" spans="1:64" x14ac:dyDescent="0.25">
      <c r="A82" t="s">
        <v>2305</v>
      </c>
      <c r="B82" t="s">
        <v>2306</v>
      </c>
      <c r="C82" s="4">
        <f>(AA82*(H82*0.9))*12</f>
        <v>560520</v>
      </c>
      <c r="D82" s="4">
        <f>IF(C82=0,"",(H82*150*12)+C82)</f>
        <v>650520</v>
      </c>
      <c r="E82" s="4">
        <f>IFERROR(D82*0.5,"")</f>
        <v>325260</v>
      </c>
      <c r="F82" s="4">
        <f>IFERROR(E82/0.06,"")</f>
        <v>5421000</v>
      </c>
      <c r="G82" s="4">
        <f>IFERROR(F82/H82,"")</f>
        <v>108420</v>
      </c>
      <c r="H82" s="1">
        <v>50</v>
      </c>
      <c r="I82" s="1">
        <v>1999</v>
      </c>
      <c r="J82" t="s">
        <v>64</v>
      </c>
      <c r="K82" t="s">
        <v>308</v>
      </c>
      <c r="L82" t="s">
        <v>2307</v>
      </c>
      <c r="M82" t="s">
        <v>2306</v>
      </c>
      <c r="N82" t="s">
        <v>2308</v>
      </c>
      <c r="O82" t="s">
        <v>2307</v>
      </c>
      <c r="P82" s="1">
        <v>3</v>
      </c>
      <c r="Q82" t="s">
        <v>69</v>
      </c>
      <c r="R82" t="s">
        <v>70</v>
      </c>
      <c r="S82" t="s">
        <v>71</v>
      </c>
      <c r="T82" t="s">
        <v>426</v>
      </c>
      <c r="U82" t="s">
        <v>72</v>
      </c>
      <c r="V82" t="s">
        <v>312</v>
      </c>
      <c r="W82" t="s">
        <v>74</v>
      </c>
      <c r="X82" t="s">
        <v>313</v>
      </c>
      <c r="Y82" s="2">
        <v>693</v>
      </c>
      <c r="Z82" s="3">
        <v>1.5</v>
      </c>
      <c r="AA82" s="4">
        <v>1038</v>
      </c>
      <c r="AK82" s="5">
        <v>4</v>
      </c>
      <c r="AN82" s="1">
        <v>1</v>
      </c>
      <c r="AO82" t="s">
        <v>81</v>
      </c>
      <c r="AP82" t="s">
        <v>82</v>
      </c>
      <c r="AQ82" t="s">
        <v>83</v>
      </c>
      <c r="AR82" s="3">
        <v>1.42</v>
      </c>
      <c r="AS82" s="4">
        <v>1216</v>
      </c>
      <c r="AT82" s="1">
        <v>855</v>
      </c>
      <c r="AX82" s="3">
        <v>73493.83</v>
      </c>
      <c r="BB82" t="s">
        <v>84</v>
      </c>
      <c r="BD82" s="3">
        <v>1.53</v>
      </c>
      <c r="BE82" s="4">
        <v>981</v>
      </c>
      <c r="BF82" s="1">
        <v>643</v>
      </c>
      <c r="BG82" s="1">
        <v>38</v>
      </c>
      <c r="BH82" s="1">
        <v>12</v>
      </c>
      <c r="BL82" t="s">
        <v>131</v>
      </c>
    </row>
    <row r="83" spans="1:64" x14ac:dyDescent="0.25">
      <c r="A83" t="s">
        <v>3592</v>
      </c>
      <c r="B83" t="s">
        <v>3593</v>
      </c>
      <c r="C83" s="4">
        <f>(AA83*(H83*0.9))*12</f>
        <v>2549664</v>
      </c>
      <c r="D83" s="4">
        <f>IF(C83=0,"",(H83*150*12)+C83)</f>
        <v>2958264</v>
      </c>
      <c r="E83" s="4">
        <f>IFERROR(D83*0.5,"")</f>
        <v>1479132</v>
      </c>
      <c r="F83" s="4">
        <f>IFERROR(E83/0.06,"")</f>
        <v>24652200</v>
      </c>
      <c r="G83" s="4">
        <f>IFERROR(F83/H83,"")</f>
        <v>108600</v>
      </c>
      <c r="H83" s="1">
        <v>227</v>
      </c>
      <c r="I83" s="1">
        <v>1998</v>
      </c>
      <c r="J83" t="s">
        <v>64</v>
      </c>
      <c r="K83" t="s">
        <v>501</v>
      </c>
      <c r="L83" t="s">
        <v>3524</v>
      </c>
      <c r="M83" t="s">
        <v>3524</v>
      </c>
      <c r="N83" t="s">
        <v>3594</v>
      </c>
      <c r="O83" t="s">
        <v>3524</v>
      </c>
      <c r="P83" s="1">
        <v>3</v>
      </c>
      <c r="Q83" t="s">
        <v>69</v>
      </c>
      <c r="R83" t="s">
        <v>70</v>
      </c>
      <c r="S83" t="s">
        <v>127</v>
      </c>
      <c r="U83" t="s">
        <v>72</v>
      </c>
      <c r="V83" t="s">
        <v>152</v>
      </c>
      <c r="W83" t="s">
        <v>74</v>
      </c>
      <c r="X83" t="s">
        <v>504</v>
      </c>
      <c r="AA83" s="4">
        <v>1040</v>
      </c>
      <c r="AK83" s="5">
        <v>9.6915999999999993</v>
      </c>
      <c r="AN83" s="1">
        <v>1</v>
      </c>
      <c r="AO83" t="s">
        <v>81</v>
      </c>
      <c r="AP83" t="s">
        <v>82</v>
      </c>
      <c r="AQ83" t="s">
        <v>83</v>
      </c>
      <c r="BB83" t="s">
        <v>84</v>
      </c>
    </row>
    <row r="84" spans="1:64" x14ac:dyDescent="0.25">
      <c r="A84" t="s">
        <v>329</v>
      </c>
      <c r="B84" t="s">
        <v>330</v>
      </c>
      <c r="C84" s="4">
        <f>(AA84*(H84*0.9))*12</f>
        <v>2091160.7999999998</v>
      </c>
      <c r="D84" s="4">
        <f>IF(C84=0,"",(H84*150*12)+C84)</f>
        <v>2425960.7999999998</v>
      </c>
      <c r="E84" s="4">
        <f>IFERROR(D84*0.5,"")</f>
        <v>1212980.3999999999</v>
      </c>
      <c r="F84" s="4">
        <f>IFERROR(E84/0.06,"")</f>
        <v>20216340</v>
      </c>
      <c r="G84" s="4">
        <f>IFERROR(F84/H84,"")</f>
        <v>108690</v>
      </c>
      <c r="H84" s="1">
        <v>186</v>
      </c>
      <c r="I84" s="1">
        <v>1985</v>
      </c>
      <c r="J84" t="s">
        <v>64</v>
      </c>
      <c r="K84" t="s">
        <v>293</v>
      </c>
      <c r="L84" t="s">
        <v>331</v>
      </c>
      <c r="M84" t="s">
        <v>332</v>
      </c>
      <c r="N84" t="s">
        <v>333</v>
      </c>
      <c r="O84" t="s">
        <v>331</v>
      </c>
      <c r="P84" s="1">
        <v>3</v>
      </c>
      <c r="Q84" t="s">
        <v>91</v>
      </c>
      <c r="R84" t="s">
        <v>70</v>
      </c>
      <c r="S84" t="s">
        <v>71</v>
      </c>
      <c r="U84" t="s">
        <v>72</v>
      </c>
      <c r="V84" t="s">
        <v>73</v>
      </c>
      <c r="W84" t="s">
        <v>74</v>
      </c>
      <c r="X84" t="s">
        <v>334</v>
      </c>
      <c r="Y84" s="2">
        <v>888</v>
      </c>
      <c r="Z84" s="3">
        <v>1.17</v>
      </c>
      <c r="AA84" s="4">
        <v>1041</v>
      </c>
      <c r="AK84" s="5">
        <v>10.752700000000001</v>
      </c>
      <c r="AN84" s="1">
        <v>3</v>
      </c>
      <c r="AO84" t="s">
        <v>81</v>
      </c>
      <c r="AP84" t="s">
        <v>82</v>
      </c>
      <c r="AQ84" t="s">
        <v>83</v>
      </c>
      <c r="AR84" s="3">
        <v>1.17</v>
      </c>
      <c r="AS84" s="4">
        <v>1128</v>
      </c>
      <c r="AT84" s="1">
        <v>966</v>
      </c>
      <c r="AX84" s="3">
        <v>340395.07</v>
      </c>
      <c r="BB84" t="s">
        <v>84</v>
      </c>
      <c r="BD84" s="3">
        <v>1.18</v>
      </c>
      <c r="BE84" s="4">
        <v>977</v>
      </c>
      <c r="BF84" s="1">
        <v>831</v>
      </c>
      <c r="BG84" s="1">
        <v>107</v>
      </c>
      <c r="BH84" s="1">
        <v>79</v>
      </c>
      <c r="BK84" t="s">
        <v>335</v>
      </c>
    </row>
    <row r="85" spans="1:64" x14ac:dyDescent="0.25">
      <c r="A85" t="s">
        <v>609</v>
      </c>
      <c r="B85" t="s">
        <v>610</v>
      </c>
      <c r="C85" s="4">
        <f>(AA85*(H85*0.9))*12</f>
        <v>1461564</v>
      </c>
      <c r="D85" s="4">
        <f>IF(C85=0,"",(H85*150*12)+C85)</f>
        <v>1695564</v>
      </c>
      <c r="E85" s="4">
        <f>IFERROR(D85*0.5,"")</f>
        <v>847782</v>
      </c>
      <c r="F85" s="4">
        <f>IFERROR(E85/0.06,"")</f>
        <v>14129700</v>
      </c>
      <c r="G85" s="4">
        <f>IFERROR(F85/H85,"")</f>
        <v>108690</v>
      </c>
      <c r="H85" s="1">
        <v>130</v>
      </c>
      <c r="I85" s="1">
        <v>1986</v>
      </c>
      <c r="J85" t="s">
        <v>64</v>
      </c>
      <c r="K85" t="s">
        <v>611</v>
      </c>
      <c r="L85" t="s">
        <v>612</v>
      </c>
      <c r="M85" t="s">
        <v>613</v>
      </c>
      <c r="N85" t="s">
        <v>614</v>
      </c>
      <c r="O85" t="s">
        <v>612</v>
      </c>
      <c r="P85" s="1">
        <v>3</v>
      </c>
      <c r="Q85" t="s">
        <v>91</v>
      </c>
      <c r="R85" t="s">
        <v>70</v>
      </c>
      <c r="S85" t="s">
        <v>71</v>
      </c>
      <c r="U85" t="s">
        <v>72</v>
      </c>
      <c r="V85" t="s">
        <v>611</v>
      </c>
      <c r="W85" t="s">
        <v>74</v>
      </c>
      <c r="X85" t="s">
        <v>615</v>
      </c>
      <c r="Y85" s="2">
        <v>878</v>
      </c>
      <c r="Z85" s="3">
        <v>1.18</v>
      </c>
      <c r="AA85" s="4">
        <v>1041</v>
      </c>
      <c r="AK85" s="5">
        <v>4.6154000000000002</v>
      </c>
      <c r="AM85" s="1">
        <v>2007</v>
      </c>
      <c r="AN85" s="1">
        <v>2</v>
      </c>
      <c r="AO85" t="s">
        <v>81</v>
      </c>
      <c r="AP85" t="s">
        <v>82</v>
      </c>
      <c r="AQ85" t="s">
        <v>83</v>
      </c>
      <c r="AR85" s="3">
        <v>1.1399999999999999</v>
      </c>
      <c r="AS85" s="4">
        <v>1066</v>
      </c>
      <c r="AT85" s="1">
        <v>931</v>
      </c>
      <c r="AU85" s="3">
        <v>1.1399999999999999</v>
      </c>
      <c r="AV85" s="4">
        <v>1255</v>
      </c>
      <c r="AW85" s="1">
        <v>1104</v>
      </c>
      <c r="AX85" s="3">
        <v>405056.74</v>
      </c>
      <c r="BB85" t="s">
        <v>84</v>
      </c>
      <c r="BD85" s="3">
        <v>1.29</v>
      </c>
      <c r="BE85" s="4">
        <v>872</v>
      </c>
      <c r="BF85" s="1">
        <v>674</v>
      </c>
      <c r="BG85" s="1">
        <v>48</v>
      </c>
      <c r="BH85" s="1">
        <v>50</v>
      </c>
      <c r="BI85" s="1">
        <v>32</v>
      </c>
      <c r="BK85" t="s">
        <v>616</v>
      </c>
      <c r="BL85" t="s">
        <v>131</v>
      </c>
    </row>
    <row r="86" spans="1:64" x14ac:dyDescent="0.25">
      <c r="A86" t="s">
        <v>567</v>
      </c>
      <c r="B86" t="s">
        <v>568</v>
      </c>
      <c r="C86" s="4">
        <f>(AA86*(H86*0.9))*12</f>
        <v>2773699.2</v>
      </c>
      <c r="D86" s="4">
        <f>IF(C86=0,"",(H86*150*12)+C86)</f>
        <v>3216499.2</v>
      </c>
      <c r="E86" s="4">
        <f>IFERROR(D86*0.5,"")</f>
        <v>1608249.6</v>
      </c>
      <c r="F86" s="4">
        <f>IFERROR(E86/0.06,"")</f>
        <v>26804160.000000004</v>
      </c>
      <c r="G86" s="4">
        <f>IFERROR(F86/H86,"")</f>
        <v>108960.00000000001</v>
      </c>
      <c r="H86" s="1">
        <v>246</v>
      </c>
      <c r="I86" s="1">
        <v>1986</v>
      </c>
      <c r="J86" t="s">
        <v>64</v>
      </c>
      <c r="K86" t="s">
        <v>465</v>
      </c>
      <c r="L86" t="s">
        <v>569</v>
      </c>
      <c r="M86" t="s">
        <v>570</v>
      </c>
      <c r="N86" t="s">
        <v>571</v>
      </c>
      <c r="O86" t="s">
        <v>569</v>
      </c>
      <c r="P86" s="1">
        <v>3</v>
      </c>
      <c r="Q86" t="s">
        <v>91</v>
      </c>
      <c r="R86" t="s">
        <v>70</v>
      </c>
      <c r="S86" t="s">
        <v>71</v>
      </c>
      <c r="U86" t="s">
        <v>72</v>
      </c>
      <c r="V86" t="s">
        <v>465</v>
      </c>
      <c r="W86" t="s">
        <v>74</v>
      </c>
      <c r="X86" t="s">
        <v>572</v>
      </c>
      <c r="Y86" s="2">
        <v>723</v>
      </c>
      <c r="Z86" s="3">
        <v>1.44</v>
      </c>
      <c r="AA86" s="4">
        <v>1044</v>
      </c>
      <c r="AK86" s="5">
        <v>10.569100000000001</v>
      </c>
      <c r="AN86" s="1">
        <v>2</v>
      </c>
      <c r="AO86" t="s">
        <v>81</v>
      </c>
      <c r="AP86" t="s">
        <v>82</v>
      </c>
      <c r="AQ86" t="s">
        <v>83</v>
      </c>
      <c r="AR86" s="3">
        <v>1.42</v>
      </c>
      <c r="AS86" s="4">
        <v>1105</v>
      </c>
      <c r="AT86" s="1">
        <v>780</v>
      </c>
      <c r="AX86" s="3">
        <v>428788.27</v>
      </c>
      <c r="BB86" t="s">
        <v>84</v>
      </c>
      <c r="BD86" s="3">
        <v>1.49</v>
      </c>
      <c r="BE86" s="4">
        <v>942</v>
      </c>
      <c r="BF86" s="1">
        <v>632</v>
      </c>
      <c r="BG86" s="1">
        <v>93</v>
      </c>
      <c r="BH86" s="1">
        <v>153</v>
      </c>
      <c r="BL86" t="s">
        <v>131</v>
      </c>
    </row>
    <row r="87" spans="1:64" x14ac:dyDescent="0.25">
      <c r="A87" t="s">
        <v>1770</v>
      </c>
      <c r="B87" t="s">
        <v>1771</v>
      </c>
      <c r="C87" s="4">
        <f>(AA87*(H87*0.9))*12</f>
        <v>4300992</v>
      </c>
      <c r="D87" s="4">
        <f>IF(C87=0,"",(H87*150*12)+C87)</f>
        <v>4984992</v>
      </c>
      <c r="E87" s="4">
        <f>IFERROR(D87*0.5,"")</f>
        <v>2492496</v>
      </c>
      <c r="F87" s="4">
        <f>IFERROR(E87/0.06,"")</f>
        <v>41541600</v>
      </c>
      <c r="G87" s="4">
        <f>IFERROR(F87/H87,"")</f>
        <v>109320</v>
      </c>
      <c r="H87" s="1">
        <v>380</v>
      </c>
      <c r="I87" s="1">
        <v>1985</v>
      </c>
      <c r="J87" t="s">
        <v>64</v>
      </c>
      <c r="K87" t="s">
        <v>308</v>
      </c>
      <c r="L87" t="s">
        <v>502</v>
      </c>
      <c r="M87" t="s">
        <v>1772</v>
      </c>
      <c r="N87" t="s">
        <v>1773</v>
      </c>
      <c r="O87" t="s">
        <v>502</v>
      </c>
      <c r="P87" s="1">
        <v>3</v>
      </c>
      <c r="Q87" t="s">
        <v>91</v>
      </c>
      <c r="R87" t="s">
        <v>70</v>
      </c>
      <c r="S87" t="s">
        <v>71</v>
      </c>
      <c r="U87" t="s">
        <v>72</v>
      </c>
      <c r="V87" t="s">
        <v>232</v>
      </c>
      <c r="W87" t="s">
        <v>74</v>
      </c>
      <c r="X87" t="s">
        <v>1774</v>
      </c>
      <c r="Y87" s="2">
        <v>779</v>
      </c>
      <c r="Z87" s="3">
        <v>1.34</v>
      </c>
      <c r="AA87" s="4">
        <v>1048</v>
      </c>
      <c r="AK87" s="5">
        <v>10.526300000000001</v>
      </c>
      <c r="AN87" s="1">
        <v>2</v>
      </c>
      <c r="AO87" t="s">
        <v>81</v>
      </c>
      <c r="AP87" t="s">
        <v>82</v>
      </c>
      <c r="AQ87" t="s">
        <v>83</v>
      </c>
      <c r="AR87" s="3">
        <v>1.36</v>
      </c>
      <c r="AS87" s="4">
        <v>1226</v>
      </c>
      <c r="AT87" s="1">
        <v>900</v>
      </c>
      <c r="AX87" s="3">
        <v>1094020.32</v>
      </c>
      <c r="BB87" t="s">
        <v>84</v>
      </c>
      <c r="BD87" s="3">
        <v>1.33</v>
      </c>
      <c r="BE87" s="4">
        <v>913</v>
      </c>
      <c r="BF87" s="1">
        <v>688</v>
      </c>
      <c r="BG87" s="1">
        <v>216</v>
      </c>
      <c r="BH87" s="1">
        <v>164</v>
      </c>
      <c r="BK87" t="s">
        <v>1775</v>
      </c>
      <c r="BL87" t="s">
        <v>104</v>
      </c>
    </row>
    <row r="88" spans="1:64" x14ac:dyDescent="0.25">
      <c r="A88" t="s">
        <v>2265</v>
      </c>
      <c r="B88" t="s">
        <v>2266</v>
      </c>
      <c r="C88" s="4">
        <f>(AA88*(H88*0.9))*12</f>
        <v>1177113.6000000001</v>
      </c>
      <c r="D88" s="4">
        <f>IF(C88=0,"",(H88*150*12)+C88)</f>
        <v>1364313.6</v>
      </c>
      <c r="E88" s="4">
        <f>IFERROR(D88*0.5,"")</f>
        <v>682156.8</v>
      </c>
      <c r="F88" s="4">
        <f>IFERROR(E88/0.06,"")</f>
        <v>11369280.000000002</v>
      </c>
      <c r="G88" s="4">
        <f>IFERROR(F88/H88,"")</f>
        <v>109320.00000000001</v>
      </c>
      <c r="H88" s="1">
        <v>104</v>
      </c>
      <c r="I88" s="1">
        <v>1992</v>
      </c>
      <c r="J88" t="s">
        <v>64</v>
      </c>
      <c r="K88" t="s">
        <v>177</v>
      </c>
      <c r="L88" t="s">
        <v>2267</v>
      </c>
      <c r="M88" t="s">
        <v>2268</v>
      </c>
      <c r="N88" t="s">
        <v>2269</v>
      </c>
      <c r="O88" t="s">
        <v>2267</v>
      </c>
      <c r="P88" s="1">
        <v>3</v>
      </c>
      <c r="Q88" t="s">
        <v>69</v>
      </c>
      <c r="R88" t="s">
        <v>70</v>
      </c>
      <c r="S88" t="s">
        <v>71</v>
      </c>
      <c r="T88" t="s">
        <v>118</v>
      </c>
      <c r="U88" t="s">
        <v>72</v>
      </c>
      <c r="V88" t="s">
        <v>181</v>
      </c>
      <c r="W88" t="s">
        <v>74</v>
      </c>
      <c r="X88" t="s">
        <v>182</v>
      </c>
      <c r="Y88" s="2">
        <v>545</v>
      </c>
      <c r="Z88" s="3">
        <v>1.92</v>
      </c>
      <c r="AA88" s="4">
        <v>1048</v>
      </c>
      <c r="AK88" s="5">
        <v>0</v>
      </c>
      <c r="AN88" s="1">
        <v>2</v>
      </c>
      <c r="AO88" t="s">
        <v>81</v>
      </c>
      <c r="AP88" t="s">
        <v>82</v>
      </c>
      <c r="AQ88" t="s">
        <v>83</v>
      </c>
      <c r="AX88" s="3">
        <v>46216.44</v>
      </c>
      <c r="BB88" t="s">
        <v>84</v>
      </c>
      <c r="BD88" s="3">
        <v>1.92</v>
      </c>
      <c r="BE88" s="4">
        <v>1048</v>
      </c>
      <c r="BF88" s="1">
        <v>545</v>
      </c>
      <c r="BG88" s="1">
        <v>104</v>
      </c>
      <c r="BK88" t="s">
        <v>2270</v>
      </c>
      <c r="BL88" t="s">
        <v>104</v>
      </c>
    </row>
    <row r="89" spans="1:64" x14ac:dyDescent="0.25">
      <c r="A89" t="s">
        <v>1823</v>
      </c>
      <c r="B89" t="s">
        <v>1824</v>
      </c>
      <c r="C89" s="4">
        <f>(AA89*(H89*0.9))*12</f>
        <v>1268870.3999999999</v>
      </c>
      <c r="D89" s="4">
        <f>IF(C89=0,"",(H89*150*12)+C89)</f>
        <v>1470470.4</v>
      </c>
      <c r="E89" s="4">
        <f>IFERROR(D89*0.5,"")</f>
        <v>735235.2</v>
      </c>
      <c r="F89" s="4">
        <f>IFERROR(E89/0.06,"")</f>
        <v>12253920</v>
      </c>
      <c r="G89" s="4">
        <f>IFERROR(F89/H89,"")</f>
        <v>109410</v>
      </c>
      <c r="H89" s="1">
        <v>112</v>
      </c>
      <c r="I89" s="1">
        <v>1985</v>
      </c>
      <c r="J89" t="s">
        <v>64</v>
      </c>
      <c r="K89" t="s">
        <v>215</v>
      </c>
      <c r="L89" t="s">
        <v>220</v>
      </c>
      <c r="M89" t="s">
        <v>1825</v>
      </c>
      <c r="N89" t="s">
        <v>1826</v>
      </c>
      <c r="O89" t="s">
        <v>220</v>
      </c>
      <c r="P89" s="1">
        <v>3</v>
      </c>
      <c r="Q89" t="s">
        <v>91</v>
      </c>
      <c r="R89" t="s">
        <v>70</v>
      </c>
      <c r="S89" t="s">
        <v>71</v>
      </c>
      <c r="U89" t="s">
        <v>72</v>
      </c>
      <c r="V89" t="s">
        <v>215</v>
      </c>
      <c r="W89" t="s">
        <v>74</v>
      </c>
      <c r="X89" t="s">
        <v>1827</v>
      </c>
      <c r="Y89" s="2">
        <v>714</v>
      </c>
      <c r="Z89" s="3">
        <v>1.47</v>
      </c>
      <c r="AA89" s="4">
        <v>1049</v>
      </c>
      <c r="AK89" s="5">
        <v>33.928600000000003</v>
      </c>
      <c r="AN89" s="1">
        <v>2</v>
      </c>
      <c r="AO89" t="s">
        <v>81</v>
      </c>
      <c r="AP89" t="s">
        <v>82</v>
      </c>
      <c r="AQ89" t="s">
        <v>83</v>
      </c>
      <c r="AR89" s="3">
        <v>1.36</v>
      </c>
      <c r="AS89" s="4">
        <v>1100</v>
      </c>
      <c r="AT89" s="1">
        <v>808</v>
      </c>
      <c r="AX89" s="3">
        <v>117902.53</v>
      </c>
      <c r="BB89" t="s">
        <v>84</v>
      </c>
      <c r="BD89" s="3">
        <v>1.6</v>
      </c>
      <c r="BE89" s="4">
        <v>1000</v>
      </c>
      <c r="BF89" s="1">
        <v>625</v>
      </c>
      <c r="BG89" s="1">
        <v>57</v>
      </c>
      <c r="BH89" s="1">
        <v>55</v>
      </c>
    </row>
    <row r="90" spans="1:64" x14ac:dyDescent="0.25">
      <c r="A90" t="s">
        <v>2592</v>
      </c>
      <c r="B90" t="s">
        <v>2593</v>
      </c>
      <c r="C90" s="4">
        <f>(AA90*(H90*0.9))*12</f>
        <v>1676721.6</v>
      </c>
      <c r="D90" s="4">
        <f>IF(C90=0,"",(H90*150*12)+C90)</f>
        <v>1943121.6</v>
      </c>
      <c r="E90" s="4">
        <f>IFERROR(D90*0.5,"")</f>
        <v>971560.8</v>
      </c>
      <c r="F90" s="4">
        <f>IFERROR(E90/0.06,"")</f>
        <v>16192680.000000002</v>
      </c>
      <c r="G90" s="4">
        <f>IFERROR(F90/H90,"")</f>
        <v>109410.00000000001</v>
      </c>
      <c r="H90" s="1">
        <v>148</v>
      </c>
      <c r="I90" s="1">
        <v>1999</v>
      </c>
      <c r="J90" t="s">
        <v>64</v>
      </c>
      <c r="K90" t="s">
        <v>1168</v>
      </c>
      <c r="L90" t="s">
        <v>2594</v>
      </c>
      <c r="M90" t="s">
        <v>2595</v>
      </c>
      <c r="N90" t="s">
        <v>2593</v>
      </c>
      <c r="O90" t="s">
        <v>2594</v>
      </c>
      <c r="P90" s="1">
        <v>3</v>
      </c>
      <c r="Q90" t="s">
        <v>91</v>
      </c>
      <c r="R90" t="s">
        <v>70</v>
      </c>
      <c r="S90" t="s">
        <v>71</v>
      </c>
      <c r="T90" t="s">
        <v>118</v>
      </c>
      <c r="U90" t="s">
        <v>72</v>
      </c>
      <c r="V90" t="s">
        <v>152</v>
      </c>
      <c r="W90" t="s">
        <v>74</v>
      </c>
      <c r="X90" t="s">
        <v>2596</v>
      </c>
      <c r="Y90" s="2">
        <v>816</v>
      </c>
      <c r="Z90" s="3">
        <v>1.28</v>
      </c>
      <c r="AA90" s="4">
        <v>1049</v>
      </c>
      <c r="AK90" s="5">
        <v>2.0270000000000001</v>
      </c>
      <c r="AN90" s="1">
        <v>1</v>
      </c>
      <c r="AO90" t="s">
        <v>81</v>
      </c>
      <c r="AP90" t="s">
        <v>82</v>
      </c>
      <c r="AQ90" t="s">
        <v>83</v>
      </c>
      <c r="AR90" s="3">
        <v>1.37</v>
      </c>
      <c r="AS90" s="4">
        <v>1337</v>
      </c>
      <c r="AT90" s="1">
        <v>979</v>
      </c>
      <c r="AX90" s="3">
        <v>255851.4</v>
      </c>
      <c r="BB90" t="s">
        <v>84</v>
      </c>
      <c r="BD90" s="3">
        <v>1.23</v>
      </c>
      <c r="BE90" s="4">
        <v>911</v>
      </c>
      <c r="BF90" s="1">
        <v>739</v>
      </c>
      <c r="BG90" s="1">
        <v>100</v>
      </c>
      <c r="BH90" s="1">
        <v>48</v>
      </c>
    </row>
    <row r="91" spans="1:64" x14ac:dyDescent="0.25">
      <c r="A91" t="s">
        <v>1014</v>
      </c>
      <c r="B91" t="s">
        <v>1015</v>
      </c>
      <c r="C91" s="4">
        <f>(AA91*(H91*0.9))*12</f>
        <v>1814400</v>
      </c>
      <c r="D91" s="4">
        <f>IF(C91=0,"",(H91*150*12)+C91)</f>
        <v>2102400</v>
      </c>
      <c r="E91" s="4">
        <f>IFERROR(D91*0.5,"")</f>
        <v>1051200</v>
      </c>
      <c r="F91" s="4">
        <f>IFERROR(E91/0.06,"")</f>
        <v>17520000</v>
      </c>
      <c r="G91" s="4">
        <f>IFERROR(F91/H91,"")</f>
        <v>109500</v>
      </c>
      <c r="H91" s="1">
        <v>160</v>
      </c>
      <c r="I91" s="1">
        <v>1986</v>
      </c>
      <c r="J91" t="s">
        <v>64</v>
      </c>
      <c r="K91" t="s">
        <v>943</v>
      </c>
      <c r="L91" t="s">
        <v>1016</v>
      </c>
      <c r="M91" t="s">
        <v>1017</v>
      </c>
      <c r="N91" t="s">
        <v>1018</v>
      </c>
      <c r="O91" t="s">
        <v>1016</v>
      </c>
      <c r="P91" s="1">
        <v>3</v>
      </c>
      <c r="Q91" t="s">
        <v>91</v>
      </c>
      <c r="R91" t="s">
        <v>70</v>
      </c>
      <c r="S91" t="s">
        <v>71</v>
      </c>
      <c r="U91" t="s">
        <v>72</v>
      </c>
      <c r="V91" t="s">
        <v>945</v>
      </c>
      <c r="W91" t="s">
        <v>74</v>
      </c>
      <c r="X91" t="s">
        <v>1019</v>
      </c>
      <c r="Y91" s="2">
        <v>854</v>
      </c>
      <c r="Z91" s="3">
        <v>1.23</v>
      </c>
      <c r="AA91" s="4">
        <v>1050</v>
      </c>
      <c r="AK91" s="5">
        <v>12.5</v>
      </c>
      <c r="AN91" s="1">
        <v>2</v>
      </c>
      <c r="AO91" t="s">
        <v>81</v>
      </c>
      <c r="AP91" t="s">
        <v>82</v>
      </c>
      <c r="AQ91" t="s">
        <v>83</v>
      </c>
      <c r="AR91" s="3">
        <v>1.1299999999999999</v>
      </c>
      <c r="AS91" s="4">
        <v>1165</v>
      </c>
      <c r="AT91" s="1">
        <v>1030</v>
      </c>
      <c r="AX91" s="3">
        <v>297045.56</v>
      </c>
      <c r="BB91" t="s">
        <v>84</v>
      </c>
      <c r="BD91" s="3">
        <v>1.42</v>
      </c>
      <c r="BE91" s="4">
        <v>910</v>
      </c>
      <c r="BF91" s="1">
        <v>641</v>
      </c>
      <c r="BG91" s="1">
        <v>72</v>
      </c>
      <c r="BH91" s="1">
        <v>88</v>
      </c>
      <c r="BL91" t="s">
        <v>131</v>
      </c>
    </row>
    <row r="92" spans="1:64" x14ac:dyDescent="0.25">
      <c r="A92" t="s">
        <v>2001</v>
      </c>
      <c r="B92" t="s">
        <v>2002</v>
      </c>
      <c r="C92" s="4">
        <f>(AA92*(H92*0.9))*12</f>
        <v>3507397.2</v>
      </c>
      <c r="D92" s="4">
        <f>IF(C92=0,"",(H92*150*12)+C92)</f>
        <v>4063597.2</v>
      </c>
      <c r="E92" s="4">
        <f>IFERROR(D92*0.5,"")</f>
        <v>2031798.6</v>
      </c>
      <c r="F92" s="4">
        <f>IFERROR(E92/0.06,"")</f>
        <v>33863310</v>
      </c>
      <c r="G92" s="4">
        <f>IFERROR(F92/H92,"")</f>
        <v>109590</v>
      </c>
      <c r="H92" s="1">
        <v>309</v>
      </c>
      <c r="I92" s="1">
        <v>1985</v>
      </c>
      <c r="J92" t="s">
        <v>64</v>
      </c>
      <c r="K92" t="s">
        <v>156</v>
      </c>
      <c r="L92" t="s">
        <v>2003</v>
      </c>
      <c r="M92" t="s">
        <v>2004</v>
      </c>
      <c r="N92" t="s">
        <v>2005</v>
      </c>
      <c r="O92" t="s">
        <v>2003</v>
      </c>
      <c r="P92" s="1">
        <v>3</v>
      </c>
      <c r="Q92" t="s">
        <v>91</v>
      </c>
      <c r="R92" t="s">
        <v>70</v>
      </c>
      <c r="S92" t="s">
        <v>71</v>
      </c>
      <c r="U92" t="s">
        <v>72</v>
      </c>
      <c r="V92" t="s">
        <v>73</v>
      </c>
      <c r="W92" t="s">
        <v>74</v>
      </c>
      <c r="X92" t="s">
        <v>461</v>
      </c>
      <c r="Y92" s="2">
        <v>710</v>
      </c>
      <c r="Z92" s="3">
        <v>1.48</v>
      </c>
      <c r="AA92" s="4">
        <v>1051</v>
      </c>
      <c r="AK92" s="5">
        <v>22.330100000000002</v>
      </c>
      <c r="AM92" s="1">
        <v>1999</v>
      </c>
      <c r="AN92" s="1">
        <v>3</v>
      </c>
      <c r="AO92" t="s">
        <v>81</v>
      </c>
      <c r="AP92" t="s">
        <v>82</v>
      </c>
      <c r="AQ92" t="s">
        <v>83</v>
      </c>
      <c r="AR92" s="3">
        <v>1.44</v>
      </c>
      <c r="AS92" s="4">
        <v>1315</v>
      </c>
      <c r="AT92" s="1">
        <v>911</v>
      </c>
      <c r="AX92" s="3">
        <v>726384.76</v>
      </c>
      <c r="BB92" t="s">
        <v>84</v>
      </c>
      <c r="BD92" s="3">
        <v>1.5</v>
      </c>
      <c r="BE92" s="4">
        <v>932</v>
      </c>
      <c r="BF92" s="1">
        <v>620</v>
      </c>
      <c r="BG92" s="1">
        <v>213</v>
      </c>
      <c r="BH92" s="1">
        <v>96</v>
      </c>
      <c r="BL92" t="s">
        <v>131</v>
      </c>
    </row>
    <row r="93" spans="1:64" x14ac:dyDescent="0.25">
      <c r="A93" t="s">
        <v>732</v>
      </c>
      <c r="B93" t="s">
        <v>733</v>
      </c>
      <c r="C93" s="4">
        <f>(AA93*(H93*0.9))*12</f>
        <v>2045088</v>
      </c>
      <c r="D93" s="4">
        <f>IF(C93=0,"",(H93*150*12)+C93)</f>
        <v>2369088</v>
      </c>
      <c r="E93" s="4">
        <f>IFERROR(D93*0.5,"")</f>
        <v>1184544</v>
      </c>
      <c r="F93" s="4">
        <f>IFERROR(E93/0.06,"")</f>
        <v>19742400</v>
      </c>
      <c r="G93" s="4">
        <f>IFERROR(F93/H93,"")</f>
        <v>109680</v>
      </c>
      <c r="H93" s="1">
        <v>180</v>
      </c>
      <c r="I93" s="1">
        <v>1990</v>
      </c>
      <c r="J93" t="s">
        <v>64</v>
      </c>
      <c r="K93" t="s">
        <v>734</v>
      </c>
      <c r="L93" t="s">
        <v>735</v>
      </c>
      <c r="M93" t="s">
        <v>736</v>
      </c>
      <c r="N93" t="s">
        <v>737</v>
      </c>
      <c r="O93" t="s">
        <v>735</v>
      </c>
      <c r="P93" s="1">
        <v>2</v>
      </c>
      <c r="Q93" t="s">
        <v>69</v>
      </c>
      <c r="R93" t="s">
        <v>70</v>
      </c>
      <c r="S93" t="s">
        <v>71</v>
      </c>
      <c r="U93" t="s">
        <v>72</v>
      </c>
      <c r="V93" t="s">
        <v>73</v>
      </c>
      <c r="W93" t="s">
        <v>74</v>
      </c>
      <c r="X93" t="s">
        <v>738</v>
      </c>
      <c r="Y93" s="2">
        <v>692</v>
      </c>
      <c r="Z93" s="3">
        <v>1.52</v>
      </c>
      <c r="AA93" s="4">
        <v>1052</v>
      </c>
      <c r="AK93" s="5">
        <v>8.8888999999999996</v>
      </c>
      <c r="AN93" s="1">
        <v>3</v>
      </c>
      <c r="AO93" t="s">
        <v>81</v>
      </c>
      <c r="AP93" t="s">
        <v>82</v>
      </c>
      <c r="AQ93" t="s">
        <v>83</v>
      </c>
      <c r="AR93" s="3">
        <v>1.4</v>
      </c>
      <c r="AS93" s="4">
        <v>1282</v>
      </c>
      <c r="AT93" s="1">
        <v>916</v>
      </c>
      <c r="AX93" s="3">
        <v>243753.38</v>
      </c>
      <c r="AY93" s="3">
        <v>1.82</v>
      </c>
      <c r="AZ93" s="4">
        <v>910</v>
      </c>
      <c r="BA93" s="6">
        <v>500</v>
      </c>
      <c r="BB93" t="s">
        <v>84</v>
      </c>
      <c r="BD93" s="3">
        <v>1.54</v>
      </c>
      <c r="BE93" s="4">
        <v>1019</v>
      </c>
      <c r="BF93" s="1">
        <v>662</v>
      </c>
      <c r="BG93" s="1">
        <v>153</v>
      </c>
      <c r="BH93" s="1">
        <v>24</v>
      </c>
    </row>
    <row r="94" spans="1:64" x14ac:dyDescent="0.25">
      <c r="A94" t="s">
        <v>732</v>
      </c>
      <c r="B94" t="s">
        <v>733</v>
      </c>
      <c r="C94" s="4">
        <f>(AA94*(H94*0.9))*12</f>
        <v>2045088</v>
      </c>
      <c r="D94" s="4">
        <f>IF(C94=0,"",(H94*150*12)+C94)</f>
        <v>2369088</v>
      </c>
      <c r="E94" s="4">
        <f>IFERROR(D94*0.5,"")</f>
        <v>1184544</v>
      </c>
      <c r="F94" s="4">
        <f>IFERROR(E94/0.06,"")</f>
        <v>19742400</v>
      </c>
      <c r="G94" s="4">
        <f>IFERROR(F94/H94,"")</f>
        <v>109680</v>
      </c>
      <c r="H94" s="1">
        <v>180</v>
      </c>
      <c r="I94" s="1">
        <v>1990</v>
      </c>
      <c r="J94" t="s">
        <v>64</v>
      </c>
      <c r="K94" t="s">
        <v>734</v>
      </c>
      <c r="L94" t="s">
        <v>735</v>
      </c>
      <c r="M94" t="s">
        <v>736</v>
      </c>
      <c r="N94" t="s">
        <v>737</v>
      </c>
      <c r="O94" t="s">
        <v>735</v>
      </c>
      <c r="P94" s="1">
        <v>2</v>
      </c>
      <c r="Q94" t="s">
        <v>69</v>
      </c>
      <c r="R94" t="s">
        <v>70</v>
      </c>
      <c r="S94" t="s">
        <v>71</v>
      </c>
      <c r="U94" t="s">
        <v>72</v>
      </c>
      <c r="V94" t="s">
        <v>73</v>
      </c>
      <c r="W94" t="s">
        <v>74</v>
      </c>
      <c r="X94" t="s">
        <v>738</v>
      </c>
      <c r="Y94" s="2">
        <v>692</v>
      </c>
      <c r="Z94" s="3">
        <v>1.52</v>
      </c>
      <c r="AA94" s="4">
        <v>1052</v>
      </c>
      <c r="AK94" s="5">
        <v>8.8888999999999996</v>
      </c>
      <c r="AN94" s="1">
        <v>3</v>
      </c>
      <c r="AO94" t="s">
        <v>81</v>
      </c>
      <c r="AP94" t="s">
        <v>82</v>
      </c>
      <c r="AQ94" t="s">
        <v>83</v>
      </c>
      <c r="AR94" s="3">
        <v>1.4</v>
      </c>
      <c r="AS94" s="4">
        <v>1282</v>
      </c>
      <c r="AT94" s="1">
        <v>916</v>
      </c>
      <c r="AX94" s="3">
        <v>243753.38</v>
      </c>
      <c r="AY94" s="3">
        <v>1.82</v>
      </c>
      <c r="AZ94" s="4">
        <v>910</v>
      </c>
      <c r="BA94" s="6">
        <v>500</v>
      </c>
      <c r="BB94" t="s">
        <v>84</v>
      </c>
      <c r="BD94" s="3">
        <v>1.54</v>
      </c>
      <c r="BE94" s="4">
        <v>1019</v>
      </c>
      <c r="BF94" s="1">
        <v>662</v>
      </c>
      <c r="BG94" s="1">
        <v>153</v>
      </c>
      <c r="BH94" s="1">
        <v>24</v>
      </c>
    </row>
    <row r="95" spans="1:64" x14ac:dyDescent="0.25">
      <c r="A95" t="s">
        <v>538</v>
      </c>
      <c r="B95" t="s">
        <v>539</v>
      </c>
      <c r="C95" s="4">
        <f>(AA95*(H95*0.9))*12</f>
        <v>4238568</v>
      </c>
      <c r="D95" s="4">
        <f>IF(C95=0,"",(H95*150*12)+C95)</f>
        <v>4908168</v>
      </c>
      <c r="E95" s="4">
        <f>IFERROR(D95*0.5,"")</f>
        <v>2454084</v>
      </c>
      <c r="F95" s="4">
        <f>IFERROR(E95/0.06,"")</f>
        <v>40901400</v>
      </c>
      <c r="G95" s="4">
        <f>IFERROR(F95/H95,"")</f>
        <v>109950</v>
      </c>
      <c r="H95" s="1">
        <v>372</v>
      </c>
      <c r="I95" s="1">
        <v>1986</v>
      </c>
      <c r="J95" t="s">
        <v>64</v>
      </c>
      <c r="K95" t="s">
        <v>123</v>
      </c>
      <c r="L95" t="s">
        <v>540</v>
      </c>
      <c r="M95" t="s">
        <v>541</v>
      </c>
      <c r="N95" t="s">
        <v>542</v>
      </c>
      <c r="O95" t="s">
        <v>540</v>
      </c>
      <c r="P95" s="1">
        <v>3</v>
      </c>
      <c r="Q95" t="s">
        <v>91</v>
      </c>
      <c r="R95" t="s">
        <v>70</v>
      </c>
      <c r="S95" t="s">
        <v>71</v>
      </c>
      <c r="T95" t="s">
        <v>128</v>
      </c>
      <c r="U95" t="s">
        <v>72</v>
      </c>
      <c r="V95" t="s">
        <v>129</v>
      </c>
      <c r="W95" t="s">
        <v>74</v>
      </c>
      <c r="X95" t="s">
        <v>130</v>
      </c>
      <c r="Y95" s="2">
        <v>777</v>
      </c>
      <c r="Z95" s="3">
        <v>1.36</v>
      </c>
      <c r="AA95" s="4">
        <v>1055</v>
      </c>
      <c r="AK95" s="5">
        <v>9.4085999999999999</v>
      </c>
      <c r="AN95" s="1">
        <v>2</v>
      </c>
      <c r="AO95" t="s">
        <v>81</v>
      </c>
      <c r="AP95" t="s">
        <v>82</v>
      </c>
      <c r="AQ95" t="s">
        <v>83</v>
      </c>
      <c r="AR95" s="3">
        <v>1.3</v>
      </c>
      <c r="AS95" s="4">
        <v>1302</v>
      </c>
      <c r="AT95" s="1">
        <v>1004</v>
      </c>
      <c r="AX95" s="3">
        <v>765550.07</v>
      </c>
      <c r="BB95" t="s">
        <v>84</v>
      </c>
      <c r="BD95" s="3">
        <v>1.42</v>
      </c>
      <c r="BE95" s="4">
        <v>892</v>
      </c>
      <c r="BF95" s="1">
        <v>628</v>
      </c>
      <c r="BG95" s="1">
        <v>224</v>
      </c>
      <c r="BH95" s="1">
        <v>148</v>
      </c>
    </row>
    <row r="96" spans="1:64" x14ac:dyDescent="0.25">
      <c r="A96" t="s">
        <v>993</v>
      </c>
      <c r="B96" t="s">
        <v>994</v>
      </c>
      <c r="C96" s="4">
        <f>(AA96*(H96*0.9))*12</f>
        <v>4589071.2</v>
      </c>
      <c r="D96" s="4">
        <f>IF(C96=0,"",(H96*150*12)+C96)</f>
        <v>5312671.2</v>
      </c>
      <c r="E96" s="4">
        <f>IFERROR(D96*0.5,"")</f>
        <v>2656335.6</v>
      </c>
      <c r="F96" s="4">
        <f>IFERROR(E96/0.06,"")</f>
        <v>44272260</v>
      </c>
      <c r="G96" s="4">
        <f>IFERROR(F96/H96,"")</f>
        <v>110130</v>
      </c>
      <c r="H96" s="1">
        <v>402</v>
      </c>
      <c r="I96" s="1">
        <v>1986</v>
      </c>
      <c r="J96" t="s">
        <v>64</v>
      </c>
      <c r="K96" t="s">
        <v>995</v>
      </c>
      <c r="L96" t="s">
        <v>687</v>
      </c>
      <c r="M96" t="s">
        <v>996</v>
      </c>
      <c r="O96" t="s">
        <v>687</v>
      </c>
      <c r="P96" s="1">
        <v>3</v>
      </c>
      <c r="Q96" t="s">
        <v>69</v>
      </c>
      <c r="R96" t="s">
        <v>70</v>
      </c>
      <c r="S96" t="s">
        <v>71</v>
      </c>
      <c r="U96" t="s">
        <v>72</v>
      </c>
      <c r="V96" t="s">
        <v>73</v>
      </c>
      <c r="W96" t="s">
        <v>74</v>
      </c>
      <c r="X96" t="s">
        <v>997</v>
      </c>
      <c r="Y96" s="2">
        <v>721</v>
      </c>
      <c r="Z96" s="3">
        <v>1.47</v>
      </c>
      <c r="AA96" s="4">
        <v>1057</v>
      </c>
      <c r="AK96" s="5">
        <v>10.447800000000001</v>
      </c>
      <c r="AN96" s="1">
        <v>3</v>
      </c>
      <c r="AO96" t="s">
        <v>81</v>
      </c>
      <c r="AP96" t="s">
        <v>82</v>
      </c>
      <c r="AQ96" t="s">
        <v>83</v>
      </c>
      <c r="AR96" s="3">
        <v>1.4</v>
      </c>
      <c r="AS96" s="4">
        <v>1412</v>
      </c>
      <c r="AT96" s="1">
        <v>1006</v>
      </c>
      <c r="AX96" s="3">
        <v>0</v>
      </c>
      <c r="BB96" t="s">
        <v>84</v>
      </c>
      <c r="BD96" s="3">
        <v>1.49</v>
      </c>
      <c r="BE96" s="4">
        <v>967</v>
      </c>
      <c r="BF96" s="1">
        <v>649</v>
      </c>
      <c r="BG96" s="1">
        <v>320</v>
      </c>
      <c r="BH96" s="1">
        <v>82</v>
      </c>
      <c r="BL96" t="s">
        <v>131</v>
      </c>
    </row>
    <row r="97" spans="1:64" x14ac:dyDescent="0.25">
      <c r="A97" t="s">
        <v>1197</v>
      </c>
      <c r="B97" t="s">
        <v>1198</v>
      </c>
      <c r="C97" s="4">
        <f>(AA97*(H97*0.9))*12</f>
        <v>3473625.6000000006</v>
      </c>
      <c r="D97" s="4">
        <f>IF(C97=0,"",(H97*150*12)+C97)</f>
        <v>4020825.6000000006</v>
      </c>
      <c r="E97" s="4">
        <f>IFERROR(D97*0.5,"")</f>
        <v>2010412.8000000003</v>
      </c>
      <c r="F97" s="4">
        <f>IFERROR(E97/0.06,"")</f>
        <v>33506880.000000007</v>
      </c>
      <c r="G97" s="4">
        <f>IFERROR(F97/H97,"")</f>
        <v>110220.00000000003</v>
      </c>
      <c r="H97" s="1">
        <v>304</v>
      </c>
      <c r="I97" s="1">
        <v>1986</v>
      </c>
      <c r="J97" t="s">
        <v>64</v>
      </c>
      <c r="K97" t="s">
        <v>725</v>
      </c>
      <c r="L97" t="s">
        <v>1199</v>
      </c>
      <c r="M97" t="s">
        <v>1200</v>
      </c>
      <c r="N97" t="s">
        <v>1201</v>
      </c>
      <c r="O97" t="s">
        <v>1199</v>
      </c>
      <c r="P97" s="1">
        <v>3</v>
      </c>
      <c r="Q97" t="s">
        <v>91</v>
      </c>
      <c r="R97" t="s">
        <v>70</v>
      </c>
      <c r="S97" t="s">
        <v>71</v>
      </c>
      <c r="U97" t="s">
        <v>72</v>
      </c>
      <c r="V97" t="s">
        <v>73</v>
      </c>
      <c r="W97" t="s">
        <v>74</v>
      </c>
      <c r="X97" t="s">
        <v>730</v>
      </c>
      <c r="Y97" s="2">
        <v>713</v>
      </c>
      <c r="Z97" s="3">
        <v>1.48</v>
      </c>
      <c r="AA97" s="4">
        <v>1058</v>
      </c>
      <c r="AK97" s="5">
        <v>13.486800000000001</v>
      </c>
      <c r="AN97" s="1">
        <v>3</v>
      </c>
      <c r="AO97" t="s">
        <v>81</v>
      </c>
      <c r="AP97" t="s">
        <v>82</v>
      </c>
      <c r="AQ97" t="s">
        <v>83</v>
      </c>
      <c r="AR97" s="3">
        <v>1.36</v>
      </c>
      <c r="AS97" s="4">
        <v>1420</v>
      </c>
      <c r="AT97" s="1">
        <v>1044</v>
      </c>
      <c r="AX97" s="3">
        <v>645664.80000000005</v>
      </c>
      <c r="BB97" t="s">
        <v>84</v>
      </c>
      <c r="BD97" s="3">
        <v>1.54</v>
      </c>
      <c r="BE97" s="4">
        <v>954</v>
      </c>
      <c r="BF97" s="1">
        <v>618</v>
      </c>
      <c r="BG97" s="1">
        <v>236</v>
      </c>
      <c r="BH97" s="1">
        <v>68</v>
      </c>
      <c r="BK97" t="s">
        <v>1202</v>
      </c>
      <c r="BL97" t="s">
        <v>104</v>
      </c>
    </row>
    <row r="98" spans="1:64" x14ac:dyDescent="0.25">
      <c r="A98" t="s">
        <v>1083</v>
      </c>
      <c r="B98" t="s">
        <v>1084</v>
      </c>
      <c r="C98" s="4">
        <f>(AA98*(H98*0.9))*12</f>
        <v>3019420.8</v>
      </c>
      <c r="D98" s="4">
        <f>IF(C98=0,"",(H98*150*12)+C98)</f>
        <v>3494620.8</v>
      </c>
      <c r="E98" s="4">
        <f>IFERROR(D98*0.5,"")</f>
        <v>1747310.4</v>
      </c>
      <c r="F98" s="4">
        <f>IFERROR(E98/0.06,"")</f>
        <v>29121840</v>
      </c>
      <c r="G98" s="4">
        <f>IFERROR(F98/H98,"")</f>
        <v>110310</v>
      </c>
      <c r="H98" s="1">
        <v>264</v>
      </c>
      <c r="I98" s="1">
        <v>1985</v>
      </c>
      <c r="J98" t="s">
        <v>64</v>
      </c>
      <c r="K98" t="s">
        <v>725</v>
      </c>
      <c r="L98" t="s">
        <v>1079</v>
      </c>
      <c r="M98" t="s">
        <v>1085</v>
      </c>
      <c r="N98" t="s">
        <v>1086</v>
      </c>
      <c r="O98" t="s">
        <v>1079</v>
      </c>
      <c r="P98" s="1">
        <v>3</v>
      </c>
      <c r="Q98" t="s">
        <v>69</v>
      </c>
      <c r="R98" t="s">
        <v>70</v>
      </c>
      <c r="S98" t="s">
        <v>71</v>
      </c>
      <c r="U98" t="s">
        <v>72</v>
      </c>
      <c r="V98" t="s">
        <v>73</v>
      </c>
      <c r="W98" t="s">
        <v>74</v>
      </c>
      <c r="X98" t="s">
        <v>1087</v>
      </c>
      <c r="Y98" s="2">
        <v>698</v>
      </c>
      <c r="Z98" s="3">
        <v>1.52</v>
      </c>
      <c r="AA98" s="4">
        <v>1059</v>
      </c>
      <c r="AK98" s="5">
        <v>4.9241999999999999</v>
      </c>
      <c r="AN98" s="1">
        <v>3</v>
      </c>
      <c r="AO98" t="s">
        <v>81</v>
      </c>
      <c r="AP98" t="s">
        <v>82</v>
      </c>
      <c r="AQ98" t="s">
        <v>83</v>
      </c>
      <c r="AR98" s="3">
        <v>1.52</v>
      </c>
      <c r="AS98" s="4">
        <v>1381</v>
      </c>
      <c r="AT98" s="1">
        <v>910</v>
      </c>
      <c r="AX98" s="3">
        <v>418385.69</v>
      </c>
      <c r="AY98" s="3">
        <v>1.98</v>
      </c>
      <c r="AZ98" s="4">
        <v>1000</v>
      </c>
      <c r="BA98" s="6">
        <v>505</v>
      </c>
      <c r="BB98" t="s">
        <v>84</v>
      </c>
      <c r="BD98" s="3">
        <v>1.49</v>
      </c>
      <c r="BE98" s="4">
        <v>954</v>
      </c>
      <c r="BF98" s="1">
        <v>638</v>
      </c>
      <c r="BG98" s="1">
        <v>188</v>
      </c>
      <c r="BH98" s="1">
        <v>64</v>
      </c>
    </row>
    <row r="99" spans="1:64" x14ac:dyDescent="0.25">
      <c r="A99" t="s">
        <v>1337</v>
      </c>
      <c r="B99" t="s">
        <v>1338</v>
      </c>
      <c r="C99" s="4">
        <f>(AA99*(H99*0.9))*12</f>
        <v>3133792.8</v>
      </c>
      <c r="D99" s="4">
        <f>IF(C99=0,"",(H99*150*12)+C99)</f>
        <v>3626992.8</v>
      </c>
      <c r="E99" s="4">
        <f>IFERROR(D99*0.5,"")</f>
        <v>1813496.4</v>
      </c>
      <c r="F99" s="4">
        <f>IFERROR(E99/0.06,"")</f>
        <v>30224940</v>
      </c>
      <c r="G99" s="4">
        <f>IFERROR(F99/H99,"")</f>
        <v>110310</v>
      </c>
      <c r="H99" s="1">
        <v>274</v>
      </c>
      <c r="I99" s="1">
        <v>1986</v>
      </c>
      <c r="J99" t="s">
        <v>64</v>
      </c>
      <c r="K99" t="s">
        <v>288</v>
      </c>
      <c r="L99" t="s">
        <v>784</v>
      </c>
      <c r="M99" t="s">
        <v>1339</v>
      </c>
      <c r="N99" t="s">
        <v>1340</v>
      </c>
      <c r="O99" t="s">
        <v>784</v>
      </c>
      <c r="P99" s="1">
        <v>3</v>
      </c>
      <c r="Q99" t="s">
        <v>91</v>
      </c>
      <c r="R99" t="s">
        <v>70</v>
      </c>
      <c r="S99" t="s">
        <v>71</v>
      </c>
      <c r="U99" t="s">
        <v>72</v>
      </c>
      <c r="V99" t="s">
        <v>152</v>
      </c>
      <c r="W99" t="s">
        <v>74</v>
      </c>
      <c r="X99" t="s">
        <v>1336</v>
      </c>
      <c r="Y99" s="2">
        <v>739</v>
      </c>
      <c r="Z99" s="3">
        <v>1.43</v>
      </c>
      <c r="AA99" s="4">
        <v>1059</v>
      </c>
      <c r="AK99" s="5">
        <v>18.248200000000001</v>
      </c>
      <c r="AM99" s="1">
        <v>2016</v>
      </c>
      <c r="AN99" s="1">
        <v>3</v>
      </c>
      <c r="AO99" t="s">
        <v>81</v>
      </c>
      <c r="AP99" t="s">
        <v>82</v>
      </c>
      <c r="AQ99" t="s">
        <v>83</v>
      </c>
      <c r="AR99" s="3">
        <v>1.39</v>
      </c>
      <c r="AS99" s="4">
        <v>1380</v>
      </c>
      <c r="AT99" s="1">
        <v>995</v>
      </c>
      <c r="AX99" s="3">
        <v>567701.64</v>
      </c>
      <c r="BB99" t="s">
        <v>84</v>
      </c>
      <c r="BD99" s="3">
        <v>1.45</v>
      </c>
      <c r="BE99" s="4">
        <v>958</v>
      </c>
      <c r="BF99" s="1">
        <v>659</v>
      </c>
      <c r="BG99" s="1">
        <v>208</v>
      </c>
      <c r="BH99" s="1">
        <v>66</v>
      </c>
      <c r="BK99" t="s">
        <v>1341</v>
      </c>
      <c r="BL99" t="s">
        <v>643</v>
      </c>
    </row>
    <row r="100" spans="1:64" x14ac:dyDescent="0.25">
      <c r="A100" t="s">
        <v>1454</v>
      </c>
      <c r="B100" t="s">
        <v>1455</v>
      </c>
      <c r="C100" s="4">
        <f>(AA100*(H100*0.9))*12</f>
        <v>7205436</v>
      </c>
      <c r="D100" s="4">
        <f>IF(C100=0,"",(H100*150*12)+C100)</f>
        <v>8339436</v>
      </c>
      <c r="E100" s="4">
        <f>IFERROR(D100*0.5,"")</f>
        <v>4169718</v>
      </c>
      <c r="F100" s="4">
        <f>IFERROR(E100/0.06,"")</f>
        <v>69495300</v>
      </c>
      <c r="G100" s="4">
        <f>IFERROR(F100/H100,"")</f>
        <v>110310</v>
      </c>
      <c r="H100" s="1">
        <v>630</v>
      </c>
      <c r="I100" s="1">
        <v>1985</v>
      </c>
      <c r="J100" t="s">
        <v>64</v>
      </c>
      <c r="K100" t="s">
        <v>734</v>
      </c>
      <c r="L100" t="s">
        <v>720</v>
      </c>
      <c r="M100" t="s">
        <v>1456</v>
      </c>
      <c r="N100" t="s">
        <v>1457</v>
      </c>
      <c r="O100" t="s">
        <v>720</v>
      </c>
      <c r="P100" s="1">
        <v>4</v>
      </c>
      <c r="Q100" t="s">
        <v>91</v>
      </c>
      <c r="R100" t="s">
        <v>70</v>
      </c>
      <c r="S100" t="s">
        <v>71</v>
      </c>
      <c r="U100" t="s">
        <v>72</v>
      </c>
      <c r="V100" t="s">
        <v>73</v>
      </c>
      <c r="W100" t="s">
        <v>74</v>
      </c>
      <c r="X100" t="s">
        <v>1458</v>
      </c>
      <c r="Y100" s="2">
        <v>805</v>
      </c>
      <c r="Z100" s="3">
        <v>1.31</v>
      </c>
      <c r="AA100" s="4">
        <v>1059</v>
      </c>
      <c r="AK100" s="5">
        <v>7.1429</v>
      </c>
      <c r="AM100" s="1">
        <v>2016</v>
      </c>
      <c r="AN100" s="1">
        <v>2</v>
      </c>
      <c r="AO100" t="s">
        <v>81</v>
      </c>
      <c r="AP100" t="s">
        <v>82</v>
      </c>
      <c r="AQ100" t="s">
        <v>83</v>
      </c>
      <c r="AR100" s="3">
        <v>1.36</v>
      </c>
      <c r="AS100" s="4">
        <v>1316</v>
      </c>
      <c r="AT100" s="1">
        <v>967</v>
      </c>
      <c r="AX100" s="3">
        <v>1224663.8799999999</v>
      </c>
      <c r="AY100" s="3">
        <v>1.45</v>
      </c>
      <c r="AZ100" s="4">
        <v>1231</v>
      </c>
      <c r="BA100" s="6">
        <v>850</v>
      </c>
      <c r="BB100" t="s">
        <v>84</v>
      </c>
      <c r="BD100" s="3">
        <v>1.25</v>
      </c>
      <c r="BE100" s="4">
        <v>908</v>
      </c>
      <c r="BF100" s="1">
        <v>726</v>
      </c>
      <c r="BG100" s="1">
        <v>378</v>
      </c>
      <c r="BH100" s="1">
        <v>160</v>
      </c>
      <c r="BK100" t="s">
        <v>462</v>
      </c>
      <c r="BL100" t="s">
        <v>131</v>
      </c>
    </row>
    <row r="101" spans="1:64" x14ac:dyDescent="0.25">
      <c r="A101" t="s">
        <v>1681</v>
      </c>
      <c r="B101" t="s">
        <v>1682</v>
      </c>
      <c r="C101" s="4">
        <f>(AA101*(H101*0.9))*12</f>
        <v>920160</v>
      </c>
      <c r="D101" s="4">
        <f>IF(C101=0,"",(H101*150*12)+C101)</f>
        <v>1064160</v>
      </c>
      <c r="E101" s="4">
        <f>IFERROR(D101*0.5,"")</f>
        <v>532080</v>
      </c>
      <c r="F101" s="4">
        <f>IFERROR(E101/0.06,"")</f>
        <v>8868000</v>
      </c>
      <c r="G101" s="4">
        <f>IFERROR(F101/H101,"")</f>
        <v>110850</v>
      </c>
      <c r="H101" s="1">
        <v>80</v>
      </c>
      <c r="I101" s="1">
        <v>1986</v>
      </c>
      <c r="J101" t="s">
        <v>64</v>
      </c>
      <c r="K101" t="s">
        <v>288</v>
      </c>
      <c r="L101" t="s">
        <v>1683</v>
      </c>
      <c r="M101" t="s">
        <v>1684</v>
      </c>
      <c r="N101" t="s">
        <v>1685</v>
      </c>
      <c r="O101" t="s">
        <v>1683</v>
      </c>
      <c r="P101" s="1">
        <v>2</v>
      </c>
      <c r="Q101" t="s">
        <v>69</v>
      </c>
      <c r="R101" t="s">
        <v>70</v>
      </c>
      <c r="S101" t="s">
        <v>71</v>
      </c>
      <c r="T101" t="s">
        <v>118</v>
      </c>
      <c r="U101" t="s">
        <v>72</v>
      </c>
      <c r="V101" t="s">
        <v>152</v>
      </c>
      <c r="W101" t="s">
        <v>74</v>
      </c>
      <c r="X101" t="s">
        <v>1686</v>
      </c>
      <c r="Y101" s="2">
        <v>703</v>
      </c>
      <c r="Z101" s="3">
        <v>1.51</v>
      </c>
      <c r="AA101" s="4">
        <v>1065</v>
      </c>
      <c r="AK101" s="5">
        <v>7.5</v>
      </c>
      <c r="AM101" s="1">
        <v>2017</v>
      </c>
      <c r="AN101" s="1">
        <v>2</v>
      </c>
      <c r="AO101" t="s">
        <v>81</v>
      </c>
      <c r="AP101" t="s">
        <v>82</v>
      </c>
      <c r="AQ101" t="s">
        <v>83</v>
      </c>
      <c r="AR101" s="3">
        <v>1.36</v>
      </c>
      <c r="AS101" s="4">
        <v>1224</v>
      </c>
      <c r="AT101" s="1">
        <v>903</v>
      </c>
      <c r="AX101" s="3">
        <v>166047.12</v>
      </c>
      <c r="BB101" t="s">
        <v>84</v>
      </c>
      <c r="BD101" s="3">
        <v>1.68</v>
      </c>
      <c r="BE101" s="4">
        <v>959</v>
      </c>
      <c r="BF101" s="1">
        <v>570</v>
      </c>
      <c r="BG101" s="1">
        <v>48</v>
      </c>
      <c r="BH101" s="1">
        <v>32</v>
      </c>
    </row>
    <row r="102" spans="1:64" x14ac:dyDescent="0.25">
      <c r="A102" t="s">
        <v>1581</v>
      </c>
      <c r="B102" t="s">
        <v>1582</v>
      </c>
      <c r="C102" s="4">
        <f>(AA102*(H102*0.9))*12</f>
        <v>1473638.3999999999</v>
      </c>
      <c r="D102" s="4">
        <f>IF(C102=0,"",(H102*150*12)+C102)</f>
        <v>1704038.3999999999</v>
      </c>
      <c r="E102" s="4">
        <f>IFERROR(D102*0.5,"")</f>
        <v>852019.19999999995</v>
      </c>
      <c r="F102" s="4">
        <f>IFERROR(E102/0.06,"")</f>
        <v>14200320</v>
      </c>
      <c r="G102" s="4">
        <f>IFERROR(F102/H102,"")</f>
        <v>110940</v>
      </c>
      <c r="H102" s="1">
        <v>128</v>
      </c>
      <c r="I102" s="1">
        <v>1985</v>
      </c>
      <c r="J102" t="s">
        <v>64</v>
      </c>
      <c r="K102" t="s">
        <v>114</v>
      </c>
      <c r="L102" t="s">
        <v>908</v>
      </c>
      <c r="M102" t="s">
        <v>1583</v>
      </c>
      <c r="N102" t="s">
        <v>1473</v>
      </c>
      <c r="O102" t="s">
        <v>908</v>
      </c>
      <c r="P102" s="1">
        <v>3</v>
      </c>
      <c r="Q102" t="s">
        <v>69</v>
      </c>
      <c r="R102" t="s">
        <v>70</v>
      </c>
      <c r="S102" t="s">
        <v>71</v>
      </c>
      <c r="U102" t="s">
        <v>72</v>
      </c>
      <c r="V102" t="s">
        <v>119</v>
      </c>
      <c r="W102" t="s">
        <v>74</v>
      </c>
      <c r="X102" t="s">
        <v>1584</v>
      </c>
      <c r="Y102" s="2">
        <v>787</v>
      </c>
      <c r="Z102" s="3">
        <v>1.35</v>
      </c>
      <c r="AA102" s="4">
        <v>1066</v>
      </c>
      <c r="AK102" s="5">
        <v>6.25</v>
      </c>
      <c r="AN102" s="1">
        <v>2</v>
      </c>
      <c r="AO102" t="s">
        <v>81</v>
      </c>
      <c r="AP102" t="s">
        <v>82</v>
      </c>
      <c r="AQ102" t="s">
        <v>83</v>
      </c>
      <c r="AR102" s="3">
        <v>1.33</v>
      </c>
      <c r="AS102" s="4">
        <v>1214</v>
      </c>
      <c r="AT102" s="1">
        <v>914</v>
      </c>
      <c r="AX102" s="3">
        <v>133474.56</v>
      </c>
      <c r="BB102" t="s">
        <v>84</v>
      </c>
      <c r="BD102" s="3">
        <v>1.39</v>
      </c>
      <c r="BE102" s="4">
        <v>913</v>
      </c>
      <c r="BF102" s="1">
        <v>655</v>
      </c>
      <c r="BG102" s="1">
        <v>63</v>
      </c>
      <c r="BH102" s="1">
        <v>65</v>
      </c>
    </row>
    <row r="103" spans="1:64" x14ac:dyDescent="0.25">
      <c r="A103" t="s">
        <v>1672</v>
      </c>
      <c r="B103" t="s">
        <v>1673</v>
      </c>
      <c r="C103" s="4">
        <f>(AA103*(H103*0.9))*12</f>
        <v>1749945.6</v>
      </c>
      <c r="D103" s="4">
        <f>IF(C103=0,"",(H103*150*12)+C103)</f>
        <v>2023545.6</v>
      </c>
      <c r="E103" s="4">
        <f>IFERROR(D103*0.5,"")</f>
        <v>1011772.8</v>
      </c>
      <c r="F103" s="4">
        <f>IFERROR(E103/0.06,"")</f>
        <v>16862880</v>
      </c>
      <c r="G103" s="4">
        <f>IFERROR(F103/H103,"")</f>
        <v>110940</v>
      </c>
      <c r="H103" s="1">
        <v>152</v>
      </c>
      <c r="I103" s="1">
        <v>1986</v>
      </c>
      <c r="J103" t="s">
        <v>64</v>
      </c>
      <c r="K103" t="s">
        <v>360</v>
      </c>
      <c r="L103" t="s">
        <v>1674</v>
      </c>
      <c r="M103" t="s">
        <v>1675</v>
      </c>
      <c r="N103" t="s">
        <v>1676</v>
      </c>
      <c r="O103" t="s">
        <v>1674</v>
      </c>
      <c r="P103" s="1">
        <v>3</v>
      </c>
      <c r="Q103" t="s">
        <v>91</v>
      </c>
      <c r="R103" t="s">
        <v>70</v>
      </c>
      <c r="S103" t="s">
        <v>71</v>
      </c>
      <c r="U103" t="s">
        <v>72</v>
      </c>
      <c r="V103" t="s">
        <v>73</v>
      </c>
      <c r="W103" t="s">
        <v>74</v>
      </c>
      <c r="X103" t="s">
        <v>379</v>
      </c>
      <c r="Y103" s="2">
        <v>694</v>
      </c>
      <c r="Z103" s="3">
        <v>1.54</v>
      </c>
      <c r="AA103" s="4">
        <v>1066</v>
      </c>
      <c r="AK103" s="5">
        <v>7.8947000000000003</v>
      </c>
      <c r="AN103" s="1">
        <v>3</v>
      </c>
      <c r="AO103" t="s">
        <v>81</v>
      </c>
      <c r="AP103" t="s">
        <v>82</v>
      </c>
      <c r="AQ103" t="s">
        <v>83</v>
      </c>
      <c r="AR103" s="3">
        <v>1.46</v>
      </c>
      <c r="AS103" s="4">
        <v>1340</v>
      </c>
      <c r="AT103" s="1">
        <v>919</v>
      </c>
      <c r="AX103" s="3">
        <v>312904.2</v>
      </c>
      <c r="BB103" t="s">
        <v>84</v>
      </c>
      <c r="BD103" s="3">
        <v>1.59</v>
      </c>
      <c r="BE103" s="4">
        <v>947</v>
      </c>
      <c r="BF103" s="1">
        <v>597</v>
      </c>
      <c r="BG103" s="1">
        <v>106</v>
      </c>
      <c r="BH103" s="1">
        <v>46</v>
      </c>
      <c r="BK103" t="s">
        <v>1677</v>
      </c>
    </row>
    <row r="104" spans="1:64" x14ac:dyDescent="0.25">
      <c r="A104" t="s">
        <v>1802</v>
      </c>
      <c r="B104" t="s">
        <v>1803</v>
      </c>
      <c r="C104" s="4">
        <f>(AA104*(H104*0.9))*12</f>
        <v>3783283.1999999997</v>
      </c>
      <c r="D104" s="4">
        <f>IF(C104=0,"",(H104*150*12)+C104)</f>
        <v>4373683.1999999993</v>
      </c>
      <c r="E104" s="4">
        <f>IFERROR(D104*0.5,"")</f>
        <v>2186841.5999999996</v>
      </c>
      <c r="F104" s="4">
        <f>IFERROR(E104/0.06,"")</f>
        <v>36447359.999999993</v>
      </c>
      <c r="G104" s="4">
        <f>IFERROR(F104/H104,"")</f>
        <v>111119.99999999997</v>
      </c>
      <c r="H104" s="1">
        <v>328</v>
      </c>
      <c r="I104" s="1">
        <v>1986</v>
      </c>
      <c r="J104" t="s">
        <v>64</v>
      </c>
      <c r="K104" t="s">
        <v>198</v>
      </c>
      <c r="L104" t="s">
        <v>1804</v>
      </c>
      <c r="M104" t="s">
        <v>1805</v>
      </c>
      <c r="N104" t="s">
        <v>1806</v>
      </c>
      <c r="O104" t="s">
        <v>1804</v>
      </c>
      <c r="P104" s="1">
        <v>3</v>
      </c>
      <c r="Q104" t="s">
        <v>69</v>
      </c>
      <c r="R104" t="s">
        <v>70</v>
      </c>
      <c r="S104" t="s">
        <v>71</v>
      </c>
      <c r="U104" t="s">
        <v>72</v>
      </c>
      <c r="V104" t="s">
        <v>152</v>
      </c>
      <c r="W104" t="s">
        <v>74</v>
      </c>
      <c r="X104" t="s">
        <v>1807</v>
      </c>
      <c r="Y104" s="2">
        <v>741</v>
      </c>
      <c r="Z104" s="3">
        <v>1.44</v>
      </c>
      <c r="AA104" s="4">
        <v>1068</v>
      </c>
      <c r="AK104" s="5">
        <v>9.7561</v>
      </c>
      <c r="AN104" s="1">
        <v>2</v>
      </c>
      <c r="AO104" t="s">
        <v>81</v>
      </c>
      <c r="AP104" t="s">
        <v>82</v>
      </c>
      <c r="AQ104" t="s">
        <v>83</v>
      </c>
      <c r="AR104" s="3">
        <v>1.35</v>
      </c>
      <c r="AS104" s="4">
        <v>1269</v>
      </c>
      <c r="AT104" s="1">
        <v>937</v>
      </c>
      <c r="AX104" s="3">
        <v>810693.26</v>
      </c>
      <c r="BB104" t="s">
        <v>84</v>
      </c>
      <c r="BD104" s="3">
        <v>1.53</v>
      </c>
      <c r="BE104" s="4">
        <v>925</v>
      </c>
      <c r="BF104" s="1">
        <v>603</v>
      </c>
      <c r="BG104" s="1">
        <v>192</v>
      </c>
      <c r="BH104" s="1">
        <v>136</v>
      </c>
      <c r="BL104" t="s">
        <v>131</v>
      </c>
    </row>
    <row r="105" spans="1:64" x14ac:dyDescent="0.25">
      <c r="A105" t="s">
        <v>2144</v>
      </c>
      <c r="B105" t="s">
        <v>2145</v>
      </c>
      <c r="C105" s="4">
        <f>(AA105*(H105*0.9))*12</f>
        <v>865080</v>
      </c>
      <c r="D105" s="4">
        <f>IF(C105=0,"",(H105*150*12)+C105)</f>
        <v>1000080</v>
      </c>
      <c r="E105" s="4">
        <f>IFERROR(D105*0.5,"")</f>
        <v>500040</v>
      </c>
      <c r="F105" s="4">
        <f>IFERROR(E105/0.06,"")</f>
        <v>8334000</v>
      </c>
      <c r="G105" s="4">
        <f>IFERROR(F105/H105,"")</f>
        <v>111120</v>
      </c>
      <c r="H105" s="1">
        <v>75</v>
      </c>
      <c r="I105" s="1">
        <v>1995</v>
      </c>
      <c r="J105" t="s">
        <v>64</v>
      </c>
      <c r="K105" t="s">
        <v>308</v>
      </c>
      <c r="L105" t="s">
        <v>309</v>
      </c>
      <c r="M105" t="s">
        <v>2146</v>
      </c>
      <c r="N105" t="s">
        <v>2147</v>
      </c>
      <c r="O105" t="s">
        <v>309</v>
      </c>
      <c r="P105" s="1">
        <v>3</v>
      </c>
      <c r="Q105" t="s">
        <v>69</v>
      </c>
      <c r="R105" t="s">
        <v>70</v>
      </c>
      <c r="S105" t="s">
        <v>71</v>
      </c>
      <c r="T105" t="s">
        <v>426</v>
      </c>
      <c r="U105" t="s">
        <v>72</v>
      </c>
      <c r="V105" t="s">
        <v>152</v>
      </c>
      <c r="W105" t="s">
        <v>74</v>
      </c>
      <c r="X105" t="s">
        <v>321</v>
      </c>
      <c r="Y105" s="2">
        <v>686</v>
      </c>
      <c r="Z105" s="3">
        <v>1.56</v>
      </c>
      <c r="AA105" s="4">
        <v>1068</v>
      </c>
      <c r="AK105" s="5">
        <v>4</v>
      </c>
      <c r="AM105" s="1">
        <v>2017</v>
      </c>
      <c r="AN105" s="1">
        <v>1</v>
      </c>
      <c r="AO105" t="s">
        <v>81</v>
      </c>
      <c r="AP105" t="s">
        <v>82</v>
      </c>
      <c r="AQ105" t="s">
        <v>83</v>
      </c>
      <c r="AR105" s="3">
        <v>1.38</v>
      </c>
      <c r="AS105" s="4">
        <v>1119</v>
      </c>
      <c r="AT105" s="1">
        <v>809</v>
      </c>
      <c r="AX105" s="3">
        <v>120970.25</v>
      </c>
      <c r="BB105" t="s">
        <v>84</v>
      </c>
      <c r="BD105" s="3">
        <v>1.6</v>
      </c>
      <c r="BE105" s="4">
        <v>1057</v>
      </c>
      <c r="BF105" s="1">
        <v>660</v>
      </c>
      <c r="BG105" s="1">
        <v>62</v>
      </c>
      <c r="BH105" s="1">
        <v>13</v>
      </c>
      <c r="BK105" t="s">
        <v>2148</v>
      </c>
      <c r="BL105" t="s">
        <v>104</v>
      </c>
    </row>
    <row r="106" spans="1:64" x14ac:dyDescent="0.25">
      <c r="A106" t="s">
        <v>2664</v>
      </c>
      <c r="B106" t="s">
        <v>2665</v>
      </c>
      <c r="C106" s="4">
        <f>(AA106*(H106*0.9))*12</f>
        <v>2883600</v>
      </c>
      <c r="D106" s="4">
        <f>IF(C106=0,"",(H106*150*12)+C106)</f>
        <v>3333600</v>
      </c>
      <c r="E106" s="4">
        <f>IFERROR(D106*0.5,"")</f>
        <v>1666800</v>
      </c>
      <c r="F106" s="4">
        <f>IFERROR(E106/0.06,"")</f>
        <v>27780000</v>
      </c>
      <c r="G106" s="4">
        <f>IFERROR(F106/H106,"")</f>
        <v>111120</v>
      </c>
      <c r="H106" s="1">
        <v>250</v>
      </c>
      <c r="I106" s="1">
        <v>1998</v>
      </c>
      <c r="J106" t="s">
        <v>64</v>
      </c>
      <c r="K106" t="s">
        <v>215</v>
      </c>
      <c r="L106" t="s">
        <v>2666</v>
      </c>
      <c r="M106" t="s">
        <v>2667</v>
      </c>
      <c r="N106" t="s">
        <v>2668</v>
      </c>
      <c r="O106" t="s">
        <v>2666</v>
      </c>
      <c r="P106" s="1">
        <v>4</v>
      </c>
      <c r="Q106" t="s">
        <v>91</v>
      </c>
      <c r="R106" t="s">
        <v>70</v>
      </c>
      <c r="S106" t="s">
        <v>71</v>
      </c>
      <c r="U106" t="s">
        <v>72</v>
      </c>
      <c r="V106" t="s">
        <v>215</v>
      </c>
      <c r="W106" t="s">
        <v>74</v>
      </c>
      <c r="X106" t="s">
        <v>2669</v>
      </c>
      <c r="Y106" s="2">
        <v>926</v>
      </c>
      <c r="Z106" s="3">
        <v>1.1499999999999999</v>
      </c>
      <c r="AA106" s="4">
        <v>1068</v>
      </c>
      <c r="AK106" s="5">
        <v>5.6</v>
      </c>
      <c r="AN106" s="1">
        <v>2</v>
      </c>
      <c r="AO106" t="s">
        <v>81</v>
      </c>
      <c r="AP106" t="s">
        <v>82</v>
      </c>
      <c r="AQ106" t="s">
        <v>83</v>
      </c>
      <c r="AR106" s="3">
        <v>1.1200000000000001</v>
      </c>
      <c r="AS106" s="4">
        <v>1047</v>
      </c>
      <c r="AT106" s="1">
        <v>937</v>
      </c>
      <c r="AU106" s="3">
        <v>1.1499999999999999</v>
      </c>
      <c r="AV106" s="4">
        <v>1193</v>
      </c>
      <c r="AW106" s="1">
        <v>1035</v>
      </c>
      <c r="AX106" s="3">
        <v>432624.02</v>
      </c>
      <c r="BB106" t="s">
        <v>84</v>
      </c>
      <c r="BD106" s="3">
        <v>1.25</v>
      </c>
      <c r="BE106" s="4">
        <v>861</v>
      </c>
      <c r="BF106" s="1">
        <v>690</v>
      </c>
      <c r="BG106" s="1">
        <v>50</v>
      </c>
      <c r="BH106" s="1">
        <v>100</v>
      </c>
      <c r="BI106" s="1">
        <v>100</v>
      </c>
      <c r="BK106" t="s">
        <v>2670</v>
      </c>
      <c r="BL106" t="s">
        <v>104</v>
      </c>
    </row>
    <row r="107" spans="1:64" x14ac:dyDescent="0.25">
      <c r="A107" t="s">
        <v>456</v>
      </c>
      <c r="B107" t="s">
        <v>457</v>
      </c>
      <c r="C107" s="4">
        <f>(AA107*(H107*0.9))*12</f>
        <v>1557187.2000000002</v>
      </c>
      <c r="D107" s="4">
        <f>IF(C107=0,"",(H107*150*12)+C107)</f>
        <v>1798387.2000000002</v>
      </c>
      <c r="E107" s="4">
        <f>IFERROR(D107*0.5,"")</f>
        <v>899193.60000000009</v>
      </c>
      <c r="F107" s="4">
        <f>IFERROR(E107/0.06,"")</f>
        <v>14986560.000000002</v>
      </c>
      <c r="G107" s="4">
        <f>IFERROR(F107/H107,"")</f>
        <v>111840.00000000001</v>
      </c>
      <c r="H107" s="1">
        <v>134</v>
      </c>
      <c r="I107" s="1">
        <v>1985</v>
      </c>
      <c r="J107" t="s">
        <v>64</v>
      </c>
      <c r="K107" t="s">
        <v>156</v>
      </c>
      <c r="L107" t="s">
        <v>458</v>
      </c>
      <c r="M107" t="s">
        <v>459</v>
      </c>
      <c r="N107" t="s">
        <v>460</v>
      </c>
      <c r="O107" t="s">
        <v>458</v>
      </c>
      <c r="P107" s="1">
        <v>3</v>
      </c>
      <c r="Q107" t="s">
        <v>91</v>
      </c>
      <c r="R107" t="s">
        <v>70</v>
      </c>
      <c r="S107" t="s">
        <v>71</v>
      </c>
      <c r="U107" t="s">
        <v>72</v>
      </c>
      <c r="V107" t="s">
        <v>73</v>
      </c>
      <c r="W107" t="s">
        <v>74</v>
      </c>
      <c r="X107" t="s">
        <v>461</v>
      </c>
      <c r="Y107" s="2">
        <v>800</v>
      </c>
      <c r="Z107" s="3">
        <v>1.34</v>
      </c>
      <c r="AA107" s="4">
        <v>1076</v>
      </c>
      <c r="AK107" s="5">
        <v>20.895499999999998</v>
      </c>
      <c r="AN107" s="1">
        <v>2</v>
      </c>
      <c r="AO107" t="s">
        <v>81</v>
      </c>
      <c r="AP107" t="s">
        <v>82</v>
      </c>
      <c r="AQ107" t="s">
        <v>83</v>
      </c>
      <c r="AR107" s="3">
        <v>1.33</v>
      </c>
      <c r="AS107" s="4">
        <v>1141</v>
      </c>
      <c r="AT107" s="1">
        <v>857</v>
      </c>
      <c r="AX107" s="3">
        <v>352017.22</v>
      </c>
      <c r="BB107" t="s">
        <v>84</v>
      </c>
      <c r="BD107" s="3">
        <v>1.41</v>
      </c>
      <c r="BE107" s="4">
        <v>853</v>
      </c>
      <c r="BF107" s="1">
        <v>606</v>
      </c>
      <c r="BG107" s="1">
        <v>30</v>
      </c>
      <c r="BH107" s="1">
        <v>104</v>
      </c>
      <c r="BK107" t="s">
        <v>462</v>
      </c>
      <c r="BL107" t="s">
        <v>104</v>
      </c>
    </row>
    <row r="108" spans="1:64" x14ac:dyDescent="0.25">
      <c r="A108" t="s">
        <v>481</v>
      </c>
      <c r="B108" t="s">
        <v>482</v>
      </c>
      <c r="C108" s="4">
        <f>(AA108*(H108*0.9))*12</f>
        <v>3499200</v>
      </c>
      <c r="D108" s="4">
        <f>IF(C108=0,"",(H108*150*12)+C108)</f>
        <v>4039200</v>
      </c>
      <c r="E108" s="4">
        <f>IFERROR(D108*0.5,"")</f>
        <v>2019600</v>
      </c>
      <c r="F108" s="4">
        <f>IFERROR(E108/0.06,"")</f>
        <v>33660000</v>
      </c>
      <c r="G108" s="4">
        <f>IFERROR(F108/H108,"")</f>
        <v>112200</v>
      </c>
      <c r="H108" s="1">
        <v>300</v>
      </c>
      <c r="I108" s="1">
        <v>1986</v>
      </c>
      <c r="J108" t="s">
        <v>64</v>
      </c>
      <c r="K108" t="s">
        <v>470</v>
      </c>
      <c r="L108" t="s">
        <v>471</v>
      </c>
      <c r="M108" t="s">
        <v>482</v>
      </c>
      <c r="N108" t="s">
        <v>472</v>
      </c>
      <c r="O108" t="s">
        <v>471</v>
      </c>
      <c r="P108" s="1">
        <v>3</v>
      </c>
      <c r="Q108" t="s">
        <v>69</v>
      </c>
      <c r="R108" t="s">
        <v>70</v>
      </c>
      <c r="S108" t="s">
        <v>71</v>
      </c>
      <c r="U108" t="s">
        <v>72</v>
      </c>
      <c r="V108" t="s">
        <v>73</v>
      </c>
      <c r="W108" t="s">
        <v>74</v>
      </c>
      <c r="X108" t="s">
        <v>483</v>
      </c>
      <c r="Y108" s="2">
        <v>697</v>
      </c>
      <c r="Z108" s="3">
        <v>1.55</v>
      </c>
      <c r="AA108" s="4">
        <v>1080</v>
      </c>
      <c r="AK108" s="5">
        <v>8.6667000000000005</v>
      </c>
      <c r="AM108" s="1">
        <v>2006</v>
      </c>
      <c r="AN108" s="1">
        <v>2</v>
      </c>
      <c r="AO108" t="s">
        <v>81</v>
      </c>
      <c r="AP108" t="s">
        <v>82</v>
      </c>
      <c r="AQ108" t="s">
        <v>83</v>
      </c>
      <c r="AR108" s="3">
        <v>1.43</v>
      </c>
      <c r="AS108" s="4">
        <v>1268</v>
      </c>
      <c r="AT108" s="1">
        <v>889</v>
      </c>
      <c r="AX108" s="3">
        <v>587157.35</v>
      </c>
      <c r="BB108" t="s">
        <v>84</v>
      </c>
      <c r="BD108" s="3">
        <v>1.61</v>
      </c>
      <c r="BE108" s="4">
        <v>1012</v>
      </c>
      <c r="BF108" s="1">
        <v>628</v>
      </c>
      <c r="BG108" s="1">
        <v>220</v>
      </c>
      <c r="BH108" s="1">
        <v>80</v>
      </c>
      <c r="BK108" t="s">
        <v>474</v>
      </c>
      <c r="BL108" t="s">
        <v>104</v>
      </c>
    </row>
    <row r="109" spans="1:64" x14ac:dyDescent="0.25">
      <c r="A109" t="s">
        <v>1998</v>
      </c>
      <c r="B109" t="s">
        <v>1999</v>
      </c>
      <c r="C109" s="4">
        <f>(AA109*(H109*0.9))*12</f>
        <v>1867968</v>
      </c>
      <c r="D109" s="4">
        <f>IF(C109=0,"",(H109*150*12)+C109)</f>
        <v>2155968</v>
      </c>
      <c r="E109" s="4">
        <f>IFERROR(D109*0.5,"")</f>
        <v>1077984</v>
      </c>
      <c r="F109" s="4">
        <f>IFERROR(E109/0.06,"")</f>
        <v>17966400</v>
      </c>
      <c r="G109" s="4">
        <f>IFERROR(F109/H109,"")</f>
        <v>112290</v>
      </c>
      <c r="H109" s="1">
        <v>160</v>
      </c>
      <c r="I109" s="1">
        <v>1985</v>
      </c>
      <c r="J109" t="s">
        <v>64</v>
      </c>
      <c r="K109" t="s">
        <v>439</v>
      </c>
      <c r="L109" t="s">
        <v>929</v>
      </c>
      <c r="M109" t="s">
        <v>2000</v>
      </c>
      <c r="N109" t="s">
        <v>1999</v>
      </c>
      <c r="O109" t="s">
        <v>929</v>
      </c>
      <c r="P109" s="1">
        <v>3</v>
      </c>
      <c r="Q109" t="s">
        <v>69</v>
      </c>
      <c r="R109" t="s">
        <v>70</v>
      </c>
      <c r="S109" t="s">
        <v>71</v>
      </c>
      <c r="U109" t="s">
        <v>72</v>
      </c>
      <c r="V109" t="s">
        <v>442</v>
      </c>
      <c r="W109" t="s">
        <v>74</v>
      </c>
      <c r="X109" t="s">
        <v>443</v>
      </c>
      <c r="Y109" s="2">
        <v>765</v>
      </c>
      <c r="Z109" s="3">
        <v>1.41</v>
      </c>
      <c r="AA109" s="4">
        <v>1081</v>
      </c>
      <c r="AK109" s="5">
        <v>6.25</v>
      </c>
      <c r="AN109" s="1">
        <v>2</v>
      </c>
      <c r="AO109" t="s">
        <v>81</v>
      </c>
      <c r="AP109" t="s">
        <v>82</v>
      </c>
      <c r="AQ109" t="s">
        <v>83</v>
      </c>
      <c r="AR109" s="3">
        <v>1.39</v>
      </c>
      <c r="AS109" s="4">
        <v>1285</v>
      </c>
      <c r="AT109" s="1">
        <v>922</v>
      </c>
      <c r="AX109" s="3">
        <v>94216.82</v>
      </c>
      <c r="BB109" t="s">
        <v>84</v>
      </c>
      <c r="BD109" s="3">
        <v>1.43</v>
      </c>
      <c r="BE109" s="4">
        <v>945</v>
      </c>
      <c r="BF109" s="1">
        <v>661</v>
      </c>
      <c r="BG109" s="1">
        <v>96</v>
      </c>
      <c r="BH109" s="1">
        <v>64</v>
      </c>
    </row>
    <row r="110" spans="1:64" x14ac:dyDescent="0.25">
      <c r="A110" t="s">
        <v>2443</v>
      </c>
      <c r="B110" t="s">
        <v>2444</v>
      </c>
      <c r="C110" s="4">
        <f>(AA110*(H110*0.9))*12</f>
        <v>1541073.6</v>
      </c>
      <c r="D110" s="4">
        <f>IF(C110=0,"",(H110*150*12)+C110)</f>
        <v>1778673.6</v>
      </c>
      <c r="E110" s="4">
        <f>IFERROR(D110*0.5,"")</f>
        <v>889336.8</v>
      </c>
      <c r="F110" s="4">
        <f>IFERROR(E110/0.06,"")</f>
        <v>14822280.000000002</v>
      </c>
      <c r="G110" s="4">
        <f>IFERROR(F110/H110,"")</f>
        <v>112290.00000000001</v>
      </c>
      <c r="H110" s="1">
        <v>132</v>
      </c>
      <c r="I110" s="1">
        <v>1993</v>
      </c>
      <c r="J110" t="s">
        <v>64</v>
      </c>
      <c r="K110" t="s">
        <v>134</v>
      </c>
      <c r="L110" t="s">
        <v>735</v>
      </c>
      <c r="M110" t="s">
        <v>2445</v>
      </c>
      <c r="N110" t="s">
        <v>2446</v>
      </c>
      <c r="O110" t="s">
        <v>735</v>
      </c>
      <c r="P110" s="1">
        <v>3</v>
      </c>
      <c r="Q110" t="s">
        <v>91</v>
      </c>
      <c r="R110" t="s">
        <v>70</v>
      </c>
      <c r="S110" t="s">
        <v>71</v>
      </c>
      <c r="U110" t="s">
        <v>72</v>
      </c>
      <c r="V110" t="s">
        <v>73</v>
      </c>
      <c r="W110" t="s">
        <v>74</v>
      </c>
      <c r="X110" t="s">
        <v>2447</v>
      </c>
      <c r="Y110" s="2">
        <v>900</v>
      </c>
      <c r="Z110" s="3">
        <v>1.2</v>
      </c>
      <c r="AA110" s="4">
        <v>1081</v>
      </c>
      <c r="AK110" s="5">
        <v>16.666699999999999</v>
      </c>
      <c r="AN110" s="1">
        <v>2</v>
      </c>
      <c r="AO110" t="s">
        <v>81</v>
      </c>
      <c r="AP110" t="s">
        <v>82</v>
      </c>
      <c r="AQ110" t="s">
        <v>83</v>
      </c>
      <c r="AR110" s="3">
        <v>1.1499999999999999</v>
      </c>
      <c r="AS110" s="4">
        <v>1177</v>
      </c>
      <c r="AT110" s="1">
        <v>1026</v>
      </c>
      <c r="AU110" s="3">
        <v>1.1299999999999999</v>
      </c>
      <c r="AV110" s="4">
        <v>1317</v>
      </c>
      <c r="AW110" s="1">
        <v>1171</v>
      </c>
      <c r="AX110" s="3">
        <v>226684.78</v>
      </c>
      <c r="BB110" t="s">
        <v>84</v>
      </c>
      <c r="BD110" s="3">
        <v>1.36</v>
      </c>
      <c r="BE110" s="4">
        <v>875</v>
      </c>
      <c r="BF110" s="1">
        <v>644</v>
      </c>
      <c r="BG110" s="1">
        <v>51</v>
      </c>
      <c r="BH110" s="1">
        <v>61</v>
      </c>
      <c r="BI110" s="1">
        <v>20</v>
      </c>
      <c r="BK110" t="s">
        <v>2448</v>
      </c>
    </row>
    <row r="111" spans="1:64" x14ac:dyDescent="0.25">
      <c r="A111" t="s">
        <v>2188</v>
      </c>
      <c r="B111" t="s">
        <v>2189</v>
      </c>
      <c r="C111" s="4">
        <f>(AA111*(H111*0.9))*12</f>
        <v>704376</v>
      </c>
      <c r="D111" s="4">
        <f>IF(C111=0,"",(H111*150*12)+C111)</f>
        <v>812376</v>
      </c>
      <c r="E111" s="4">
        <f>IFERROR(D111*0.5,"")</f>
        <v>406188</v>
      </c>
      <c r="F111" s="4">
        <f>IFERROR(E111/0.06,"")</f>
        <v>6769800</v>
      </c>
      <c r="G111" s="4">
        <f>IFERROR(F111/H111,"")</f>
        <v>112830</v>
      </c>
      <c r="H111" s="1">
        <v>60</v>
      </c>
      <c r="I111" s="1">
        <v>1992</v>
      </c>
      <c r="J111" t="s">
        <v>64</v>
      </c>
      <c r="K111" t="s">
        <v>211</v>
      </c>
      <c r="L111" t="s">
        <v>2190</v>
      </c>
      <c r="M111" t="s">
        <v>2191</v>
      </c>
      <c r="N111" t="s">
        <v>2192</v>
      </c>
      <c r="O111" t="s">
        <v>2190</v>
      </c>
      <c r="P111" s="1">
        <v>3</v>
      </c>
      <c r="Q111" t="s">
        <v>91</v>
      </c>
      <c r="R111" t="s">
        <v>70</v>
      </c>
      <c r="S111" t="s">
        <v>71</v>
      </c>
      <c r="U111" t="s">
        <v>72</v>
      </c>
      <c r="V111" t="s">
        <v>215</v>
      </c>
      <c r="W111" t="s">
        <v>74</v>
      </c>
      <c r="X111" t="s">
        <v>216</v>
      </c>
      <c r="Y111" s="2">
        <v>672</v>
      </c>
      <c r="Z111" s="3">
        <v>1.62</v>
      </c>
      <c r="AA111" s="4">
        <v>1087</v>
      </c>
      <c r="AK111" s="5">
        <v>6.6666999999999996</v>
      </c>
      <c r="AN111" s="1">
        <v>2</v>
      </c>
      <c r="AO111" t="s">
        <v>81</v>
      </c>
      <c r="AP111" t="s">
        <v>82</v>
      </c>
      <c r="AQ111" t="s">
        <v>83</v>
      </c>
      <c r="AR111" s="3">
        <v>1.25</v>
      </c>
      <c r="AS111" s="4">
        <v>1571</v>
      </c>
      <c r="AT111" s="1">
        <v>1260</v>
      </c>
      <c r="AX111" s="3">
        <v>79137.740000000005</v>
      </c>
      <c r="BB111" t="s">
        <v>84</v>
      </c>
      <c r="BD111" s="3">
        <v>1.67</v>
      </c>
      <c r="BE111" s="4">
        <v>1052</v>
      </c>
      <c r="BF111" s="1">
        <v>630</v>
      </c>
      <c r="BG111" s="1">
        <v>56</v>
      </c>
      <c r="BH111" s="1">
        <v>4</v>
      </c>
    </row>
    <row r="112" spans="1:64" x14ac:dyDescent="0.25">
      <c r="A112" t="s">
        <v>1610</v>
      </c>
      <c r="B112" t="s">
        <v>1611</v>
      </c>
      <c r="C112" s="4">
        <f>(AA112*(H112*0.9))*12</f>
        <v>2958379.2</v>
      </c>
      <c r="D112" s="4">
        <f>IF(C112=0,"",(H112*150*12)+C112)</f>
        <v>3411979.2</v>
      </c>
      <c r="E112" s="4">
        <f>IFERROR(D112*0.5,"")</f>
        <v>1705989.6</v>
      </c>
      <c r="F112" s="4">
        <f>IFERROR(E112/0.06,"")</f>
        <v>28433160.000000004</v>
      </c>
      <c r="G112" s="4">
        <f>IFERROR(F112/H112,"")</f>
        <v>112830.00000000001</v>
      </c>
      <c r="H112" s="1">
        <v>252</v>
      </c>
      <c r="I112" s="1">
        <v>1990</v>
      </c>
      <c r="J112" t="s">
        <v>64</v>
      </c>
      <c r="K112" t="s">
        <v>734</v>
      </c>
      <c r="L112" t="s">
        <v>784</v>
      </c>
      <c r="M112" t="s">
        <v>1612</v>
      </c>
      <c r="N112" t="s">
        <v>1613</v>
      </c>
      <c r="O112" t="s">
        <v>784</v>
      </c>
      <c r="P112" s="1">
        <v>3</v>
      </c>
      <c r="Q112" t="s">
        <v>91</v>
      </c>
      <c r="R112" t="s">
        <v>70</v>
      </c>
      <c r="S112" t="s">
        <v>71</v>
      </c>
      <c r="U112" t="s">
        <v>72</v>
      </c>
      <c r="V112" t="s">
        <v>73</v>
      </c>
      <c r="W112" t="s">
        <v>74</v>
      </c>
      <c r="X112" t="s">
        <v>1614</v>
      </c>
      <c r="Y112" s="2">
        <v>631</v>
      </c>
      <c r="Z112" s="3">
        <v>1.68</v>
      </c>
      <c r="AA112" s="4">
        <v>1087</v>
      </c>
      <c r="AK112" s="5">
        <v>12.301600000000001</v>
      </c>
      <c r="AM112" s="1">
        <v>2015</v>
      </c>
      <c r="AN112" s="1">
        <v>3</v>
      </c>
      <c r="AO112" t="s">
        <v>81</v>
      </c>
      <c r="AP112" t="s">
        <v>82</v>
      </c>
      <c r="AQ112" t="s">
        <v>83</v>
      </c>
      <c r="AR112" s="3">
        <v>1.54</v>
      </c>
      <c r="AS112" s="4">
        <v>1363</v>
      </c>
      <c r="AT112" s="1">
        <v>841</v>
      </c>
      <c r="AX112" s="3">
        <v>550070.64</v>
      </c>
      <c r="AY112" s="3">
        <v>2.08</v>
      </c>
      <c r="AZ112" s="4">
        <v>979</v>
      </c>
      <c r="BA112" s="6">
        <v>472</v>
      </c>
      <c r="BB112" t="s">
        <v>84</v>
      </c>
      <c r="BD112" s="3">
        <v>1.59</v>
      </c>
      <c r="BE112" s="4">
        <v>1068</v>
      </c>
      <c r="BF112" s="1">
        <v>671</v>
      </c>
      <c r="BG112" s="1">
        <v>147</v>
      </c>
      <c r="BH112" s="1">
        <v>37</v>
      </c>
      <c r="BL112" t="s">
        <v>131</v>
      </c>
    </row>
    <row r="113" spans="1:64" x14ac:dyDescent="0.25">
      <c r="A113" t="s">
        <v>1610</v>
      </c>
      <c r="B113" t="s">
        <v>1611</v>
      </c>
      <c r="C113" s="4">
        <f>(AA113*(H113*0.9))*12</f>
        <v>2958379.2</v>
      </c>
      <c r="D113" s="4">
        <f>IF(C113=0,"",(H113*150*12)+C113)</f>
        <v>3411979.2</v>
      </c>
      <c r="E113" s="4">
        <f>IFERROR(D113*0.5,"")</f>
        <v>1705989.6</v>
      </c>
      <c r="F113" s="4">
        <f>IFERROR(E113/0.06,"")</f>
        <v>28433160.000000004</v>
      </c>
      <c r="G113" s="4">
        <f>IFERROR(F113/H113,"")</f>
        <v>112830.00000000001</v>
      </c>
      <c r="H113" s="1">
        <v>252</v>
      </c>
      <c r="I113" s="1">
        <v>1990</v>
      </c>
      <c r="J113" t="s">
        <v>64</v>
      </c>
      <c r="K113" t="s">
        <v>734</v>
      </c>
      <c r="L113" t="s">
        <v>784</v>
      </c>
      <c r="M113" t="s">
        <v>1612</v>
      </c>
      <c r="N113" t="s">
        <v>1613</v>
      </c>
      <c r="O113" t="s">
        <v>784</v>
      </c>
      <c r="P113" s="1">
        <v>3</v>
      </c>
      <c r="Q113" t="s">
        <v>91</v>
      </c>
      <c r="R113" t="s">
        <v>70</v>
      </c>
      <c r="S113" t="s">
        <v>71</v>
      </c>
      <c r="U113" t="s">
        <v>72</v>
      </c>
      <c r="V113" t="s">
        <v>73</v>
      </c>
      <c r="W113" t="s">
        <v>74</v>
      </c>
      <c r="X113" t="s">
        <v>1614</v>
      </c>
      <c r="Y113" s="2">
        <v>631</v>
      </c>
      <c r="Z113" s="3">
        <v>1.68</v>
      </c>
      <c r="AA113" s="4">
        <v>1087</v>
      </c>
      <c r="AK113" s="5">
        <v>12.301600000000001</v>
      </c>
      <c r="AM113" s="1">
        <v>2015</v>
      </c>
      <c r="AN113" s="1">
        <v>3</v>
      </c>
      <c r="AO113" t="s">
        <v>81</v>
      </c>
      <c r="AP113" t="s">
        <v>82</v>
      </c>
      <c r="AQ113" t="s">
        <v>83</v>
      </c>
      <c r="AR113" s="3">
        <v>1.54</v>
      </c>
      <c r="AS113" s="4">
        <v>1363</v>
      </c>
      <c r="AT113" s="1">
        <v>841</v>
      </c>
      <c r="AX113" s="3">
        <v>550070.64</v>
      </c>
      <c r="AY113" s="3">
        <v>2.08</v>
      </c>
      <c r="AZ113" s="4">
        <v>979</v>
      </c>
      <c r="BA113" s="6">
        <v>472</v>
      </c>
      <c r="BB113" t="s">
        <v>84</v>
      </c>
      <c r="BD113" s="3">
        <v>1.59</v>
      </c>
      <c r="BE113" s="4">
        <v>1068</v>
      </c>
      <c r="BF113" s="1">
        <v>671</v>
      </c>
      <c r="BG113" s="1">
        <v>147</v>
      </c>
      <c r="BH113" s="1">
        <v>37</v>
      </c>
      <c r="BL113" t="s">
        <v>131</v>
      </c>
    </row>
    <row r="114" spans="1:64" x14ac:dyDescent="0.25">
      <c r="A114" t="s">
        <v>975</v>
      </c>
      <c r="B114" t="s">
        <v>976</v>
      </c>
      <c r="C114" s="4">
        <f>(AA114*(H114*0.9))*12</f>
        <v>4021617.6000000006</v>
      </c>
      <c r="D114" s="4">
        <f>IF(C114=0,"",(H114*150*12)+C114)</f>
        <v>4635417.6000000006</v>
      </c>
      <c r="E114" s="4">
        <f>IFERROR(D114*0.5,"")</f>
        <v>2317708.8000000003</v>
      </c>
      <c r="F114" s="4">
        <f>IFERROR(E114/0.06,"")</f>
        <v>38628480.000000007</v>
      </c>
      <c r="G114" s="4">
        <f>IFERROR(F114/H114,"")</f>
        <v>113280.00000000003</v>
      </c>
      <c r="H114" s="1">
        <v>341</v>
      </c>
      <c r="I114" s="1">
        <v>1987</v>
      </c>
      <c r="J114" t="s">
        <v>64</v>
      </c>
      <c r="K114" t="s">
        <v>156</v>
      </c>
      <c r="L114" t="s">
        <v>977</v>
      </c>
      <c r="M114" t="s">
        <v>978</v>
      </c>
      <c r="N114" t="s">
        <v>979</v>
      </c>
      <c r="O114" t="s">
        <v>977</v>
      </c>
      <c r="P114" s="1">
        <v>3</v>
      </c>
      <c r="Q114" t="s">
        <v>91</v>
      </c>
      <c r="R114" t="s">
        <v>70</v>
      </c>
      <c r="S114" t="s">
        <v>71</v>
      </c>
      <c r="U114" t="s">
        <v>72</v>
      </c>
      <c r="V114" t="s">
        <v>73</v>
      </c>
      <c r="W114" t="s">
        <v>74</v>
      </c>
      <c r="X114" t="s">
        <v>461</v>
      </c>
      <c r="Y114" s="2">
        <v>703</v>
      </c>
      <c r="Z114" s="3">
        <v>1.55</v>
      </c>
      <c r="AA114" s="4">
        <v>1092</v>
      </c>
      <c r="AK114" s="5">
        <v>10.8504</v>
      </c>
      <c r="AM114" s="1">
        <v>2019</v>
      </c>
      <c r="AN114" s="1">
        <v>3</v>
      </c>
      <c r="AO114" t="s">
        <v>81</v>
      </c>
      <c r="AP114" t="s">
        <v>82</v>
      </c>
      <c r="AQ114" t="s">
        <v>83</v>
      </c>
      <c r="AR114" s="3">
        <v>1.56</v>
      </c>
      <c r="AS114" s="4">
        <v>1480</v>
      </c>
      <c r="AT114" s="1">
        <v>946</v>
      </c>
      <c r="AX114" s="3">
        <v>838136.26</v>
      </c>
      <c r="BB114" t="s">
        <v>84</v>
      </c>
      <c r="BD114" s="3">
        <v>1.55</v>
      </c>
      <c r="BE114" s="4">
        <v>963</v>
      </c>
      <c r="BF114" s="1">
        <v>622</v>
      </c>
      <c r="BG114" s="1">
        <v>256</v>
      </c>
      <c r="BH114" s="1">
        <v>85</v>
      </c>
      <c r="BK114" t="s">
        <v>980</v>
      </c>
      <c r="BL114" t="s">
        <v>104</v>
      </c>
    </row>
    <row r="115" spans="1:64" x14ac:dyDescent="0.25">
      <c r="A115" t="s">
        <v>852</v>
      </c>
      <c r="B115" t="s">
        <v>853</v>
      </c>
      <c r="C115" s="4">
        <f>(AA115*(H115*0.9))*12</f>
        <v>5902200</v>
      </c>
      <c r="D115" s="4">
        <f>IF(C115=0,"",(H115*150*12)+C115)</f>
        <v>6802200</v>
      </c>
      <c r="E115" s="4">
        <f>IFERROR(D115*0.5,"")</f>
        <v>3401100</v>
      </c>
      <c r="F115" s="4">
        <f>IFERROR(E115/0.06,"")</f>
        <v>56685000</v>
      </c>
      <c r="G115" s="4">
        <f>IFERROR(F115/H115,"")</f>
        <v>113370</v>
      </c>
      <c r="H115" s="1">
        <v>500</v>
      </c>
      <c r="I115" s="1">
        <v>1985</v>
      </c>
      <c r="J115" t="s">
        <v>64</v>
      </c>
      <c r="K115" t="s">
        <v>256</v>
      </c>
      <c r="L115" t="s">
        <v>854</v>
      </c>
      <c r="M115" t="s">
        <v>855</v>
      </c>
      <c r="N115" t="s">
        <v>856</v>
      </c>
      <c r="O115" t="s">
        <v>854</v>
      </c>
      <c r="P115" s="1">
        <v>3</v>
      </c>
      <c r="Q115" t="s">
        <v>91</v>
      </c>
      <c r="R115" t="s">
        <v>70</v>
      </c>
      <c r="S115" t="s">
        <v>71</v>
      </c>
      <c r="U115" t="s">
        <v>72</v>
      </c>
      <c r="V115" t="s">
        <v>152</v>
      </c>
      <c r="W115" t="s">
        <v>74</v>
      </c>
      <c r="X115" t="s">
        <v>780</v>
      </c>
      <c r="Y115" s="2">
        <v>841</v>
      </c>
      <c r="Z115" s="3">
        <v>1.3</v>
      </c>
      <c r="AA115" s="4">
        <v>1093</v>
      </c>
      <c r="AK115" s="5">
        <v>6</v>
      </c>
      <c r="AM115" s="1">
        <v>1996</v>
      </c>
      <c r="AN115" s="1">
        <v>2</v>
      </c>
      <c r="AO115" t="s">
        <v>81</v>
      </c>
      <c r="AP115" t="s">
        <v>82</v>
      </c>
      <c r="AQ115" t="s">
        <v>83</v>
      </c>
      <c r="AR115" s="3">
        <v>1.29</v>
      </c>
      <c r="AS115" s="4">
        <v>1411</v>
      </c>
      <c r="AT115" s="1">
        <v>1096</v>
      </c>
      <c r="AX115" s="3">
        <v>665688</v>
      </c>
      <c r="BB115" t="s">
        <v>84</v>
      </c>
      <c r="BD115" s="3">
        <v>1.31</v>
      </c>
      <c r="BE115" s="4">
        <v>959</v>
      </c>
      <c r="BF115" s="1">
        <v>734</v>
      </c>
      <c r="BG115" s="1">
        <v>352</v>
      </c>
      <c r="BH115" s="1">
        <v>148</v>
      </c>
    </row>
    <row r="116" spans="1:64" x14ac:dyDescent="0.25">
      <c r="A116" t="s">
        <v>1755</v>
      </c>
      <c r="B116" t="s">
        <v>1756</v>
      </c>
      <c r="C116" s="4">
        <f>(AA116*(H116*0.9))*12</f>
        <v>3949884</v>
      </c>
      <c r="D116" s="4">
        <f>IF(C116=0,"",(H116*150*12)+C116)</f>
        <v>4551084</v>
      </c>
      <c r="E116" s="4">
        <f>IFERROR(D116*0.5,"")</f>
        <v>2275542</v>
      </c>
      <c r="F116" s="4">
        <f>IFERROR(E116/0.06,"")</f>
        <v>37925700</v>
      </c>
      <c r="G116" s="4">
        <f>IFERROR(F116/H116,"")</f>
        <v>113550</v>
      </c>
      <c r="H116" s="1">
        <v>334</v>
      </c>
      <c r="I116" s="1">
        <v>1985</v>
      </c>
      <c r="J116" t="s">
        <v>64</v>
      </c>
      <c r="K116" t="s">
        <v>123</v>
      </c>
      <c r="L116" t="s">
        <v>390</v>
      </c>
      <c r="M116" t="s">
        <v>1757</v>
      </c>
      <c r="N116" t="s">
        <v>390</v>
      </c>
      <c r="O116" t="s">
        <v>390</v>
      </c>
      <c r="P116" s="1">
        <v>3</v>
      </c>
      <c r="Q116" t="s">
        <v>91</v>
      </c>
      <c r="R116" t="s">
        <v>70</v>
      </c>
      <c r="S116" t="s">
        <v>71</v>
      </c>
      <c r="U116" t="s">
        <v>72</v>
      </c>
      <c r="V116" t="s">
        <v>129</v>
      </c>
      <c r="W116" t="s">
        <v>74</v>
      </c>
      <c r="X116" t="s">
        <v>1758</v>
      </c>
      <c r="Y116" s="2">
        <v>697</v>
      </c>
      <c r="Z116" s="3">
        <v>1.57</v>
      </c>
      <c r="AA116" s="4">
        <v>1095</v>
      </c>
      <c r="AK116" s="5">
        <v>5.6886000000000001</v>
      </c>
      <c r="AM116" s="1">
        <v>2012</v>
      </c>
      <c r="AN116" s="1">
        <v>2</v>
      </c>
      <c r="AO116" t="s">
        <v>81</v>
      </c>
      <c r="AP116" t="s">
        <v>82</v>
      </c>
      <c r="AQ116" t="s">
        <v>83</v>
      </c>
      <c r="AR116" s="3">
        <v>1.44</v>
      </c>
      <c r="AS116" s="4">
        <v>1309</v>
      </c>
      <c r="AT116" s="1">
        <v>910</v>
      </c>
      <c r="AX116" s="3">
        <v>639398.48</v>
      </c>
      <c r="BB116" t="s">
        <v>84</v>
      </c>
      <c r="BD116" s="3">
        <v>1.72</v>
      </c>
      <c r="BE116" s="4">
        <v>949</v>
      </c>
      <c r="BF116" s="1">
        <v>551</v>
      </c>
      <c r="BG116" s="1">
        <v>198</v>
      </c>
      <c r="BH116" s="1">
        <v>136</v>
      </c>
    </row>
    <row r="117" spans="1:64" x14ac:dyDescent="0.25">
      <c r="A117" t="s">
        <v>1203</v>
      </c>
      <c r="B117" t="s">
        <v>1204</v>
      </c>
      <c r="C117" s="4">
        <f>(AA117*(H117*0.9))*12</f>
        <v>5156136.0000000009</v>
      </c>
      <c r="D117" s="4">
        <f>IF(C117=0,"",(H117*150*12)+C117)</f>
        <v>5940936.0000000009</v>
      </c>
      <c r="E117" s="4">
        <f>IFERROR(D117*0.5,"")</f>
        <v>2970468.0000000005</v>
      </c>
      <c r="F117" s="4">
        <f>IFERROR(E117/0.06,"")</f>
        <v>49507800.000000007</v>
      </c>
      <c r="G117" s="4">
        <f>IFERROR(F117/H117,"")</f>
        <v>113550.00000000001</v>
      </c>
      <c r="H117" s="1">
        <v>436</v>
      </c>
      <c r="I117" s="1">
        <v>1988</v>
      </c>
      <c r="J117" t="s">
        <v>64</v>
      </c>
      <c r="K117" t="s">
        <v>470</v>
      </c>
      <c r="L117" t="s">
        <v>1205</v>
      </c>
      <c r="M117" t="s">
        <v>1206</v>
      </c>
      <c r="N117" t="s">
        <v>1207</v>
      </c>
      <c r="O117" t="s">
        <v>1205</v>
      </c>
      <c r="P117" s="1">
        <v>3</v>
      </c>
      <c r="Q117" t="s">
        <v>69</v>
      </c>
      <c r="R117" t="s">
        <v>70</v>
      </c>
      <c r="S117" t="s">
        <v>71</v>
      </c>
      <c r="U117" t="s">
        <v>72</v>
      </c>
      <c r="V117" t="s">
        <v>73</v>
      </c>
      <c r="W117" t="s">
        <v>74</v>
      </c>
      <c r="X117" t="s">
        <v>1208</v>
      </c>
      <c r="Y117" s="2">
        <v>784</v>
      </c>
      <c r="Z117" s="3">
        <v>1.4</v>
      </c>
      <c r="AA117" s="4">
        <v>1095</v>
      </c>
      <c r="AK117" s="5">
        <v>6.4219999999999997</v>
      </c>
      <c r="AN117" s="1">
        <v>3</v>
      </c>
      <c r="AO117" t="s">
        <v>81</v>
      </c>
      <c r="AP117" t="s">
        <v>82</v>
      </c>
      <c r="AQ117" t="s">
        <v>83</v>
      </c>
      <c r="AR117" s="3">
        <v>1.31</v>
      </c>
      <c r="AS117" s="4">
        <v>1235</v>
      </c>
      <c r="AT117" s="1">
        <v>941</v>
      </c>
      <c r="AU117" s="3">
        <v>1.35</v>
      </c>
      <c r="AV117" s="4">
        <v>1503</v>
      </c>
      <c r="AW117" s="1">
        <v>1116</v>
      </c>
      <c r="AX117" s="3">
        <v>877249.28</v>
      </c>
      <c r="BB117" t="s">
        <v>84</v>
      </c>
      <c r="BD117" s="3">
        <v>1.45</v>
      </c>
      <c r="BE117" s="4">
        <v>958</v>
      </c>
      <c r="BF117" s="1">
        <v>663</v>
      </c>
      <c r="BG117" s="1">
        <v>291</v>
      </c>
      <c r="BH117" s="1">
        <v>73</v>
      </c>
      <c r="BI117" s="1">
        <v>72</v>
      </c>
      <c r="BK117" t="s">
        <v>145</v>
      </c>
      <c r="BL117" t="s">
        <v>104</v>
      </c>
    </row>
    <row r="118" spans="1:64" x14ac:dyDescent="0.25">
      <c r="A118" t="s">
        <v>1229</v>
      </c>
      <c r="B118" t="s">
        <v>1230</v>
      </c>
      <c r="C118" s="4">
        <f>(AA118*(H118*0.9))*12</f>
        <v>4273084.8000000007</v>
      </c>
      <c r="D118" s="4">
        <f>IF(C118=0,"",(H118*150*12)+C118)</f>
        <v>4922884.8000000007</v>
      </c>
      <c r="E118" s="4">
        <f>IFERROR(D118*0.5,"")</f>
        <v>2461442.4000000004</v>
      </c>
      <c r="F118" s="4">
        <f>IFERROR(E118/0.06,"")</f>
        <v>41024040.000000007</v>
      </c>
      <c r="G118" s="4">
        <f>IFERROR(F118/H118,"")</f>
        <v>113640.00000000001</v>
      </c>
      <c r="H118" s="1">
        <v>361</v>
      </c>
      <c r="I118" s="1">
        <v>1987</v>
      </c>
      <c r="J118" t="s">
        <v>64</v>
      </c>
      <c r="K118" t="s">
        <v>269</v>
      </c>
      <c r="L118" t="s">
        <v>1231</v>
      </c>
      <c r="M118" t="s">
        <v>1232</v>
      </c>
      <c r="N118" t="s">
        <v>1233</v>
      </c>
      <c r="O118" t="s">
        <v>1231</v>
      </c>
      <c r="P118" s="1">
        <v>3</v>
      </c>
      <c r="Q118" t="s">
        <v>91</v>
      </c>
      <c r="R118" t="s">
        <v>70</v>
      </c>
      <c r="S118" t="s">
        <v>71</v>
      </c>
      <c r="U118" t="s">
        <v>72</v>
      </c>
      <c r="V118" t="s">
        <v>73</v>
      </c>
      <c r="W118" t="s">
        <v>74</v>
      </c>
      <c r="X118" t="s">
        <v>1234</v>
      </c>
      <c r="Y118" s="2">
        <v>651</v>
      </c>
      <c r="Z118" s="3">
        <v>1.68</v>
      </c>
      <c r="AA118" s="4">
        <v>1096</v>
      </c>
      <c r="AK118" s="5">
        <v>15.512499999999999</v>
      </c>
      <c r="AM118" s="1">
        <v>2003</v>
      </c>
      <c r="AN118" s="1">
        <v>3</v>
      </c>
      <c r="AO118" t="s">
        <v>81</v>
      </c>
      <c r="AP118" t="s">
        <v>82</v>
      </c>
      <c r="AQ118" t="s">
        <v>83</v>
      </c>
      <c r="AR118" s="3">
        <v>1.66</v>
      </c>
      <c r="AS118" s="4">
        <v>1602</v>
      </c>
      <c r="AT118" s="1">
        <v>967</v>
      </c>
      <c r="AX118" s="3">
        <v>198454.96</v>
      </c>
      <c r="BB118" t="s">
        <v>84</v>
      </c>
      <c r="BD118" s="3">
        <v>1.69</v>
      </c>
      <c r="BE118" s="4">
        <v>942</v>
      </c>
      <c r="BF118" s="1">
        <v>556</v>
      </c>
      <c r="BG118" s="1">
        <v>277</v>
      </c>
      <c r="BH118" s="1">
        <v>84</v>
      </c>
      <c r="BK118" t="s">
        <v>1235</v>
      </c>
      <c r="BL118" t="s">
        <v>104</v>
      </c>
    </row>
    <row r="119" spans="1:64" x14ac:dyDescent="0.25">
      <c r="A119" t="s">
        <v>209</v>
      </c>
      <c r="B119" t="s">
        <v>210</v>
      </c>
      <c r="C119" s="4">
        <f>(AA119*(H119*0.9))*12</f>
        <v>2682439.2000000002</v>
      </c>
      <c r="D119" s="4">
        <f>IF(C119=0,"",(H119*150*12)+C119)</f>
        <v>3089239.2</v>
      </c>
      <c r="E119" s="4">
        <f>IFERROR(D119*0.5,"")</f>
        <v>1544619.6</v>
      </c>
      <c r="F119" s="4">
        <f>IFERROR(E119/0.06,"")</f>
        <v>25743660.000000004</v>
      </c>
      <c r="G119" s="4">
        <f>IFERROR(F119/H119,"")</f>
        <v>113910.00000000001</v>
      </c>
      <c r="H119" s="1">
        <v>226</v>
      </c>
      <c r="I119" s="1">
        <v>1985</v>
      </c>
      <c r="J119" t="s">
        <v>64</v>
      </c>
      <c r="K119" t="s">
        <v>211</v>
      </c>
      <c r="L119" t="s">
        <v>212</v>
      </c>
      <c r="M119" t="s">
        <v>213</v>
      </c>
      <c r="N119" t="s">
        <v>214</v>
      </c>
      <c r="O119" t="s">
        <v>212</v>
      </c>
      <c r="P119" s="1">
        <v>3</v>
      </c>
      <c r="Q119" t="s">
        <v>91</v>
      </c>
      <c r="R119" t="s">
        <v>70</v>
      </c>
      <c r="S119" t="s">
        <v>71</v>
      </c>
      <c r="U119" t="s">
        <v>72</v>
      </c>
      <c r="V119" t="s">
        <v>215</v>
      </c>
      <c r="W119" t="s">
        <v>74</v>
      </c>
      <c r="X119" t="s">
        <v>216</v>
      </c>
      <c r="Y119" s="2">
        <v>865</v>
      </c>
      <c r="Z119" s="3">
        <v>1.27</v>
      </c>
      <c r="AA119" s="4">
        <v>1099</v>
      </c>
      <c r="AK119" s="5">
        <v>16.371700000000001</v>
      </c>
      <c r="AN119" s="1">
        <v>3</v>
      </c>
      <c r="AO119" t="s">
        <v>81</v>
      </c>
      <c r="AP119" t="s">
        <v>82</v>
      </c>
      <c r="AQ119" t="s">
        <v>83</v>
      </c>
      <c r="AR119" s="3">
        <v>1.28</v>
      </c>
      <c r="AS119" s="4">
        <v>1156</v>
      </c>
      <c r="AT119" s="1">
        <v>900</v>
      </c>
      <c r="AX119" s="3">
        <v>559754.81000000006</v>
      </c>
      <c r="BB119" t="s">
        <v>84</v>
      </c>
      <c r="BD119" s="3">
        <v>1.26</v>
      </c>
      <c r="BE119" s="4">
        <v>1063</v>
      </c>
      <c r="BF119" s="1">
        <v>844</v>
      </c>
      <c r="BG119" s="1">
        <v>140</v>
      </c>
      <c r="BH119" s="1">
        <v>86</v>
      </c>
    </row>
    <row r="120" spans="1:64" x14ac:dyDescent="0.25">
      <c r="A120" t="s">
        <v>3863</v>
      </c>
      <c r="B120" t="s">
        <v>3864</v>
      </c>
      <c r="C120" s="4">
        <f>(AA120*(H120*0.9))*12</f>
        <v>1663200</v>
      </c>
      <c r="D120" s="4">
        <f>IF(C120=0,"",(H120*150*12)+C120)</f>
        <v>1915200</v>
      </c>
      <c r="E120" s="4">
        <f>IFERROR(D120*0.5,"")</f>
        <v>957600</v>
      </c>
      <c r="F120" s="4">
        <f>IFERROR(E120/0.06,"")</f>
        <v>15960000</v>
      </c>
      <c r="G120" s="4">
        <f>IFERROR(F120/H120,"")</f>
        <v>114000</v>
      </c>
      <c r="H120" s="1">
        <v>140</v>
      </c>
      <c r="I120" s="1">
        <v>1998</v>
      </c>
      <c r="J120" t="s">
        <v>64</v>
      </c>
      <c r="K120" t="s">
        <v>107</v>
      </c>
      <c r="L120" t="s">
        <v>2296</v>
      </c>
      <c r="M120" t="s">
        <v>3865</v>
      </c>
      <c r="N120" t="s">
        <v>3866</v>
      </c>
      <c r="O120" t="s">
        <v>2296</v>
      </c>
      <c r="P120" s="1">
        <v>3</v>
      </c>
      <c r="Q120" t="s">
        <v>69</v>
      </c>
      <c r="R120" t="s">
        <v>70</v>
      </c>
      <c r="S120" t="s">
        <v>71</v>
      </c>
      <c r="T120" t="s">
        <v>118</v>
      </c>
      <c r="U120" t="s">
        <v>72</v>
      </c>
      <c r="V120" t="s">
        <v>110</v>
      </c>
      <c r="W120" t="s">
        <v>74</v>
      </c>
      <c r="X120" t="s">
        <v>3867</v>
      </c>
      <c r="Y120" s="2">
        <v>739</v>
      </c>
      <c r="Z120" s="3">
        <v>1.49</v>
      </c>
      <c r="AA120" s="4">
        <v>1100</v>
      </c>
      <c r="AK120" s="5">
        <v>2.8571</v>
      </c>
      <c r="AN120" s="1">
        <v>2</v>
      </c>
      <c r="AO120" t="s">
        <v>81</v>
      </c>
      <c r="AP120" t="s">
        <v>82</v>
      </c>
      <c r="AQ120" t="s">
        <v>83</v>
      </c>
      <c r="AR120" s="3">
        <v>1.33</v>
      </c>
      <c r="AS120" s="4">
        <v>1221</v>
      </c>
      <c r="AT120" s="1">
        <v>917</v>
      </c>
      <c r="AX120" s="3">
        <v>173499.03</v>
      </c>
      <c r="BB120" t="s">
        <v>84</v>
      </c>
      <c r="BD120" s="3">
        <v>1.58</v>
      </c>
      <c r="BE120" s="4">
        <v>1048</v>
      </c>
      <c r="BF120" s="1">
        <v>664</v>
      </c>
      <c r="BG120" s="1">
        <v>98</v>
      </c>
      <c r="BH120" s="1">
        <v>42</v>
      </c>
      <c r="BK120" t="s">
        <v>386</v>
      </c>
      <c r="BL120" t="s">
        <v>104</v>
      </c>
    </row>
    <row r="121" spans="1:64" x14ac:dyDescent="0.25">
      <c r="A121" t="s">
        <v>254</v>
      </c>
      <c r="B121" t="s">
        <v>255</v>
      </c>
      <c r="C121" s="4">
        <f>(AA121*(H121*0.9))*12</f>
        <v>3910809.5999999996</v>
      </c>
      <c r="D121" s="4">
        <f>IF(C121=0,"",(H121*150*12)+C121)</f>
        <v>4501209.5999999996</v>
      </c>
      <c r="E121" s="4">
        <f>IFERROR(D121*0.5,"")</f>
        <v>2250604.7999999998</v>
      </c>
      <c r="F121" s="4">
        <f>IFERROR(E121/0.06,"")</f>
        <v>37510080</v>
      </c>
      <c r="G121" s="4">
        <f>IFERROR(F121/H121,"")</f>
        <v>114360</v>
      </c>
      <c r="H121" s="1">
        <v>328</v>
      </c>
      <c r="I121" s="1">
        <v>1986</v>
      </c>
      <c r="J121" t="s">
        <v>64</v>
      </c>
      <c r="K121" t="s">
        <v>256</v>
      </c>
      <c r="L121" t="s">
        <v>257</v>
      </c>
      <c r="M121" t="s">
        <v>258</v>
      </c>
      <c r="O121" t="s">
        <v>257</v>
      </c>
      <c r="P121" s="1">
        <v>3</v>
      </c>
      <c r="Q121" t="s">
        <v>91</v>
      </c>
      <c r="R121" t="s">
        <v>70</v>
      </c>
      <c r="S121" t="s">
        <v>71</v>
      </c>
      <c r="U121" t="s">
        <v>72</v>
      </c>
      <c r="V121" t="s">
        <v>259</v>
      </c>
      <c r="W121" t="s">
        <v>74</v>
      </c>
      <c r="X121" t="s">
        <v>260</v>
      </c>
      <c r="Y121" s="2">
        <v>720</v>
      </c>
      <c r="Z121" s="3">
        <v>1.53</v>
      </c>
      <c r="AA121" s="4">
        <v>1104</v>
      </c>
      <c r="AK121" s="5">
        <v>6.0975999999999999</v>
      </c>
      <c r="AN121" s="1">
        <v>2</v>
      </c>
      <c r="AO121" t="s">
        <v>81</v>
      </c>
      <c r="AP121" t="s">
        <v>82</v>
      </c>
      <c r="AQ121" t="s">
        <v>83</v>
      </c>
      <c r="AR121" s="3">
        <v>1.2</v>
      </c>
      <c r="AS121" s="4">
        <v>1164</v>
      </c>
      <c r="AT121" s="1">
        <v>968</v>
      </c>
      <c r="AX121" s="3">
        <v>610384.54</v>
      </c>
      <c r="BB121" t="s">
        <v>84</v>
      </c>
      <c r="BD121" s="3">
        <v>1.65</v>
      </c>
      <c r="BE121" s="4">
        <v>1090</v>
      </c>
      <c r="BF121" s="1">
        <v>661</v>
      </c>
      <c r="BG121" s="1">
        <v>264</v>
      </c>
      <c r="BH121" s="1">
        <v>64</v>
      </c>
      <c r="BK121" t="s">
        <v>261</v>
      </c>
      <c r="BL121" t="s">
        <v>131</v>
      </c>
    </row>
    <row r="122" spans="1:64" x14ac:dyDescent="0.25">
      <c r="A122" t="s">
        <v>1744</v>
      </c>
      <c r="B122" t="s">
        <v>1745</v>
      </c>
      <c r="C122" s="4">
        <f>(AA122*(H122*0.9))*12</f>
        <v>655776</v>
      </c>
      <c r="D122" s="4">
        <f>IF(C122=0,"",(H122*150*12)+C122)</f>
        <v>754776</v>
      </c>
      <c r="E122" s="4">
        <f>IFERROR(D122*0.5,"")</f>
        <v>377388</v>
      </c>
      <c r="F122" s="4">
        <f>IFERROR(E122/0.06,"")</f>
        <v>6289800</v>
      </c>
      <c r="G122" s="4">
        <f>IFERROR(F122/H122,"")</f>
        <v>114360</v>
      </c>
      <c r="H122" s="1">
        <v>55</v>
      </c>
      <c r="I122" s="1">
        <v>1985</v>
      </c>
      <c r="J122" t="s">
        <v>64</v>
      </c>
      <c r="K122" t="s">
        <v>1302</v>
      </c>
      <c r="L122" t="s">
        <v>1746</v>
      </c>
      <c r="M122" t="s">
        <v>1747</v>
      </c>
      <c r="N122" t="s">
        <v>1748</v>
      </c>
      <c r="O122" t="s">
        <v>1746</v>
      </c>
      <c r="P122" s="1">
        <v>2</v>
      </c>
      <c r="Q122" t="s">
        <v>69</v>
      </c>
      <c r="R122" t="s">
        <v>70</v>
      </c>
      <c r="S122" t="s">
        <v>71</v>
      </c>
      <c r="U122" t="s">
        <v>72</v>
      </c>
      <c r="V122" t="s">
        <v>523</v>
      </c>
      <c r="W122" t="s">
        <v>74</v>
      </c>
      <c r="X122" t="s">
        <v>1749</v>
      </c>
      <c r="Y122" s="2">
        <v>782</v>
      </c>
      <c r="Z122" s="3">
        <v>1.41</v>
      </c>
      <c r="AA122" s="4">
        <v>1104</v>
      </c>
      <c r="AK122" s="5">
        <v>5.4545000000000003</v>
      </c>
      <c r="AM122" s="1">
        <v>2019</v>
      </c>
      <c r="AN122" s="1">
        <v>2</v>
      </c>
      <c r="AO122" t="s">
        <v>81</v>
      </c>
      <c r="AP122" t="s">
        <v>82</v>
      </c>
      <c r="AQ122" t="s">
        <v>83</v>
      </c>
      <c r="AR122" s="3">
        <v>1.4</v>
      </c>
      <c r="AS122" s="4">
        <v>1152</v>
      </c>
      <c r="AT122" s="1">
        <v>823</v>
      </c>
      <c r="AX122" s="3">
        <v>128721.65</v>
      </c>
      <c r="BB122" t="s">
        <v>84</v>
      </c>
      <c r="BD122" s="3">
        <v>1.44</v>
      </c>
      <c r="BE122" s="4">
        <v>998</v>
      </c>
      <c r="BF122" s="1">
        <v>693</v>
      </c>
      <c r="BG122" s="1">
        <v>17</v>
      </c>
      <c r="BH122" s="1">
        <v>38</v>
      </c>
      <c r="BL122" t="s">
        <v>131</v>
      </c>
    </row>
    <row r="123" spans="1:64" x14ac:dyDescent="0.25">
      <c r="A123" t="s">
        <v>897</v>
      </c>
      <c r="B123" t="s">
        <v>898</v>
      </c>
      <c r="C123" s="4">
        <f>(AA123*(H123*0.9))*12</f>
        <v>3055104</v>
      </c>
      <c r="D123" s="4">
        <f>IF(C123=0,"",(H123*150*12)+C123)</f>
        <v>3515904</v>
      </c>
      <c r="E123" s="4">
        <f>IFERROR(D123*0.5,"")</f>
        <v>1757952</v>
      </c>
      <c r="F123" s="4">
        <f>IFERROR(E123/0.06,"")</f>
        <v>29299200</v>
      </c>
      <c r="G123" s="4">
        <f>IFERROR(F123/H123,"")</f>
        <v>114450</v>
      </c>
      <c r="H123" s="1">
        <v>256</v>
      </c>
      <c r="I123" s="1">
        <v>1985</v>
      </c>
      <c r="J123" t="s">
        <v>64</v>
      </c>
      <c r="K123" t="s">
        <v>148</v>
      </c>
      <c r="L123" t="s">
        <v>452</v>
      </c>
      <c r="M123" t="s">
        <v>899</v>
      </c>
      <c r="N123" t="s">
        <v>900</v>
      </c>
      <c r="O123" t="s">
        <v>452</v>
      </c>
      <c r="P123" s="1">
        <v>3</v>
      </c>
      <c r="Q123" t="s">
        <v>91</v>
      </c>
      <c r="R123" t="s">
        <v>70</v>
      </c>
      <c r="S123" t="s">
        <v>71</v>
      </c>
      <c r="U123" t="s">
        <v>72</v>
      </c>
      <c r="V123" t="s">
        <v>152</v>
      </c>
      <c r="W123" t="s">
        <v>74</v>
      </c>
      <c r="X123" t="s">
        <v>901</v>
      </c>
      <c r="Y123" s="2">
        <v>851</v>
      </c>
      <c r="Z123" s="3">
        <v>1.3</v>
      </c>
      <c r="AA123" s="4">
        <v>1105</v>
      </c>
      <c r="AK123" s="5">
        <v>9.375</v>
      </c>
      <c r="AN123" s="1">
        <v>3</v>
      </c>
      <c r="AO123" t="s">
        <v>81</v>
      </c>
      <c r="AP123" t="s">
        <v>82</v>
      </c>
      <c r="AQ123" t="s">
        <v>83</v>
      </c>
      <c r="AR123" s="3">
        <v>1.25</v>
      </c>
      <c r="AS123" s="4">
        <v>1257</v>
      </c>
      <c r="AT123" s="1">
        <v>1003</v>
      </c>
      <c r="AX123" s="3">
        <v>772427.56</v>
      </c>
      <c r="BB123" t="s">
        <v>84</v>
      </c>
      <c r="BD123" s="3">
        <v>1.37</v>
      </c>
      <c r="BE123" s="4">
        <v>933</v>
      </c>
      <c r="BF123" s="1">
        <v>681</v>
      </c>
      <c r="BG123" s="1">
        <v>120</v>
      </c>
      <c r="BH123" s="1">
        <v>136</v>
      </c>
      <c r="BL123" t="s">
        <v>131</v>
      </c>
    </row>
    <row r="124" spans="1:64" x14ac:dyDescent="0.25">
      <c r="A124" t="s">
        <v>2021</v>
      </c>
      <c r="B124" t="s">
        <v>2022</v>
      </c>
      <c r="C124" s="4">
        <f>(AA124*(H124*0.9))*12</f>
        <v>1813968</v>
      </c>
      <c r="D124" s="4">
        <f>IF(C124=0,"",(H124*150*12)+C124)</f>
        <v>2087568</v>
      </c>
      <c r="E124" s="4">
        <f>IFERROR(D124*0.5,"")</f>
        <v>1043784</v>
      </c>
      <c r="F124" s="4">
        <f>IFERROR(E124/0.06,"")</f>
        <v>17396400</v>
      </c>
      <c r="G124" s="4">
        <f>IFERROR(F124/H124,"")</f>
        <v>114450</v>
      </c>
      <c r="H124" s="1">
        <v>152</v>
      </c>
      <c r="I124" s="1">
        <v>1986</v>
      </c>
      <c r="J124" t="s">
        <v>64</v>
      </c>
      <c r="K124" t="s">
        <v>156</v>
      </c>
      <c r="L124" t="s">
        <v>1000</v>
      </c>
      <c r="M124" t="s">
        <v>2023</v>
      </c>
      <c r="O124" t="s">
        <v>1000</v>
      </c>
      <c r="P124" s="1">
        <v>3</v>
      </c>
      <c r="Q124" t="s">
        <v>69</v>
      </c>
      <c r="R124" t="s">
        <v>70</v>
      </c>
      <c r="S124" t="s">
        <v>71</v>
      </c>
      <c r="U124" t="s">
        <v>72</v>
      </c>
      <c r="V124" t="s">
        <v>73</v>
      </c>
      <c r="W124" t="s">
        <v>74</v>
      </c>
      <c r="X124" t="s">
        <v>2024</v>
      </c>
      <c r="Y124" s="2">
        <v>696</v>
      </c>
      <c r="Z124" s="3">
        <v>1.59</v>
      </c>
      <c r="AA124" s="4">
        <v>1105</v>
      </c>
      <c r="AK124" s="5">
        <v>11.184200000000001</v>
      </c>
      <c r="AN124" s="1">
        <v>3</v>
      </c>
      <c r="AO124" t="s">
        <v>81</v>
      </c>
      <c r="AP124" t="s">
        <v>82</v>
      </c>
      <c r="AQ124" t="s">
        <v>83</v>
      </c>
      <c r="AR124" s="3">
        <v>1.45</v>
      </c>
      <c r="AS124" s="4">
        <v>1398</v>
      </c>
      <c r="AT124" s="1">
        <v>963</v>
      </c>
      <c r="AX124" s="3">
        <v>320726.8</v>
      </c>
      <c r="BB124" t="s">
        <v>84</v>
      </c>
      <c r="BD124" s="3">
        <v>1.64</v>
      </c>
      <c r="BE124" s="4">
        <v>1027</v>
      </c>
      <c r="BF124" s="1">
        <v>625</v>
      </c>
      <c r="BG124" s="1">
        <v>120</v>
      </c>
      <c r="BH124" s="1">
        <v>32</v>
      </c>
    </row>
    <row r="125" spans="1:64" x14ac:dyDescent="0.25">
      <c r="A125" t="s">
        <v>1875</v>
      </c>
      <c r="B125" t="s">
        <v>1876</v>
      </c>
      <c r="C125" s="4">
        <f>(AA125*(H125*0.9))*12</f>
        <v>3344544</v>
      </c>
      <c r="D125" s="4">
        <f>IF(C125=0,"",(H125*150*12)+C125)</f>
        <v>3848544</v>
      </c>
      <c r="E125" s="4">
        <f>IFERROR(D125*0.5,"")</f>
        <v>1924272</v>
      </c>
      <c r="F125" s="4">
        <f>IFERROR(E125/0.06,"")</f>
        <v>32071200</v>
      </c>
      <c r="G125" s="4">
        <f>IFERROR(F125/H125,"")</f>
        <v>114540</v>
      </c>
      <c r="H125" s="1">
        <v>280</v>
      </c>
      <c r="I125" s="1">
        <v>1985</v>
      </c>
      <c r="J125" t="s">
        <v>64</v>
      </c>
      <c r="K125" t="s">
        <v>1388</v>
      </c>
      <c r="L125" t="s">
        <v>1400</v>
      </c>
      <c r="M125" t="s">
        <v>1877</v>
      </c>
      <c r="N125" t="s">
        <v>1878</v>
      </c>
      <c r="O125" t="s">
        <v>1400</v>
      </c>
      <c r="P125" s="1">
        <v>3</v>
      </c>
      <c r="Q125" t="s">
        <v>91</v>
      </c>
      <c r="R125" t="s">
        <v>70</v>
      </c>
      <c r="S125" t="s">
        <v>71</v>
      </c>
      <c r="T125" t="s">
        <v>118</v>
      </c>
      <c r="U125" t="s">
        <v>1879</v>
      </c>
      <c r="V125" t="s">
        <v>73</v>
      </c>
      <c r="W125" t="s">
        <v>74</v>
      </c>
      <c r="X125" t="s">
        <v>1880</v>
      </c>
      <c r="Y125" s="2">
        <v>662</v>
      </c>
      <c r="Z125" s="3">
        <v>1.67</v>
      </c>
      <c r="AA125" s="4">
        <v>1106</v>
      </c>
      <c r="AK125" s="5">
        <v>8.2142999999999997</v>
      </c>
      <c r="AM125" s="1">
        <v>2026</v>
      </c>
      <c r="AN125" s="1">
        <v>2</v>
      </c>
      <c r="AO125" t="s">
        <v>81</v>
      </c>
      <c r="AP125" t="s">
        <v>82</v>
      </c>
      <c r="AQ125" t="s">
        <v>83</v>
      </c>
      <c r="AR125" s="3">
        <v>1.6</v>
      </c>
      <c r="AS125" s="4">
        <v>1165</v>
      </c>
      <c r="AT125" s="1">
        <v>728</v>
      </c>
      <c r="AX125" s="3">
        <v>509586.84</v>
      </c>
      <c r="BB125" t="s">
        <v>84</v>
      </c>
      <c r="BD125" s="3">
        <v>1.81</v>
      </c>
      <c r="BE125" s="4">
        <v>1015</v>
      </c>
      <c r="BF125" s="1">
        <v>561</v>
      </c>
      <c r="BG125" s="1">
        <v>110</v>
      </c>
      <c r="BH125" s="1">
        <v>170</v>
      </c>
    </row>
    <row r="126" spans="1:64" x14ac:dyDescent="0.25">
      <c r="A126" t="s">
        <v>373</v>
      </c>
      <c r="B126" t="s">
        <v>374</v>
      </c>
      <c r="C126" s="4">
        <f>(AA126*(H126*0.9))*12</f>
        <v>981244.79999999993</v>
      </c>
      <c r="D126" s="4">
        <f>IF(C126=0,"",(H126*150*12)+C126)</f>
        <v>1128844.7999999998</v>
      </c>
      <c r="E126" s="4">
        <f>IFERROR(D126*0.5,"")</f>
        <v>564422.39999999991</v>
      </c>
      <c r="F126" s="4">
        <f>IFERROR(E126/0.06,"")</f>
        <v>9407039.9999999981</v>
      </c>
      <c r="G126" s="4">
        <f>IFERROR(F126/H126,"")</f>
        <v>114719.99999999997</v>
      </c>
      <c r="H126" s="1">
        <v>82</v>
      </c>
      <c r="I126" s="1">
        <v>1986</v>
      </c>
      <c r="J126" t="s">
        <v>64</v>
      </c>
      <c r="K126" t="s">
        <v>375</v>
      </c>
      <c r="L126" t="s">
        <v>376</v>
      </c>
      <c r="M126" t="s">
        <v>377</v>
      </c>
      <c r="N126" t="s">
        <v>378</v>
      </c>
      <c r="O126" t="s">
        <v>376</v>
      </c>
      <c r="P126" s="1">
        <v>2</v>
      </c>
      <c r="Q126" t="s">
        <v>69</v>
      </c>
      <c r="R126" t="s">
        <v>70</v>
      </c>
      <c r="S126" t="s">
        <v>71</v>
      </c>
      <c r="U126" t="s">
        <v>72</v>
      </c>
      <c r="V126" t="s">
        <v>73</v>
      </c>
      <c r="W126" t="s">
        <v>74</v>
      </c>
      <c r="X126" t="s">
        <v>379</v>
      </c>
      <c r="Y126" s="2">
        <v>553</v>
      </c>
      <c r="Z126" s="3">
        <v>2</v>
      </c>
      <c r="AA126" s="4">
        <v>1108</v>
      </c>
      <c r="AK126" s="5">
        <v>6.0975999999999999</v>
      </c>
      <c r="AN126" s="1">
        <v>3</v>
      </c>
      <c r="AO126" t="s">
        <v>81</v>
      </c>
      <c r="AP126" t="s">
        <v>82</v>
      </c>
      <c r="AQ126" t="s">
        <v>83</v>
      </c>
      <c r="AX126" s="3">
        <v>99458.84</v>
      </c>
      <c r="BB126" t="s">
        <v>84</v>
      </c>
      <c r="BD126" s="3">
        <v>2</v>
      </c>
      <c r="BE126" s="4">
        <v>1108</v>
      </c>
      <c r="BF126" s="1">
        <v>553</v>
      </c>
      <c r="BG126" s="1">
        <v>82</v>
      </c>
      <c r="BL126" t="s">
        <v>131</v>
      </c>
    </row>
    <row r="127" spans="1:64" x14ac:dyDescent="0.25">
      <c r="A127" t="s">
        <v>3354</v>
      </c>
      <c r="B127" t="s">
        <v>3355</v>
      </c>
      <c r="C127" s="4">
        <f>(AA127*(H127*0.9))*12</f>
        <v>3359664</v>
      </c>
      <c r="D127" s="4">
        <f>IF(C127=0,"",(H127*150*12)+C127)</f>
        <v>3863664</v>
      </c>
      <c r="E127" s="4">
        <f>IFERROR(D127*0.5,"")</f>
        <v>1931832</v>
      </c>
      <c r="F127" s="4">
        <f>IFERROR(E127/0.06,"")</f>
        <v>32197200</v>
      </c>
      <c r="G127" s="4">
        <f>IFERROR(F127/H127,"")</f>
        <v>114990</v>
      </c>
      <c r="H127" s="1">
        <v>280</v>
      </c>
      <c r="I127" s="1">
        <v>1996</v>
      </c>
      <c r="J127" t="s">
        <v>64</v>
      </c>
      <c r="K127" t="s">
        <v>470</v>
      </c>
      <c r="L127" t="s">
        <v>3356</v>
      </c>
      <c r="M127" t="s">
        <v>3357</v>
      </c>
      <c r="N127" t="s">
        <v>3358</v>
      </c>
      <c r="O127" t="s">
        <v>3356</v>
      </c>
      <c r="P127" s="1">
        <v>3</v>
      </c>
      <c r="Q127" t="s">
        <v>91</v>
      </c>
      <c r="R127" t="s">
        <v>70</v>
      </c>
      <c r="S127" t="s">
        <v>71</v>
      </c>
      <c r="T127" t="s">
        <v>118</v>
      </c>
      <c r="U127" t="s">
        <v>72</v>
      </c>
      <c r="V127" t="s">
        <v>73</v>
      </c>
      <c r="W127" t="s">
        <v>74</v>
      </c>
      <c r="X127" t="s">
        <v>3359</v>
      </c>
      <c r="Y127" s="2">
        <v>889</v>
      </c>
      <c r="Z127" s="3">
        <v>1.25</v>
      </c>
      <c r="AA127" s="4">
        <v>1111</v>
      </c>
      <c r="AK127" s="5">
        <v>17.5</v>
      </c>
      <c r="AN127" s="1">
        <v>3</v>
      </c>
      <c r="AO127" t="s">
        <v>81</v>
      </c>
      <c r="AP127" t="s">
        <v>82</v>
      </c>
      <c r="AQ127" t="s">
        <v>83</v>
      </c>
      <c r="AR127" s="3">
        <v>1.3</v>
      </c>
      <c r="AS127" s="4">
        <v>1130</v>
      </c>
      <c r="AT127" s="1">
        <v>872</v>
      </c>
      <c r="AU127" s="3">
        <v>1.1000000000000001</v>
      </c>
      <c r="AV127" s="4">
        <v>1245</v>
      </c>
      <c r="AW127" s="1">
        <v>1130</v>
      </c>
      <c r="AX127" s="3">
        <v>552583.26</v>
      </c>
      <c r="BB127" t="s">
        <v>84</v>
      </c>
      <c r="BD127" s="3">
        <v>1.46</v>
      </c>
      <c r="BE127" s="4">
        <v>915</v>
      </c>
      <c r="BF127" s="1">
        <v>627</v>
      </c>
      <c r="BG127" s="1">
        <v>72</v>
      </c>
      <c r="BH127" s="1">
        <v>120</v>
      </c>
      <c r="BI127" s="1">
        <v>88</v>
      </c>
    </row>
    <row r="128" spans="1:64" x14ac:dyDescent="0.25">
      <c r="A128" t="s">
        <v>1720</v>
      </c>
      <c r="B128" t="s">
        <v>1721</v>
      </c>
      <c r="C128" s="4">
        <f>(AA128*(H128*0.9))*12</f>
        <v>2500243.2000000002</v>
      </c>
      <c r="D128" s="4">
        <f>IF(C128=0,"",(H128*150*12)+C128)</f>
        <v>2874643.2</v>
      </c>
      <c r="E128" s="4">
        <f>IFERROR(D128*0.5,"")</f>
        <v>1437321.6</v>
      </c>
      <c r="F128" s="4">
        <f>IFERROR(E128/0.06,"")</f>
        <v>23955360.000000004</v>
      </c>
      <c r="G128" s="4">
        <f>IFERROR(F128/H128,"")</f>
        <v>115170.00000000001</v>
      </c>
      <c r="H128" s="1">
        <v>208</v>
      </c>
      <c r="I128" s="1">
        <v>1985</v>
      </c>
      <c r="J128" t="s">
        <v>64</v>
      </c>
      <c r="K128" t="s">
        <v>409</v>
      </c>
      <c r="L128" t="s">
        <v>193</v>
      </c>
      <c r="M128" t="s">
        <v>1722</v>
      </c>
      <c r="N128" t="s">
        <v>1723</v>
      </c>
      <c r="O128" t="s">
        <v>193</v>
      </c>
      <c r="P128" s="1">
        <v>3</v>
      </c>
      <c r="Q128" t="s">
        <v>91</v>
      </c>
      <c r="R128" t="s">
        <v>70</v>
      </c>
      <c r="S128" t="s">
        <v>71</v>
      </c>
      <c r="T128" t="s">
        <v>128</v>
      </c>
      <c r="U128" t="s">
        <v>72</v>
      </c>
      <c r="V128" t="s">
        <v>110</v>
      </c>
      <c r="W128" t="s">
        <v>74</v>
      </c>
      <c r="X128" t="s">
        <v>1724</v>
      </c>
      <c r="Y128" s="2">
        <v>804</v>
      </c>
      <c r="Z128" s="3">
        <v>1.38</v>
      </c>
      <c r="AA128" s="4">
        <v>1113</v>
      </c>
      <c r="AK128" s="5">
        <v>13.942299999999999</v>
      </c>
      <c r="AM128" s="1">
        <v>2005</v>
      </c>
      <c r="AN128" s="1">
        <v>2</v>
      </c>
      <c r="AO128" t="s">
        <v>81</v>
      </c>
      <c r="AP128" t="s">
        <v>82</v>
      </c>
      <c r="AQ128" t="s">
        <v>83</v>
      </c>
      <c r="AR128" s="3">
        <v>1.32</v>
      </c>
      <c r="AS128" s="4">
        <v>1267</v>
      </c>
      <c r="AT128" s="1">
        <v>957</v>
      </c>
      <c r="AX128" s="3">
        <v>629619.84</v>
      </c>
      <c r="BB128" t="s">
        <v>84</v>
      </c>
      <c r="BD128" s="3">
        <v>1.46</v>
      </c>
      <c r="BE128" s="4">
        <v>970</v>
      </c>
      <c r="BF128" s="1">
        <v>663</v>
      </c>
      <c r="BG128" s="1">
        <v>108</v>
      </c>
      <c r="BH128" s="1">
        <v>100</v>
      </c>
      <c r="BL128" t="s">
        <v>131</v>
      </c>
    </row>
    <row r="129" spans="1:64" x14ac:dyDescent="0.25">
      <c r="A129" t="s">
        <v>533</v>
      </c>
      <c r="B129" t="s">
        <v>534</v>
      </c>
      <c r="C129" s="4">
        <f>(AA129*(H129*0.9))*12</f>
        <v>3622320</v>
      </c>
      <c r="D129" s="4">
        <f>IF(C129=0,"",(H129*150*12)+C129)</f>
        <v>4162320</v>
      </c>
      <c r="E129" s="4">
        <f>IFERROR(D129*0.5,"")</f>
        <v>2081160</v>
      </c>
      <c r="F129" s="4">
        <f>IFERROR(E129/0.06,"")</f>
        <v>34686000</v>
      </c>
      <c r="G129" s="4">
        <f>IFERROR(F129/H129,"")</f>
        <v>115620</v>
      </c>
      <c r="H129" s="1">
        <v>300</v>
      </c>
      <c r="I129" s="1">
        <v>1985</v>
      </c>
      <c r="J129" t="s">
        <v>64</v>
      </c>
      <c r="K129" t="s">
        <v>123</v>
      </c>
      <c r="L129" t="s">
        <v>535</v>
      </c>
      <c r="M129" t="s">
        <v>536</v>
      </c>
      <c r="N129" t="s">
        <v>537</v>
      </c>
      <c r="O129" t="s">
        <v>535</v>
      </c>
      <c r="P129" s="1">
        <v>3</v>
      </c>
      <c r="Q129" t="s">
        <v>91</v>
      </c>
      <c r="R129" t="s">
        <v>70</v>
      </c>
      <c r="S129" t="s">
        <v>71</v>
      </c>
      <c r="U129" t="s">
        <v>72</v>
      </c>
      <c r="V129" t="s">
        <v>129</v>
      </c>
      <c r="W129" t="s">
        <v>74</v>
      </c>
      <c r="X129" t="s">
        <v>130</v>
      </c>
      <c r="Y129" s="2">
        <v>775</v>
      </c>
      <c r="Z129" s="3">
        <v>1.44</v>
      </c>
      <c r="AA129" s="4">
        <v>1118</v>
      </c>
      <c r="AK129" s="5">
        <v>22</v>
      </c>
      <c r="AM129" s="1">
        <v>1993</v>
      </c>
      <c r="AN129" s="1">
        <v>2</v>
      </c>
      <c r="AO129" t="s">
        <v>81</v>
      </c>
      <c r="AP129" t="s">
        <v>82</v>
      </c>
      <c r="AQ129" t="s">
        <v>83</v>
      </c>
      <c r="AR129" s="3">
        <v>1.42</v>
      </c>
      <c r="AS129" s="4">
        <v>1292</v>
      </c>
      <c r="AT129" s="1">
        <v>910</v>
      </c>
      <c r="AX129" s="3">
        <v>630757.94999999995</v>
      </c>
      <c r="AY129" s="3">
        <v>1.43</v>
      </c>
      <c r="AZ129" s="4">
        <v>799</v>
      </c>
      <c r="BA129" s="6">
        <v>558</v>
      </c>
      <c r="BB129" t="s">
        <v>84</v>
      </c>
      <c r="BD129" s="3">
        <v>1.48</v>
      </c>
      <c r="BE129" s="4">
        <v>1004</v>
      </c>
      <c r="BF129" s="1">
        <v>678</v>
      </c>
      <c r="BG129" s="1">
        <v>121</v>
      </c>
      <c r="BH129" s="1">
        <v>144</v>
      </c>
    </row>
    <row r="130" spans="1:64" x14ac:dyDescent="0.25">
      <c r="A130" t="s">
        <v>913</v>
      </c>
      <c r="B130" t="s">
        <v>914</v>
      </c>
      <c r="C130" s="4">
        <f>(AA130*(H130*0.9))*12</f>
        <v>774144</v>
      </c>
      <c r="D130" s="4">
        <f>IF(C130=0,"",(H130*150*12)+C130)</f>
        <v>889344</v>
      </c>
      <c r="E130" s="4">
        <f>IFERROR(D130*0.5,"")</f>
        <v>444672</v>
      </c>
      <c r="F130" s="4">
        <f>IFERROR(E130/0.06,"")</f>
        <v>7411200</v>
      </c>
      <c r="G130" s="4">
        <f>IFERROR(F130/H130,"")</f>
        <v>115800</v>
      </c>
      <c r="H130" s="1">
        <v>64</v>
      </c>
      <c r="I130" s="1">
        <v>1985</v>
      </c>
      <c r="J130" t="s">
        <v>64</v>
      </c>
      <c r="K130" t="s">
        <v>114</v>
      </c>
      <c r="L130" t="s">
        <v>915</v>
      </c>
      <c r="M130" t="s">
        <v>914</v>
      </c>
      <c r="N130" t="s">
        <v>916</v>
      </c>
      <c r="O130" t="s">
        <v>915</v>
      </c>
      <c r="P130" s="1">
        <v>2</v>
      </c>
      <c r="Q130" t="s">
        <v>69</v>
      </c>
      <c r="R130" t="s">
        <v>70</v>
      </c>
      <c r="S130" t="s">
        <v>71</v>
      </c>
      <c r="U130" t="s">
        <v>72</v>
      </c>
      <c r="V130" t="s">
        <v>917</v>
      </c>
      <c r="W130" t="s">
        <v>74</v>
      </c>
      <c r="X130" t="s">
        <v>918</v>
      </c>
      <c r="Y130" s="2">
        <v>843</v>
      </c>
      <c r="Z130" s="3">
        <v>1.33</v>
      </c>
      <c r="AA130" s="4">
        <v>1120</v>
      </c>
      <c r="AK130" s="5">
        <v>10.9375</v>
      </c>
      <c r="AN130" s="1">
        <v>2</v>
      </c>
      <c r="AO130" t="s">
        <v>81</v>
      </c>
      <c r="AP130" t="s">
        <v>82</v>
      </c>
      <c r="AQ130" t="s">
        <v>83</v>
      </c>
      <c r="AR130" s="3">
        <v>1.3</v>
      </c>
      <c r="AS130" s="4">
        <v>1151</v>
      </c>
      <c r="AT130" s="1">
        <v>888</v>
      </c>
      <c r="AX130" s="3">
        <v>118425.57</v>
      </c>
      <c r="BB130" t="s">
        <v>84</v>
      </c>
      <c r="BD130" s="3">
        <v>1.45</v>
      </c>
      <c r="BE130" s="4">
        <v>1026</v>
      </c>
      <c r="BF130" s="1">
        <v>710</v>
      </c>
      <c r="BG130" s="1">
        <v>16</v>
      </c>
      <c r="BH130" s="1">
        <v>48</v>
      </c>
      <c r="BK130" t="s">
        <v>919</v>
      </c>
      <c r="BL130" t="s">
        <v>104</v>
      </c>
    </row>
    <row r="131" spans="1:64" x14ac:dyDescent="0.25">
      <c r="A131" t="s">
        <v>644</v>
      </c>
      <c r="B131" t="s">
        <v>645</v>
      </c>
      <c r="C131" s="4">
        <f>(AA131*(H131*0.9))*12</f>
        <v>3195450</v>
      </c>
      <c r="D131" s="4">
        <f>IF(C131=0,"",(H131*150*12)+C131)</f>
        <v>3668850</v>
      </c>
      <c r="E131" s="4">
        <f>IFERROR(D131*0.5,"")</f>
        <v>1834425</v>
      </c>
      <c r="F131" s="4">
        <f>IFERROR(E131/0.06,"")</f>
        <v>30573750</v>
      </c>
      <c r="G131" s="4">
        <f>IFERROR(F131/H131,"")</f>
        <v>116250</v>
      </c>
      <c r="H131" s="1">
        <v>263</v>
      </c>
      <c r="I131" s="1">
        <v>1985</v>
      </c>
      <c r="J131" t="s">
        <v>64</v>
      </c>
      <c r="K131" t="s">
        <v>646</v>
      </c>
      <c r="L131" t="s">
        <v>135</v>
      </c>
      <c r="M131" t="s">
        <v>647</v>
      </c>
      <c r="N131" t="s">
        <v>648</v>
      </c>
      <c r="O131" t="s">
        <v>135</v>
      </c>
      <c r="P131" s="1">
        <v>3</v>
      </c>
      <c r="Q131" t="s">
        <v>91</v>
      </c>
      <c r="R131" t="s">
        <v>70</v>
      </c>
      <c r="S131" t="s">
        <v>71</v>
      </c>
      <c r="U131" t="s">
        <v>72</v>
      </c>
      <c r="V131" t="s">
        <v>152</v>
      </c>
      <c r="W131" t="s">
        <v>74</v>
      </c>
      <c r="X131" t="s">
        <v>649</v>
      </c>
      <c r="Y131" s="2">
        <v>779</v>
      </c>
      <c r="Z131" s="3">
        <v>1.44</v>
      </c>
      <c r="AA131" s="4">
        <v>1125</v>
      </c>
      <c r="AK131" s="5">
        <v>17.110299999999999</v>
      </c>
      <c r="AM131" s="1">
        <v>2014</v>
      </c>
      <c r="AN131" s="1">
        <v>2</v>
      </c>
      <c r="AO131" t="s">
        <v>81</v>
      </c>
      <c r="AP131" t="s">
        <v>82</v>
      </c>
      <c r="AQ131" t="s">
        <v>83</v>
      </c>
      <c r="AR131" s="3">
        <v>1.39</v>
      </c>
      <c r="AS131" s="4">
        <v>1373</v>
      </c>
      <c r="AT131" s="1">
        <v>988</v>
      </c>
      <c r="AX131" s="3">
        <v>572189.4</v>
      </c>
      <c r="BB131" t="s">
        <v>84</v>
      </c>
      <c r="BD131" s="3">
        <v>1.48</v>
      </c>
      <c r="BE131" s="4">
        <v>1001</v>
      </c>
      <c r="BF131" s="1">
        <v>674</v>
      </c>
      <c r="BG131" s="1">
        <v>175</v>
      </c>
      <c r="BH131" s="1">
        <v>88</v>
      </c>
      <c r="BK131" t="s">
        <v>650</v>
      </c>
      <c r="BL131" t="s">
        <v>131</v>
      </c>
    </row>
    <row r="132" spans="1:64" x14ac:dyDescent="0.25">
      <c r="A132" t="s">
        <v>718</v>
      </c>
      <c r="B132" t="s">
        <v>719</v>
      </c>
      <c r="C132" s="4">
        <f>(AA132*(H132*0.9))*12</f>
        <v>2556036</v>
      </c>
      <c r="D132" s="4">
        <f>IF(C132=0,"",(H132*150*12)+C132)</f>
        <v>2934036</v>
      </c>
      <c r="E132" s="4">
        <f>IFERROR(D132*0.5,"")</f>
        <v>1467018</v>
      </c>
      <c r="F132" s="4">
        <f>IFERROR(E132/0.06,"")</f>
        <v>24450300</v>
      </c>
      <c r="G132" s="4">
        <f>IFERROR(F132/H132,"")</f>
        <v>116430</v>
      </c>
      <c r="H132" s="1">
        <v>210</v>
      </c>
      <c r="I132" s="1">
        <v>1986</v>
      </c>
      <c r="J132" t="s">
        <v>64</v>
      </c>
      <c r="K132" t="s">
        <v>177</v>
      </c>
      <c r="L132" t="s">
        <v>720</v>
      </c>
      <c r="M132" t="s">
        <v>721</v>
      </c>
      <c r="N132" t="s">
        <v>722</v>
      </c>
      <c r="O132" t="s">
        <v>720</v>
      </c>
      <c r="P132" s="1">
        <v>2</v>
      </c>
      <c r="Q132" t="s">
        <v>69</v>
      </c>
      <c r="R132" t="s">
        <v>70</v>
      </c>
      <c r="S132" t="s">
        <v>71</v>
      </c>
      <c r="U132" t="s">
        <v>72</v>
      </c>
      <c r="V132" t="s">
        <v>181</v>
      </c>
      <c r="W132" t="s">
        <v>74</v>
      </c>
      <c r="X132" t="s">
        <v>182</v>
      </c>
      <c r="Y132" s="2">
        <v>735</v>
      </c>
      <c r="Z132" s="3">
        <v>1.53</v>
      </c>
      <c r="AA132" s="4">
        <v>1127</v>
      </c>
      <c r="AK132" s="5">
        <v>8.5714000000000006</v>
      </c>
      <c r="AM132" s="1">
        <v>2014</v>
      </c>
      <c r="AN132" s="1">
        <v>2</v>
      </c>
      <c r="AO132" t="s">
        <v>81</v>
      </c>
      <c r="AP132" t="s">
        <v>82</v>
      </c>
      <c r="AQ132" t="s">
        <v>83</v>
      </c>
      <c r="BB132" t="s">
        <v>84</v>
      </c>
      <c r="BD132" s="3">
        <v>1.53</v>
      </c>
      <c r="BE132" s="4">
        <v>1127</v>
      </c>
      <c r="BF132" s="1">
        <v>736</v>
      </c>
      <c r="BG132" s="1">
        <v>210</v>
      </c>
      <c r="BK132" t="s">
        <v>462</v>
      </c>
      <c r="BL132" t="s">
        <v>131</v>
      </c>
    </row>
    <row r="133" spans="1:64" x14ac:dyDescent="0.25">
      <c r="A133" t="s">
        <v>1386</v>
      </c>
      <c r="B133" t="s">
        <v>1387</v>
      </c>
      <c r="C133" s="4">
        <f>(AA133*(H133*0.9))*12</f>
        <v>4385664</v>
      </c>
      <c r="D133" s="4">
        <f>IF(C133=0,"",(H133*150*12)+C133)</f>
        <v>5033664</v>
      </c>
      <c r="E133" s="4">
        <f>IFERROR(D133*0.5,"")</f>
        <v>2516832</v>
      </c>
      <c r="F133" s="4">
        <f>IFERROR(E133/0.06,"")</f>
        <v>41947200</v>
      </c>
      <c r="G133" s="4">
        <f>IFERROR(F133/H133,"")</f>
        <v>116520</v>
      </c>
      <c r="H133" s="1">
        <v>360</v>
      </c>
      <c r="I133" s="1">
        <v>1985</v>
      </c>
      <c r="J133" t="s">
        <v>64</v>
      </c>
      <c r="K133" t="s">
        <v>1388</v>
      </c>
      <c r="L133" t="s">
        <v>1389</v>
      </c>
      <c r="M133" t="s">
        <v>1390</v>
      </c>
      <c r="N133" t="s">
        <v>1391</v>
      </c>
      <c r="O133" t="s">
        <v>1389</v>
      </c>
      <c r="P133" s="1">
        <v>3</v>
      </c>
      <c r="Q133" t="s">
        <v>91</v>
      </c>
      <c r="R133" t="s">
        <v>70</v>
      </c>
      <c r="S133" t="s">
        <v>71</v>
      </c>
      <c r="U133" t="s">
        <v>72</v>
      </c>
      <c r="V133" t="s">
        <v>73</v>
      </c>
      <c r="W133" t="s">
        <v>74</v>
      </c>
      <c r="X133" t="s">
        <v>1392</v>
      </c>
      <c r="Y133" s="2">
        <v>849</v>
      </c>
      <c r="Z133" s="3">
        <v>1.33</v>
      </c>
      <c r="AA133" s="4">
        <v>1128</v>
      </c>
      <c r="AK133" s="5">
        <v>5.5556000000000001</v>
      </c>
      <c r="AM133" s="1">
        <v>1991</v>
      </c>
      <c r="AN133" s="1">
        <v>2</v>
      </c>
      <c r="AO133" t="s">
        <v>81</v>
      </c>
      <c r="AP133" t="s">
        <v>82</v>
      </c>
      <c r="AQ133" t="s">
        <v>83</v>
      </c>
      <c r="AR133" s="3">
        <v>1.29</v>
      </c>
      <c r="AS133" s="4">
        <v>1171</v>
      </c>
      <c r="AT133" s="1">
        <v>911</v>
      </c>
      <c r="BB133" t="s">
        <v>84</v>
      </c>
      <c r="BD133" s="3">
        <v>1.54</v>
      </c>
      <c r="BE133" s="4">
        <v>980</v>
      </c>
      <c r="BF133" s="1">
        <v>634</v>
      </c>
      <c r="BG133" s="1">
        <v>80</v>
      </c>
      <c r="BH133" s="1">
        <v>280</v>
      </c>
    </row>
    <row r="134" spans="1:64" x14ac:dyDescent="0.25">
      <c r="A134" t="s">
        <v>1945</v>
      </c>
      <c r="B134" t="s">
        <v>1946</v>
      </c>
      <c r="C134" s="4">
        <f>(AA134*(H134*0.9))*12</f>
        <v>3316550.4000000004</v>
      </c>
      <c r="D134" s="4">
        <f>IF(C134=0,"",(H134*150*12)+C134)</f>
        <v>3806150.4000000004</v>
      </c>
      <c r="E134" s="4">
        <f>IFERROR(D134*0.5,"")</f>
        <v>1903075.2000000002</v>
      </c>
      <c r="F134" s="4">
        <f>IFERROR(E134/0.06,"")</f>
        <v>31717920.000000004</v>
      </c>
      <c r="G134" s="4">
        <f>IFERROR(F134/H134,"")</f>
        <v>116610.00000000001</v>
      </c>
      <c r="H134" s="1">
        <v>272</v>
      </c>
      <c r="I134" s="1">
        <v>1985</v>
      </c>
      <c r="J134" t="s">
        <v>64</v>
      </c>
      <c r="K134" t="s">
        <v>148</v>
      </c>
      <c r="L134" t="s">
        <v>784</v>
      </c>
      <c r="M134" t="s">
        <v>1947</v>
      </c>
      <c r="N134" t="s">
        <v>1948</v>
      </c>
      <c r="O134" t="s">
        <v>784</v>
      </c>
      <c r="P134" s="1">
        <v>3</v>
      </c>
      <c r="Q134" t="s">
        <v>91</v>
      </c>
      <c r="R134" t="s">
        <v>70</v>
      </c>
      <c r="S134" t="s">
        <v>71</v>
      </c>
      <c r="U134" t="s">
        <v>72</v>
      </c>
      <c r="V134" t="s">
        <v>152</v>
      </c>
      <c r="W134" t="s">
        <v>74</v>
      </c>
      <c r="X134" t="s">
        <v>1822</v>
      </c>
      <c r="Y134" s="2">
        <v>676</v>
      </c>
      <c r="Z134" s="3">
        <v>1.67</v>
      </c>
      <c r="AA134" s="4">
        <v>1129</v>
      </c>
      <c r="AK134" s="5">
        <v>14.7059</v>
      </c>
      <c r="AN134" s="1">
        <v>2</v>
      </c>
      <c r="AO134" t="s">
        <v>81</v>
      </c>
      <c r="AP134" t="s">
        <v>82</v>
      </c>
      <c r="AQ134" t="s">
        <v>83</v>
      </c>
      <c r="AR134" s="3">
        <v>1.43</v>
      </c>
      <c r="AS134" s="4">
        <v>1260</v>
      </c>
      <c r="AT134" s="1">
        <v>881</v>
      </c>
      <c r="AX134" s="3">
        <v>0</v>
      </c>
      <c r="BB134" t="s">
        <v>84</v>
      </c>
      <c r="BD134" s="3">
        <v>1.87</v>
      </c>
      <c r="BE134" s="4">
        <v>1059</v>
      </c>
      <c r="BF134" s="1">
        <v>565</v>
      </c>
      <c r="BG134" s="1">
        <v>176</v>
      </c>
      <c r="BH134" s="1">
        <v>96</v>
      </c>
    </row>
    <row r="135" spans="1:64" x14ac:dyDescent="0.25">
      <c r="A135" t="s">
        <v>1503</v>
      </c>
      <c r="B135" t="s">
        <v>1504</v>
      </c>
      <c r="C135" s="4">
        <f>(AA135*(H135*0.9))*12</f>
        <v>4222584.0000000009</v>
      </c>
      <c r="D135" s="4">
        <f>IF(C135=0,"",(H135*150*12)+C135)</f>
        <v>4845384.0000000009</v>
      </c>
      <c r="E135" s="4">
        <f>IFERROR(D135*0.5,"")</f>
        <v>2422692.0000000005</v>
      </c>
      <c r="F135" s="4">
        <f>IFERROR(E135/0.06,"")</f>
        <v>40378200.000000007</v>
      </c>
      <c r="G135" s="4">
        <f>IFERROR(F135/H135,"")</f>
        <v>116700.00000000001</v>
      </c>
      <c r="H135" s="1">
        <v>346</v>
      </c>
      <c r="I135" s="1">
        <v>1985</v>
      </c>
      <c r="J135" t="s">
        <v>64</v>
      </c>
      <c r="K135" t="s">
        <v>168</v>
      </c>
      <c r="L135" t="s">
        <v>1505</v>
      </c>
      <c r="M135" t="s">
        <v>1506</v>
      </c>
      <c r="N135" t="s">
        <v>1507</v>
      </c>
      <c r="O135" t="s">
        <v>1505</v>
      </c>
      <c r="P135" s="1">
        <v>3</v>
      </c>
      <c r="Q135" t="s">
        <v>91</v>
      </c>
      <c r="R135" t="s">
        <v>70</v>
      </c>
      <c r="S135" t="s">
        <v>71</v>
      </c>
      <c r="U135" t="s">
        <v>72</v>
      </c>
      <c r="V135" t="s">
        <v>172</v>
      </c>
      <c r="W135" t="s">
        <v>74</v>
      </c>
      <c r="X135" t="s">
        <v>173</v>
      </c>
      <c r="Y135" s="2">
        <v>734</v>
      </c>
      <c r="Z135" s="3">
        <v>1.54</v>
      </c>
      <c r="AA135" s="4">
        <v>1130</v>
      </c>
      <c r="AK135" s="5">
        <v>6.9363999999999999</v>
      </c>
      <c r="AM135" s="1">
        <v>2016</v>
      </c>
      <c r="AN135" s="1">
        <v>3</v>
      </c>
      <c r="AO135" t="s">
        <v>81</v>
      </c>
      <c r="AP135" t="s">
        <v>82</v>
      </c>
      <c r="AQ135" t="s">
        <v>83</v>
      </c>
      <c r="AR135" s="3">
        <v>1.46</v>
      </c>
      <c r="AS135" s="4">
        <v>1485</v>
      </c>
      <c r="AT135" s="1">
        <v>1020</v>
      </c>
      <c r="AX135" s="3">
        <v>827896.3</v>
      </c>
      <c r="BB135" t="s">
        <v>84</v>
      </c>
      <c r="BD135" s="3">
        <v>1.58</v>
      </c>
      <c r="BE135" s="4">
        <v>1016</v>
      </c>
      <c r="BF135" s="1">
        <v>643</v>
      </c>
      <c r="BG135" s="1">
        <v>262</v>
      </c>
      <c r="BH135" s="1">
        <v>84</v>
      </c>
    </row>
    <row r="136" spans="1:64" x14ac:dyDescent="0.25">
      <c r="A136" t="s">
        <v>775</v>
      </c>
      <c r="B136" t="s">
        <v>776</v>
      </c>
      <c r="C136" s="4">
        <f>(AA136*(H136*0.9))*12</f>
        <v>2050272.0000000005</v>
      </c>
      <c r="D136" s="4">
        <f>IF(C136=0,"",(H136*150*12)+C136)</f>
        <v>2352672.0000000005</v>
      </c>
      <c r="E136" s="4">
        <f>IFERROR(D136*0.5,"")</f>
        <v>1176336.0000000002</v>
      </c>
      <c r="F136" s="4">
        <f>IFERROR(E136/0.06,"")</f>
        <v>19605600.000000004</v>
      </c>
      <c r="G136" s="4">
        <f>IFERROR(F136/H136,"")</f>
        <v>116700.00000000003</v>
      </c>
      <c r="H136" s="1">
        <v>168</v>
      </c>
      <c r="I136" s="1">
        <v>1985</v>
      </c>
      <c r="J136" t="s">
        <v>64</v>
      </c>
      <c r="K136" t="s">
        <v>148</v>
      </c>
      <c r="L136" t="s">
        <v>777</v>
      </c>
      <c r="M136" t="s">
        <v>778</v>
      </c>
      <c r="N136" t="s">
        <v>779</v>
      </c>
      <c r="O136" t="s">
        <v>777</v>
      </c>
      <c r="P136" s="1">
        <v>3</v>
      </c>
      <c r="Q136" t="s">
        <v>91</v>
      </c>
      <c r="R136" t="s">
        <v>70</v>
      </c>
      <c r="S136" t="s">
        <v>71</v>
      </c>
      <c r="U136" t="s">
        <v>72</v>
      </c>
      <c r="V136" t="s">
        <v>152</v>
      </c>
      <c r="W136" t="s">
        <v>74</v>
      </c>
      <c r="X136" t="s">
        <v>780</v>
      </c>
      <c r="Y136" s="2">
        <v>933</v>
      </c>
      <c r="Z136" s="3">
        <v>1.21</v>
      </c>
      <c r="AA136" s="4">
        <v>1130</v>
      </c>
      <c r="AK136" s="5">
        <v>25.595199999999998</v>
      </c>
      <c r="AM136" s="1">
        <v>2009</v>
      </c>
      <c r="AN136" s="1">
        <v>2</v>
      </c>
      <c r="AO136" t="s">
        <v>81</v>
      </c>
      <c r="AP136" t="s">
        <v>82</v>
      </c>
      <c r="AQ136" t="s">
        <v>83</v>
      </c>
      <c r="AR136" s="3">
        <v>1.18</v>
      </c>
      <c r="AS136" s="4">
        <v>1158</v>
      </c>
      <c r="AT136" s="1">
        <v>979</v>
      </c>
      <c r="AX136" s="3">
        <v>0</v>
      </c>
      <c r="BB136" t="s">
        <v>84</v>
      </c>
      <c r="BD136" s="3">
        <v>1.46</v>
      </c>
      <c r="BE136" s="4">
        <v>965</v>
      </c>
      <c r="BF136" s="1">
        <v>660</v>
      </c>
      <c r="BG136" s="1">
        <v>24</v>
      </c>
      <c r="BH136" s="1">
        <v>144</v>
      </c>
      <c r="BK136" t="s">
        <v>781</v>
      </c>
      <c r="BL136" t="s">
        <v>131</v>
      </c>
    </row>
    <row r="137" spans="1:64" x14ac:dyDescent="0.25">
      <c r="A137" t="s">
        <v>1832</v>
      </c>
      <c r="B137" t="s">
        <v>1833</v>
      </c>
      <c r="C137" s="4">
        <f>(AA137*(H137*0.9))*12</f>
        <v>3178656</v>
      </c>
      <c r="D137" s="4">
        <f>IF(C137=0,"",(H137*150*12)+C137)</f>
        <v>3646656</v>
      </c>
      <c r="E137" s="4">
        <f>IFERROR(D137*0.5,"")</f>
        <v>1823328</v>
      </c>
      <c r="F137" s="4">
        <f>IFERROR(E137/0.06,"")</f>
        <v>30388800</v>
      </c>
      <c r="G137" s="4">
        <f>IFERROR(F137/H137,"")</f>
        <v>116880</v>
      </c>
      <c r="H137" s="1">
        <v>260</v>
      </c>
      <c r="I137" s="1">
        <v>1986</v>
      </c>
      <c r="J137" t="s">
        <v>64</v>
      </c>
      <c r="K137" t="s">
        <v>725</v>
      </c>
      <c r="L137" t="s">
        <v>1834</v>
      </c>
      <c r="M137" t="s">
        <v>1835</v>
      </c>
      <c r="N137" t="s">
        <v>1836</v>
      </c>
      <c r="O137" t="s">
        <v>1834</v>
      </c>
      <c r="P137" s="1">
        <v>3</v>
      </c>
      <c r="Q137" t="s">
        <v>91</v>
      </c>
      <c r="R137" t="s">
        <v>70</v>
      </c>
      <c r="S137" t="s">
        <v>71</v>
      </c>
      <c r="U137" t="s">
        <v>72</v>
      </c>
      <c r="V137" t="s">
        <v>73</v>
      </c>
      <c r="W137" t="s">
        <v>74</v>
      </c>
      <c r="X137" t="s">
        <v>730</v>
      </c>
      <c r="Y137" s="2">
        <v>773</v>
      </c>
      <c r="Z137" s="3">
        <v>1.46</v>
      </c>
      <c r="AA137" s="4">
        <v>1132</v>
      </c>
      <c r="AK137" s="5">
        <v>15</v>
      </c>
      <c r="AM137" s="1">
        <v>2018</v>
      </c>
      <c r="AN137" s="1">
        <v>3</v>
      </c>
      <c r="AO137" t="s">
        <v>81</v>
      </c>
      <c r="AP137" t="s">
        <v>82</v>
      </c>
      <c r="AQ137" t="s">
        <v>83</v>
      </c>
      <c r="AR137" s="3">
        <v>1.32</v>
      </c>
      <c r="AS137" s="4">
        <v>1411</v>
      </c>
      <c r="AT137" s="1">
        <v>1071</v>
      </c>
      <c r="AX137" s="3">
        <v>610505.39</v>
      </c>
      <c r="BB137" t="s">
        <v>84</v>
      </c>
      <c r="BD137" s="3">
        <v>1.58</v>
      </c>
      <c r="BE137" s="4">
        <v>998</v>
      </c>
      <c r="BF137" s="1">
        <v>632</v>
      </c>
      <c r="BG137" s="1">
        <v>176</v>
      </c>
      <c r="BH137" s="1">
        <v>84</v>
      </c>
      <c r="BL137" t="s">
        <v>131</v>
      </c>
    </row>
    <row r="138" spans="1:64" x14ac:dyDescent="0.25">
      <c r="A138" t="s">
        <v>3309</v>
      </c>
      <c r="B138" t="s">
        <v>3310</v>
      </c>
      <c r="C138" s="4">
        <f>(AA138*(H138*0.9))*12</f>
        <v>636292.80000000005</v>
      </c>
      <c r="D138" s="4">
        <f>IF(C138=0,"",(H138*150*12)+C138)</f>
        <v>729892.8</v>
      </c>
      <c r="E138" s="4">
        <f>IFERROR(D138*0.5,"")</f>
        <v>364946.4</v>
      </c>
      <c r="F138" s="4">
        <f>IFERROR(E138/0.06,"")</f>
        <v>6082440.0000000009</v>
      </c>
      <c r="G138" s="4">
        <f>IFERROR(F138/H138,"")</f>
        <v>116970.00000000001</v>
      </c>
      <c r="H138" s="1">
        <v>52</v>
      </c>
      <c r="I138" s="1">
        <v>1993</v>
      </c>
      <c r="J138" t="s">
        <v>64</v>
      </c>
      <c r="K138" t="s">
        <v>1154</v>
      </c>
      <c r="L138" t="s">
        <v>3311</v>
      </c>
      <c r="M138" t="s">
        <v>3312</v>
      </c>
      <c r="N138" t="s">
        <v>3311</v>
      </c>
      <c r="O138" t="s">
        <v>3311</v>
      </c>
      <c r="P138" s="1">
        <v>3</v>
      </c>
      <c r="Q138" t="s">
        <v>91</v>
      </c>
      <c r="R138" t="s">
        <v>70</v>
      </c>
      <c r="S138" t="s">
        <v>71</v>
      </c>
      <c r="T138" t="s">
        <v>118</v>
      </c>
      <c r="U138" t="s">
        <v>72</v>
      </c>
      <c r="V138" t="s">
        <v>1158</v>
      </c>
      <c r="W138" t="s">
        <v>74</v>
      </c>
      <c r="X138" t="s">
        <v>3313</v>
      </c>
      <c r="Y138" s="2">
        <v>773</v>
      </c>
      <c r="Z138" s="3">
        <v>1.47</v>
      </c>
      <c r="AA138" s="4">
        <v>1133</v>
      </c>
      <c r="AK138" s="5">
        <v>1.9231</v>
      </c>
      <c r="AN138" s="1">
        <v>1</v>
      </c>
      <c r="AO138" t="s">
        <v>81</v>
      </c>
      <c r="AP138" t="s">
        <v>82</v>
      </c>
      <c r="AQ138" t="s">
        <v>83</v>
      </c>
      <c r="AR138" s="3">
        <v>1.45</v>
      </c>
      <c r="AS138" s="4">
        <v>1205</v>
      </c>
      <c r="AT138" s="1">
        <v>830</v>
      </c>
      <c r="AX138" s="3">
        <v>106659.04</v>
      </c>
      <c r="BB138" t="s">
        <v>84</v>
      </c>
      <c r="BD138" s="3">
        <v>1.48</v>
      </c>
      <c r="BE138" s="4">
        <v>1061</v>
      </c>
      <c r="BF138" s="1">
        <v>716</v>
      </c>
      <c r="BG138" s="1">
        <v>26</v>
      </c>
      <c r="BH138" s="1">
        <v>26</v>
      </c>
    </row>
    <row r="139" spans="1:64" x14ac:dyDescent="0.25">
      <c r="A139" t="s">
        <v>506</v>
      </c>
      <c r="B139" t="s">
        <v>507</v>
      </c>
      <c r="C139" s="4">
        <f>(AA139*(H139*0.9))*12</f>
        <v>931608</v>
      </c>
      <c r="D139" s="4">
        <f>IF(C139=0,"",(H139*150*12)+C139)</f>
        <v>1068408</v>
      </c>
      <c r="E139" s="4">
        <f>IFERROR(D139*0.5,"")</f>
        <v>534204</v>
      </c>
      <c r="F139" s="4">
        <f>IFERROR(E139/0.06,"")</f>
        <v>8903400</v>
      </c>
      <c r="G139" s="4">
        <f>IFERROR(F139/H139,"")</f>
        <v>117150</v>
      </c>
      <c r="H139" s="1">
        <v>76</v>
      </c>
      <c r="I139" s="1">
        <v>1986</v>
      </c>
      <c r="J139" t="s">
        <v>64</v>
      </c>
      <c r="K139" t="s">
        <v>338</v>
      </c>
      <c r="L139" t="s">
        <v>508</v>
      </c>
      <c r="M139" t="s">
        <v>509</v>
      </c>
      <c r="N139" t="s">
        <v>510</v>
      </c>
      <c r="O139" t="s">
        <v>508</v>
      </c>
      <c r="P139" s="1">
        <v>2</v>
      </c>
      <c r="Q139" t="s">
        <v>69</v>
      </c>
      <c r="R139" t="s">
        <v>70</v>
      </c>
      <c r="S139" t="s">
        <v>71</v>
      </c>
      <c r="U139" t="s">
        <v>72</v>
      </c>
      <c r="V139" t="s">
        <v>73</v>
      </c>
      <c r="W139" t="s">
        <v>74</v>
      </c>
      <c r="X139" t="s">
        <v>511</v>
      </c>
      <c r="Y139" s="2">
        <v>639</v>
      </c>
      <c r="Z139" s="3">
        <v>1.78</v>
      </c>
      <c r="AA139" s="4">
        <v>1135</v>
      </c>
      <c r="AK139" s="5">
        <v>3.9474</v>
      </c>
      <c r="AN139" s="1">
        <v>2</v>
      </c>
      <c r="AO139" t="s">
        <v>81</v>
      </c>
      <c r="AP139" t="s">
        <v>82</v>
      </c>
      <c r="AQ139" t="s">
        <v>83</v>
      </c>
      <c r="AR139" s="3">
        <v>1.65</v>
      </c>
      <c r="AS139" s="4">
        <v>1240</v>
      </c>
      <c r="AT139" s="1">
        <v>750</v>
      </c>
      <c r="AX139" s="3">
        <v>152429.04999999999</v>
      </c>
      <c r="BB139" t="s">
        <v>84</v>
      </c>
      <c r="BD139" s="3">
        <v>1.83</v>
      </c>
      <c r="BE139" s="4">
        <v>1098</v>
      </c>
      <c r="BF139" s="1">
        <v>600</v>
      </c>
      <c r="BG139" s="1">
        <v>56</v>
      </c>
      <c r="BH139" s="1">
        <v>20</v>
      </c>
      <c r="BL139" t="s">
        <v>131</v>
      </c>
    </row>
    <row r="140" spans="1:64" x14ac:dyDescent="0.25">
      <c r="A140" t="s">
        <v>695</v>
      </c>
      <c r="B140" t="s">
        <v>696</v>
      </c>
      <c r="C140" s="4">
        <f>(AA140*(H140*0.9))*12</f>
        <v>5161968</v>
      </c>
      <c r="D140" s="4">
        <f>IF(C140=0,"",(H140*150*12)+C140)</f>
        <v>5917968</v>
      </c>
      <c r="E140" s="4">
        <f>IFERROR(D140*0.5,"")</f>
        <v>2958984</v>
      </c>
      <c r="F140" s="4">
        <f>IFERROR(E140/0.06,"")</f>
        <v>49316400</v>
      </c>
      <c r="G140" s="4">
        <f>IFERROR(F140/H140,"")</f>
        <v>117420</v>
      </c>
      <c r="H140" s="1">
        <v>420</v>
      </c>
      <c r="I140" s="1">
        <v>1987</v>
      </c>
      <c r="J140" t="s">
        <v>64</v>
      </c>
      <c r="K140" t="s">
        <v>156</v>
      </c>
      <c r="L140" t="s">
        <v>697</v>
      </c>
      <c r="M140" t="s">
        <v>698</v>
      </c>
      <c r="N140" t="s">
        <v>699</v>
      </c>
      <c r="O140" t="s">
        <v>697</v>
      </c>
      <c r="P140" s="1">
        <v>3</v>
      </c>
      <c r="Q140" t="s">
        <v>91</v>
      </c>
      <c r="R140" t="s">
        <v>70</v>
      </c>
      <c r="S140" t="s">
        <v>71</v>
      </c>
      <c r="U140" t="s">
        <v>72</v>
      </c>
      <c r="V140" t="s">
        <v>73</v>
      </c>
      <c r="W140" t="s">
        <v>74</v>
      </c>
      <c r="X140" t="s">
        <v>461</v>
      </c>
      <c r="Y140" s="2">
        <v>750</v>
      </c>
      <c r="Z140" s="3">
        <v>1.52</v>
      </c>
      <c r="AA140" s="4">
        <v>1138</v>
      </c>
      <c r="AK140" s="5">
        <v>9.2857000000000003</v>
      </c>
      <c r="AM140" s="1">
        <v>2018</v>
      </c>
      <c r="AN140" s="1">
        <v>3</v>
      </c>
      <c r="AO140" t="s">
        <v>81</v>
      </c>
      <c r="AP140" t="s">
        <v>82</v>
      </c>
      <c r="AQ140" t="s">
        <v>83</v>
      </c>
      <c r="AR140" s="3">
        <v>1.4</v>
      </c>
      <c r="AS140" s="4">
        <v>1436</v>
      </c>
      <c r="AT140" s="1">
        <v>1025</v>
      </c>
      <c r="AX140" s="3">
        <v>1024761.26</v>
      </c>
      <c r="AY140" s="3">
        <v>1.78</v>
      </c>
      <c r="AZ140" s="4">
        <v>917</v>
      </c>
      <c r="BA140" s="6">
        <v>514</v>
      </c>
      <c r="BB140" t="s">
        <v>84</v>
      </c>
      <c r="BD140" s="3">
        <v>1.5</v>
      </c>
      <c r="BE140" s="4">
        <v>1087</v>
      </c>
      <c r="BF140" s="1">
        <v>725</v>
      </c>
      <c r="BG140" s="1">
        <v>180</v>
      </c>
      <c r="BH140" s="1">
        <v>120</v>
      </c>
      <c r="BK140" t="s">
        <v>314</v>
      </c>
      <c r="BL140" t="s">
        <v>104</v>
      </c>
    </row>
    <row r="141" spans="1:64" x14ac:dyDescent="0.25">
      <c r="A141" t="s">
        <v>1145</v>
      </c>
      <c r="B141" t="s">
        <v>1146</v>
      </c>
      <c r="C141" s="4">
        <f>(AA141*(H141*0.9))*12</f>
        <v>2144167.2000000002</v>
      </c>
      <c r="D141" s="4">
        <f>IF(C141=0,"",(H141*150*12)+C141)</f>
        <v>2457367.2000000002</v>
      </c>
      <c r="E141" s="4">
        <f>IFERROR(D141*0.5,"")</f>
        <v>1228683.6000000001</v>
      </c>
      <c r="F141" s="4">
        <f>IFERROR(E141/0.06,"")</f>
        <v>20478060.000000004</v>
      </c>
      <c r="G141" s="4">
        <f>IFERROR(F141/H141,"")</f>
        <v>117690.00000000001</v>
      </c>
      <c r="H141" s="1">
        <v>174</v>
      </c>
      <c r="I141" s="1">
        <v>1986</v>
      </c>
      <c r="J141" t="s">
        <v>64</v>
      </c>
      <c r="K141" t="s">
        <v>1147</v>
      </c>
      <c r="L141" t="s">
        <v>1148</v>
      </c>
      <c r="M141" t="s">
        <v>1149</v>
      </c>
      <c r="N141" t="s">
        <v>1150</v>
      </c>
      <c r="O141" t="s">
        <v>1148</v>
      </c>
      <c r="P141" s="1">
        <v>3</v>
      </c>
      <c r="Q141" t="s">
        <v>69</v>
      </c>
      <c r="R141" t="s">
        <v>70</v>
      </c>
      <c r="S141" t="s">
        <v>71</v>
      </c>
      <c r="U141" t="s">
        <v>72</v>
      </c>
      <c r="V141" t="s">
        <v>73</v>
      </c>
      <c r="W141" t="s">
        <v>74</v>
      </c>
      <c r="X141" t="s">
        <v>1151</v>
      </c>
      <c r="Y141" s="2">
        <v>603</v>
      </c>
      <c r="Z141" s="3">
        <v>1.89</v>
      </c>
      <c r="AA141" s="4">
        <v>1141</v>
      </c>
      <c r="AK141" s="5">
        <v>20.114899999999999</v>
      </c>
      <c r="AN141" s="1">
        <v>3</v>
      </c>
      <c r="AO141" t="s">
        <v>81</v>
      </c>
      <c r="AP141" t="s">
        <v>82</v>
      </c>
      <c r="AQ141" t="s">
        <v>83</v>
      </c>
      <c r="AX141" s="3">
        <v>419068.12</v>
      </c>
      <c r="BB141" t="s">
        <v>84</v>
      </c>
      <c r="BD141" s="3">
        <v>1.89</v>
      </c>
      <c r="BE141" s="4">
        <v>1141</v>
      </c>
      <c r="BF141" s="1">
        <v>603</v>
      </c>
      <c r="BG141" s="1">
        <v>174</v>
      </c>
    </row>
    <row r="142" spans="1:64" x14ac:dyDescent="0.25">
      <c r="A142" t="s">
        <v>1570</v>
      </c>
      <c r="B142" t="s">
        <v>1571</v>
      </c>
      <c r="C142" s="4">
        <f>(AA142*(H142*0.9))*12</f>
        <v>3105345.6</v>
      </c>
      <c r="D142" s="4">
        <f>IF(C142=0,"",(H142*150*12)+C142)</f>
        <v>3558945.6</v>
      </c>
      <c r="E142" s="4">
        <f>IFERROR(D142*0.5,"")</f>
        <v>1779472.8</v>
      </c>
      <c r="F142" s="4">
        <f>IFERROR(E142/0.06,"")</f>
        <v>29657880.000000004</v>
      </c>
      <c r="G142" s="4">
        <f>IFERROR(F142/H142,"")</f>
        <v>117690.00000000001</v>
      </c>
      <c r="H142" s="1">
        <v>252</v>
      </c>
      <c r="I142" s="1">
        <v>1987</v>
      </c>
      <c r="J142" t="s">
        <v>64</v>
      </c>
      <c r="K142" t="s">
        <v>486</v>
      </c>
      <c r="L142" t="s">
        <v>1572</v>
      </c>
      <c r="M142" t="s">
        <v>1573</v>
      </c>
      <c r="N142" t="s">
        <v>1573</v>
      </c>
      <c r="O142" t="s">
        <v>1572</v>
      </c>
      <c r="P142" s="1">
        <v>3</v>
      </c>
      <c r="Q142" t="s">
        <v>69</v>
      </c>
      <c r="R142" t="s">
        <v>70</v>
      </c>
      <c r="S142" t="s">
        <v>71</v>
      </c>
      <c r="U142" t="s">
        <v>72</v>
      </c>
      <c r="V142" t="s">
        <v>73</v>
      </c>
      <c r="W142" t="s">
        <v>74</v>
      </c>
      <c r="X142" t="s">
        <v>1574</v>
      </c>
      <c r="Y142" s="2">
        <v>765</v>
      </c>
      <c r="Z142" s="3">
        <v>1.49</v>
      </c>
      <c r="AA142" s="4">
        <v>1141</v>
      </c>
      <c r="AK142" s="5">
        <v>14.2857</v>
      </c>
      <c r="AN142" s="1">
        <v>3</v>
      </c>
      <c r="AO142" t="s">
        <v>81</v>
      </c>
      <c r="AP142" t="s">
        <v>82</v>
      </c>
      <c r="AQ142" t="s">
        <v>83</v>
      </c>
      <c r="AR142" s="3">
        <v>1.42</v>
      </c>
      <c r="AS142" s="4">
        <v>1231</v>
      </c>
      <c r="AT142" s="1">
        <v>870</v>
      </c>
      <c r="AX142" s="3">
        <v>357604.8</v>
      </c>
      <c r="BB142" t="s">
        <v>84</v>
      </c>
      <c r="BD142" s="3">
        <v>1.6</v>
      </c>
      <c r="BE142" s="4">
        <v>1042</v>
      </c>
      <c r="BF142" s="1">
        <v>650</v>
      </c>
      <c r="BG142" s="1">
        <v>120</v>
      </c>
      <c r="BH142" s="1">
        <v>132</v>
      </c>
    </row>
    <row r="143" spans="1:64" x14ac:dyDescent="0.25">
      <c r="A143" t="s">
        <v>947</v>
      </c>
      <c r="B143" t="s">
        <v>948</v>
      </c>
      <c r="C143" s="4">
        <f>(AA143*(H143*0.9))*12</f>
        <v>1973376</v>
      </c>
      <c r="D143" s="4">
        <f>IF(C143=0,"",(H143*150*12)+C143)</f>
        <v>2261376</v>
      </c>
      <c r="E143" s="4">
        <f>IFERROR(D143*0.5,"")</f>
        <v>1130688</v>
      </c>
      <c r="F143" s="4">
        <f>IFERROR(E143/0.06,"")</f>
        <v>18844800</v>
      </c>
      <c r="G143" s="4">
        <f>IFERROR(F143/H143,"")</f>
        <v>117780</v>
      </c>
      <c r="H143" s="1">
        <v>160</v>
      </c>
      <c r="I143" s="1">
        <v>1986</v>
      </c>
      <c r="J143" t="s">
        <v>64</v>
      </c>
      <c r="K143" t="s">
        <v>943</v>
      </c>
      <c r="L143" t="s">
        <v>193</v>
      </c>
      <c r="M143" t="s">
        <v>949</v>
      </c>
      <c r="N143" t="s">
        <v>950</v>
      </c>
      <c r="O143" t="s">
        <v>193</v>
      </c>
      <c r="P143" s="1">
        <v>3</v>
      </c>
      <c r="Q143" t="s">
        <v>69</v>
      </c>
      <c r="R143" t="s">
        <v>70</v>
      </c>
      <c r="S143" t="s">
        <v>71</v>
      </c>
      <c r="T143" t="s">
        <v>118</v>
      </c>
      <c r="U143" t="s">
        <v>72</v>
      </c>
      <c r="V143" t="s">
        <v>945</v>
      </c>
      <c r="W143" t="s">
        <v>74</v>
      </c>
      <c r="X143" t="s">
        <v>951</v>
      </c>
      <c r="Y143" s="2">
        <v>851</v>
      </c>
      <c r="Z143" s="3">
        <v>1.34</v>
      </c>
      <c r="AA143" s="4">
        <v>1142</v>
      </c>
      <c r="AK143" s="5">
        <v>5.625</v>
      </c>
      <c r="AN143" s="1">
        <v>2</v>
      </c>
      <c r="AO143" t="s">
        <v>81</v>
      </c>
      <c r="AP143" t="s">
        <v>82</v>
      </c>
      <c r="AQ143" t="s">
        <v>83</v>
      </c>
      <c r="AR143" s="3">
        <v>1.28</v>
      </c>
      <c r="AS143" s="4">
        <v>1245</v>
      </c>
      <c r="AT143" s="1">
        <v>975</v>
      </c>
      <c r="AX143" s="3">
        <v>250972.77</v>
      </c>
      <c r="BB143" t="s">
        <v>84</v>
      </c>
      <c r="BD143" s="3">
        <v>1.42</v>
      </c>
      <c r="BE143" s="4">
        <v>1038</v>
      </c>
      <c r="BF143" s="1">
        <v>729</v>
      </c>
      <c r="BG143" s="1">
        <v>80</v>
      </c>
      <c r="BH143" s="1">
        <v>80</v>
      </c>
    </row>
    <row r="144" spans="1:64" x14ac:dyDescent="0.25">
      <c r="A144" t="s">
        <v>893</v>
      </c>
      <c r="B144" t="s">
        <v>894</v>
      </c>
      <c r="C144" s="4">
        <f>(AA144*(H144*0.9))*12</f>
        <v>4144089.6000000006</v>
      </c>
      <c r="D144" s="4">
        <f>IF(C144=0,"",(H144*150*12)+C144)</f>
        <v>4748889.6000000006</v>
      </c>
      <c r="E144" s="4">
        <f>IFERROR(D144*0.5,"")</f>
        <v>2374444.8000000003</v>
      </c>
      <c r="F144" s="4">
        <f>IFERROR(E144/0.06,"")</f>
        <v>39574080.000000007</v>
      </c>
      <c r="G144" s="4">
        <f>IFERROR(F144/H144,"")</f>
        <v>117780.00000000003</v>
      </c>
      <c r="H144" s="1">
        <v>336</v>
      </c>
      <c r="I144" s="1">
        <v>1985</v>
      </c>
      <c r="J144" t="s">
        <v>64</v>
      </c>
      <c r="K144" t="s">
        <v>148</v>
      </c>
      <c r="L144" t="s">
        <v>784</v>
      </c>
      <c r="M144" t="s">
        <v>895</v>
      </c>
      <c r="N144" t="s">
        <v>896</v>
      </c>
      <c r="O144" t="s">
        <v>784</v>
      </c>
      <c r="P144" s="1">
        <v>3</v>
      </c>
      <c r="Q144" t="s">
        <v>91</v>
      </c>
      <c r="R144" t="s">
        <v>70</v>
      </c>
      <c r="S144" t="s">
        <v>71</v>
      </c>
      <c r="U144" t="s">
        <v>72</v>
      </c>
      <c r="V144" t="s">
        <v>152</v>
      </c>
      <c r="W144" t="s">
        <v>74</v>
      </c>
      <c r="X144" t="s">
        <v>780</v>
      </c>
      <c r="Y144" s="2">
        <v>670</v>
      </c>
      <c r="Z144" s="3">
        <v>1.7</v>
      </c>
      <c r="AA144" s="4">
        <v>1142</v>
      </c>
      <c r="AK144" s="5">
        <v>13.6905</v>
      </c>
      <c r="AN144" s="1">
        <v>3</v>
      </c>
      <c r="AO144" t="s">
        <v>81</v>
      </c>
      <c r="AP144" t="s">
        <v>82</v>
      </c>
      <c r="AQ144" t="s">
        <v>83</v>
      </c>
      <c r="AR144" s="3">
        <v>1.61</v>
      </c>
      <c r="AS144" s="4">
        <v>1471</v>
      </c>
      <c r="AT144" s="1">
        <v>911</v>
      </c>
      <c r="AX144" s="3">
        <v>745624.08</v>
      </c>
      <c r="BB144" t="s">
        <v>84</v>
      </c>
      <c r="BD144" s="3">
        <v>1.74</v>
      </c>
      <c r="BE144" s="4">
        <v>1053</v>
      </c>
      <c r="BF144" s="1">
        <v>605</v>
      </c>
      <c r="BG144" s="1">
        <v>264</v>
      </c>
      <c r="BH144" s="1">
        <v>72</v>
      </c>
      <c r="BL144" t="s">
        <v>131</v>
      </c>
    </row>
    <row r="145" spans="1:64" x14ac:dyDescent="0.25">
      <c r="A145" t="s">
        <v>829</v>
      </c>
      <c r="B145" t="s">
        <v>830</v>
      </c>
      <c r="C145" s="4">
        <f>(AA145*(H145*0.9))*12</f>
        <v>703630.8</v>
      </c>
      <c r="D145" s="4">
        <f>IF(C145=0,"",(H145*150*12)+C145)</f>
        <v>806230.8</v>
      </c>
      <c r="E145" s="4">
        <f>IFERROR(D145*0.5,"")</f>
        <v>403115.4</v>
      </c>
      <c r="F145" s="4">
        <f>IFERROR(E145/0.06,"")</f>
        <v>6718590.0000000009</v>
      </c>
      <c r="G145" s="4">
        <f>IFERROR(F145/H145,"")</f>
        <v>117870.00000000001</v>
      </c>
      <c r="H145" s="1">
        <v>57</v>
      </c>
      <c r="I145" s="1">
        <v>1986</v>
      </c>
      <c r="J145" t="s">
        <v>64</v>
      </c>
      <c r="K145" t="s">
        <v>338</v>
      </c>
      <c r="L145" t="s">
        <v>831</v>
      </c>
      <c r="M145" t="s">
        <v>832</v>
      </c>
      <c r="N145" t="s">
        <v>831</v>
      </c>
      <c r="P145" s="1">
        <v>3</v>
      </c>
      <c r="Q145" t="s">
        <v>91</v>
      </c>
      <c r="R145" t="s">
        <v>70</v>
      </c>
      <c r="S145" t="s">
        <v>71</v>
      </c>
      <c r="U145" t="s">
        <v>72</v>
      </c>
      <c r="V145" t="s">
        <v>73</v>
      </c>
      <c r="W145" t="s">
        <v>74</v>
      </c>
      <c r="X145" t="s">
        <v>342</v>
      </c>
      <c r="Y145" s="2">
        <v>589</v>
      </c>
      <c r="Z145" s="3">
        <v>1.94</v>
      </c>
      <c r="AA145" s="4">
        <v>1143</v>
      </c>
      <c r="AK145" s="5">
        <v>8.7719000000000005</v>
      </c>
      <c r="AL145" s="1">
        <v>1</v>
      </c>
      <c r="AM145" s="1">
        <v>2006</v>
      </c>
      <c r="AN145" s="1">
        <v>3</v>
      </c>
      <c r="AO145" t="s">
        <v>81</v>
      </c>
      <c r="AP145" t="s">
        <v>82</v>
      </c>
      <c r="AQ145" t="s">
        <v>83</v>
      </c>
      <c r="AR145" s="3">
        <v>2.12</v>
      </c>
      <c r="AS145" s="4">
        <v>1567</v>
      </c>
      <c r="AT145" s="1">
        <v>738</v>
      </c>
      <c r="AX145" s="3">
        <v>119752.91</v>
      </c>
      <c r="BB145" t="s">
        <v>84</v>
      </c>
      <c r="BD145" s="3">
        <v>1.88</v>
      </c>
      <c r="BE145" s="4">
        <v>1042</v>
      </c>
      <c r="BF145" s="1">
        <v>554</v>
      </c>
      <c r="BG145" s="1">
        <v>46</v>
      </c>
      <c r="BH145" s="1">
        <v>11</v>
      </c>
      <c r="BL145" t="s">
        <v>131</v>
      </c>
    </row>
    <row r="146" spans="1:64" x14ac:dyDescent="0.25">
      <c r="A146" t="s">
        <v>3260</v>
      </c>
      <c r="B146" t="s">
        <v>3261</v>
      </c>
      <c r="C146" s="4">
        <f>(AA146*(H146*0.9))*12</f>
        <v>2425852.7999999998</v>
      </c>
      <c r="D146" s="4">
        <f>IF(C146=0,"",(H146*150*12)+C146)</f>
        <v>2778652.8</v>
      </c>
      <c r="E146" s="4">
        <f>IFERROR(D146*0.5,"")</f>
        <v>1389326.4</v>
      </c>
      <c r="F146" s="4">
        <f>IFERROR(E146/0.06,"")</f>
        <v>23155440</v>
      </c>
      <c r="G146" s="4">
        <f>IFERROR(F146/H146,"")</f>
        <v>118140</v>
      </c>
      <c r="H146" s="1">
        <v>196</v>
      </c>
      <c r="I146" s="1">
        <v>1999</v>
      </c>
      <c r="J146" t="s">
        <v>64</v>
      </c>
      <c r="K146" t="s">
        <v>501</v>
      </c>
      <c r="L146" t="s">
        <v>3262</v>
      </c>
      <c r="M146" t="s">
        <v>3263</v>
      </c>
      <c r="N146" t="s">
        <v>3264</v>
      </c>
      <c r="O146" t="s">
        <v>3262</v>
      </c>
      <c r="P146" s="1">
        <v>4</v>
      </c>
      <c r="Q146" t="s">
        <v>91</v>
      </c>
      <c r="R146" t="s">
        <v>70</v>
      </c>
      <c r="S146" t="s">
        <v>71</v>
      </c>
      <c r="T146" t="s">
        <v>118</v>
      </c>
      <c r="U146" t="s">
        <v>72</v>
      </c>
      <c r="V146" t="s">
        <v>152</v>
      </c>
      <c r="W146" t="s">
        <v>74</v>
      </c>
      <c r="X146" t="s">
        <v>3265</v>
      </c>
      <c r="Y146" s="2">
        <v>926</v>
      </c>
      <c r="Z146" s="3">
        <v>1.24</v>
      </c>
      <c r="AA146" s="4">
        <v>1146</v>
      </c>
      <c r="AK146" s="5">
        <v>31.122399999999999</v>
      </c>
      <c r="AN146" s="1">
        <v>4</v>
      </c>
      <c r="AO146" t="s">
        <v>81</v>
      </c>
      <c r="AP146" t="s">
        <v>82</v>
      </c>
      <c r="AQ146" t="s">
        <v>83</v>
      </c>
      <c r="AR146" s="3">
        <v>1.17</v>
      </c>
      <c r="AS146" s="4">
        <v>1225</v>
      </c>
      <c r="AT146" s="1">
        <v>1045</v>
      </c>
      <c r="AX146" s="3">
        <v>0</v>
      </c>
      <c r="BB146" t="s">
        <v>84</v>
      </c>
      <c r="BD146" s="3">
        <v>1.32</v>
      </c>
      <c r="BE146" s="4">
        <v>1070</v>
      </c>
      <c r="BF146" s="1">
        <v>813</v>
      </c>
      <c r="BG146" s="1">
        <v>100</v>
      </c>
      <c r="BH146" s="1">
        <v>96</v>
      </c>
      <c r="BK146" t="s">
        <v>3266</v>
      </c>
      <c r="BL146" t="s">
        <v>104</v>
      </c>
    </row>
    <row r="147" spans="1:64" x14ac:dyDescent="0.25">
      <c r="A147" t="s">
        <v>1652</v>
      </c>
      <c r="B147" t="s">
        <v>1653</v>
      </c>
      <c r="C147" s="4">
        <f>(AA147*(H147*0.9))*12</f>
        <v>1472839.2000000002</v>
      </c>
      <c r="D147" s="4">
        <f>IF(C147=0,"",(H147*150*12)+C147)</f>
        <v>1687039.2000000002</v>
      </c>
      <c r="E147" s="4">
        <f>IFERROR(D147*0.5,"")</f>
        <v>843519.60000000009</v>
      </c>
      <c r="F147" s="4">
        <f>IFERROR(E147/0.06,"")</f>
        <v>14058660.000000002</v>
      </c>
      <c r="G147" s="4">
        <f>IFERROR(F147/H147,"")</f>
        <v>118140.00000000001</v>
      </c>
      <c r="H147" s="1">
        <v>119</v>
      </c>
      <c r="I147" s="1">
        <v>1985</v>
      </c>
      <c r="J147" t="s">
        <v>64</v>
      </c>
      <c r="K147" t="s">
        <v>943</v>
      </c>
      <c r="L147" t="s">
        <v>1654</v>
      </c>
      <c r="M147" t="s">
        <v>1654</v>
      </c>
      <c r="N147" t="s">
        <v>1655</v>
      </c>
      <c r="O147" t="s">
        <v>1654</v>
      </c>
      <c r="P147" s="1">
        <v>2</v>
      </c>
      <c r="Q147" t="s">
        <v>69</v>
      </c>
      <c r="R147" t="s">
        <v>70</v>
      </c>
      <c r="S147" t="s">
        <v>71</v>
      </c>
      <c r="U147" t="s">
        <v>72</v>
      </c>
      <c r="V147" t="s">
        <v>945</v>
      </c>
      <c r="W147" t="s">
        <v>74</v>
      </c>
      <c r="X147" t="s">
        <v>1656</v>
      </c>
      <c r="Y147" s="2">
        <v>820</v>
      </c>
      <c r="Z147" s="3">
        <v>1.4</v>
      </c>
      <c r="AA147" s="4">
        <v>1146</v>
      </c>
      <c r="AK147" s="5">
        <v>10.9244</v>
      </c>
      <c r="AN147" s="1">
        <v>3</v>
      </c>
      <c r="AO147" t="s">
        <v>81</v>
      </c>
      <c r="AP147" t="s">
        <v>82</v>
      </c>
      <c r="AQ147" t="s">
        <v>83</v>
      </c>
      <c r="AR147" s="3">
        <v>1.38</v>
      </c>
      <c r="AS147" s="4">
        <v>1337</v>
      </c>
      <c r="AT147" s="1">
        <v>970</v>
      </c>
      <c r="AX147" s="3">
        <v>174130.16</v>
      </c>
      <c r="BB147" t="s">
        <v>84</v>
      </c>
      <c r="BD147" s="3">
        <v>1.41</v>
      </c>
      <c r="BE147" s="4">
        <v>1007</v>
      </c>
      <c r="BF147" s="1">
        <v>713</v>
      </c>
      <c r="BG147" s="1">
        <v>69</v>
      </c>
      <c r="BH147" s="1">
        <v>50</v>
      </c>
      <c r="BK147" t="s">
        <v>1657</v>
      </c>
      <c r="BL147" t="s">
        <v>104</v>
      </c>
    </row>
    <row r="148" spans="1:64" x14ac:dyDescent="0.25">
      <c r="A148" t="s">
        <v>286</v>
      </c>
      <c r="B148" t="s">
        <v>287</v>
      </c>
      <c r="C148" s="4">
        <f>(AA148*(H148*0.9))*12</f>
        <v>3914481.6000000006</v>
      </c>
      <c r="D148" s="4">
        <f>IF(C148=0,"",(H148*150*12)+C148)</f>
        <v>4483281.6000000006</v>
      </c>
      <c r="E148" s="4">
        <f>IFERROR(D148*0.5,"")</f>
        <v>2241640.8000000003</v>
      </c>
      <c r="F148" s="4">
        <f>IFERROR(E148/0.06,"")</f>
        <v>37360680.000000007</v>
      </c>
      <c r="G148" s="4">
        <f>IFERROR(F148/H148,"")</f>
        <v>118230.00000000003</v>
      </c>
      <c r="H148" s="1">
        <v>316</v>
      </c>
      <c r="I148" s="1">
        <v>1985</v>
      </c>
      <c r="J148" t="s">
        <v>64</v>
      </c>
      <c r="K148" t="s">
        <v>288</v>
      </c>
      <c r="L148" t="s">
        <v>193</v>
      </c>
      <c r="M148" t="s">
        <v>289</v>
      </c>
      <c r="O148" t="s">
        <v>193</v>
      </c>
      <c r="P148" s="1">
        <v>3</v>
      </c>
      <c r="Q148" t="s">
        <v>69</v>
      </c>
      <c r="R148" t="s">
        <v>70</v>
      </c>
      <c r="S148" t="s">
        <v>71</v>
      </c>
      <c r="U148" t="s">
        <v>72</v>
      </c>
      <c r="V148" t="s">
        <v>152</v>
      </c>
      <c r="W148" t="s">
        <v>74</v>
      </c>
      <c r="X148" t="s">
        <v>290</v>
      </c>
      <c r="Y148" s="2">
        <v>848</v>
      </c>
      <c r="Z148" s="3">
        <v>1.35</v>
      </c>
      <c r="AA148" s="4">
        <v>1147</v>
      </c>
      <c r="AK148" s="5">
        <v>9.8101000000000003</v>
      </c>
      <c r="AM148" s="1">
        <v>2010</v>
      </c>
      <c r="AN148" s="1">
        <v>3</v>
      </c>
      <c r="AO148" t="s">
        <v>81</v>
      </c>
      <c r="AP148" t="s">
        <v>82</v>
      </c>
      <c r="AQ148" t="s">
        <v>83</v>
      </c>
      <c r="AR148" s="3">
        <v>1.27</v>
      </c>
      <c r="AS148" s="4">
        <v>1336</v>
      </c>
      <c r="AT148" s="1">
        <v>1048</v>
      </c>
      <c r="AX148" s="3">
        <v>0</v>
      </c>
      <c r="BB148" t="s">
        <v>84</v>
      </c>
      <c r="BD148" s="3">
        <v>1.47</v>
      </c>
      <c r="BE148" s="4">
        <v>962</v>
      </c>
      <c r="BF148" s="1">
        <v>654</v>
      </c>
      <c r="BG148" s="1">
        <v>160</v>
      </c>
      <c r="BH148" s="1">
        <v>156</v>
      </c>
    </row>
    <row r="149" spans="1:64" x14ac:dyDescent="0.25">
      <c r="A149" t="s">
        <v>2762</v>
      </c>
      <c r="B149" t="s">
        <v>2763</v>
      </c>
      <c r="C149" s="4">
        <f>(AA149*(H149*0.9))*12</f>
        <v>2975616</v>
      </c>
      <c r="D149" s="4">
        <f>IF(C149=0,"",(H149*150*12)+C149)</f>
        <v>3407616</v>
      </c>
      <c r="E149" s="4">
        <f>IFERROR(D149*0.5,"")</f>
        <v>1703808</v>
      </c>
      <c r="F149" s="4">
        <f>IFERROR(E149/0.06,"")</f>
        <v>28396800</v>
      </c>
      <c r="G149" s="4">
        <f>IFERROR(F149/H149,"")</f>
        <v>118320</v>
      </c>
      <c r="H149" s="1">
        <v>240</v>
      </c>
      <c r="I149" s="1">
        <v>1997</v>
      </c>
      <c r="J149" t="s">
        <v>64</v>
      </c>
      <c r="K149" t="s">
        <v>134</v>
      </c>
      <c r="L149" t="s">
        <v>2764</v>
      </c>
      <c r="M149" t="s">
        <v>2765</v>
      </c>
      <c r="N149" t="s">
        <v>2766</v>
      </c>
      <c r="O149" t="s">
        <v>2764</v>
      </c>
      <c r="P149" s="1">
        <v>4</v>
      </c>
      <c r="Q149" t="s">
        <v>91</v>
      </c>
      <c r="R149" t="s">
        <v>70</v>
      </c>
      <c r="S149" t="s">
        <v>71</v>
      </c>
      <c r="U149" t="s">
        <v>72</v>
      </c>
      <c r="V149" t="s">
        <v>73</v>
      </c>
      <c r="W149" t="s">
        <v>74</v>
      </c>
      <c r="X149" t="s">
        <v>2767</v>
      </c>
      <c r="Y149" s="2">
        <v>885</v>
      </c>
      <c r="Z149" s="3">
        <v>1.3</v>
      </c>
      <c r="AA149" s="4">
        <v>1148</v>
      </c>
      <c r="AK149" s="5">
        <v>6.6666999999999996</v>
      </c>
      <c r="AN149" s="1">
        <v>3</v>
      </c>
      <c r="AO149" t="s">
        <v>81</v>
      </c>
      <c r="AP149" t="s">
        <v>82</v>
      </c>
      <c r="AQ149" t="s">
        <v>83</v>
      </c>
      <c r="AR149" s="3">
        <v>1.28</v>
      </c>
      <c r="AS149" s="4">
        <v>1320</v>
      </c>
      <c r="AT149" s="1">
        <v>1035</v>
      </c>
      <c r="AU149" s="3">
        <v>1.6</v>
      </c>
      <c r="AV149" s="4">
        <v>2174</v>
      </c>
      <c r="AW149" s="1">
        <v>1355</v>
      </c>
      <c r="AX149" s="3">
        <v>985198</v>
      </c>
      <c r="BB149" t="s">
        <v>84</v>
      </c>
      <c r="BD149" s="3">
        <v>1.26</v>
      </c>
      <c r="BE149" s="4">
        <v>941</v>
      </c>
      <c r="BF149" s="1">
        <v>744</v>
      </c>
      <c r="BG149" s="1">
        <v>136</v>
      </c>
      <c r="BH149" s="1">
        <v>92</v>
      </c>
      <c r="BI149" s="1">
        <v>12</v>
      </c>
      <c r="BL149" t="s">
        <v>131</v>
      </c>
    </row>
    <row r="150" spans="1:64" x14ac:dyDescent="0.25">
      <c r="A150" t="s">
        <v>1354</v>
      </c>
      <c r="B150" t="s">
        <v>1355</v>
      </c>
      <c r="C150" s="4">
        <f>(AA150*(H150*0.9))*12</f>
        <v>2090188.8000000003</v>
      </c>
      <c r="D150" s="4">
        <f>IF(C150=0,"",(H150*150*12)+C150)</f>
        <v>2392588.8000000003</v>
      </c>
      <c r="E150" s="4">
        <f>IFERROR(D150*0.5,"")</f>
        <v>1196294.4000000001</v>
      </c>
      <c r="F150" s="4">
        <f>IFERROR(E150/0.06,"")</f>
        <v>19938240.000000004</v>
      </c>
      <c r="G150" s="4">
        <f>IFERROR(F150/H150,"")</f>
        <v>118680.00000000003</v>
      </c>
      <c r="H150" s="1">
        <v>168</v>
      </c>
      <c r="I150" s="1">
        <v>1985</v>
      </c>
      <c r="J150" t="s">
        <v>64</v>
      </c>
      <c r="K150" t="s">
        <v>734</v>
      </c>
      <c r="L150" t="s">
        <v>1356</v>
      </c>
      <c r="M150" t="s">
        <v>1357</v>
      </c>
      <c r="N150" t="s">
        <v>1358</v>
      </c>
      <c r="O150" t="s">
        <v>1356</v>
      </c>
      <c r="P150" s="1">
        <v>3</v>
      </c>
      <c r="Q150" t="s">
        <v>91</v>
      </c>
      <c r="R150" t="s">
        <v>70</v>
      </c>
      <c r="S150" t="s">
        <v>71</v>
      </c>
      <c r="U150" t="s">
        <v>72</v>
      </c>
      <c r="V150" t="s">
        <v>73</v>
      </c>
      <c r="W150" t="s">
        <v>74</v>
      </c>
      <c r="X150" t="s">
        <v>730</v>
      </c>
      <c r="Y150" s="2">
        <v>761</v>
      </c>
      <c r="Z150" s="3">
        <v>1.51</v>
      </c>
      <c r="AA150" s="4">
        <v>1152</v>
      </c>
      <c r="AK150" s="5">
        <v>13.0952</v>
      </c>
      <c r="AN150" s="1">
        <v>2</v>
      </c>
      <c r="AO150" t="s">
        <v>81</v>
      </c>
      <c r="AP150" t="s">
        <v>82</v>
      </c>
      <c r="AQ150" t="s">
        <v>83</v>
      </c>
      <c r="AR150" s="3">
        <v>1.52</v>
      </c>
      <c r="AS150" s="4">
        <v>1523</v>
      </c>
      <c r="AT150" s="1">
        <v>1004</v>
      </c>
      <c r="BB150" t="s">
        <v>84</v>
      </c>
      <c r="BD150" s="3">
        <v>1.51</v>
      </c>
      <c r="BE150" s="4">
        <v>1065</v>
      </c>
      <c r="BF150" s="1">
        <v>704</v>
      </c>
      <c r="BG150" s="1">
        <v>136</v>
      </c>
      <c r="BH150" s="1">
        <v>32</v>
      </c>
      <c r="BL150" t="s">
        <v>94</v>
      </c>
    </row>
    <row r="151" spans="1:64" x14ac:dyDescent="0.25">
      <c r="A151" t="s">
        <v>1602</v>
      </c>
      <c r="B151" t="s">
        <v>1603</v>
      </c>
      <c r="C151" s="4">
        <f>(AA151*(H151*0.9))*12</f>
        <v>2496960</v>
      </c>
      <c r="D151" s="4">
        <f>IF(C151=0,"",(H151*150*12)+C151)</f>
        <v>2856960</v>
      </c>
      <c r="E151" s="4">
        <f>IFERROR(D151*0.5,"")</f>
        <v>1428480</v>
      </c>
      <c r="F151" s="4">
        <f>IFERROR(E151/0.06,"")</f>
        <v>23808000</v>
      </c>
      <c r="G151" s="4">
        <f>IFERROR(F151/H151,"")</f>
        <v>119040</v>
      </c>
      <c r="H151" s="1">
        <v>200</v>
      </c>
      <c r="I151" s="1">
        <v>1986</v>
      </c>
      <c r="J151" t="s">
        <v>64</v>
      </c>
      <c r="K151" t="s">
        <v>725</v>
      </c>
      <c r="L151" t="s">
        <v>784</v>
      </c>
      <c r="M151" t="s">
        <v>1604</v>
      </c>
      <c r="N151" t="s">
        <v>1605</v>
      </c>
      <c r="O151" t="s">
        <v>784</v>
      </c>
      <c r="P151" s="1">
        <v>3</v>
      </c>
      <c r="Q151" t="s">
        <v>91</v>
      </c>
      <c r="R151" t="s">
        <v>70</v>
      </c>
      <c r="S151" t="s">
        <v>71</v>
      </c>
      <c r="U151" t="s">
        <v>72</v>
      </c>
      <c r="V151" t="s">
        <v>73</v>
      </c>
      <c r="W151" t="s">
        <v>74</v>
      </c>
      <c r="X151" t="s">
        <v>730</v>
      </c>
      <c r="Y151" s="2">
        <v>583</v>
      </c>
      <c r="Z151" s="3">
        <v>1.97</v>
      </c>
      <c r="AA151" s="4">
        <v>1156</v>
      </c>
      <c r="AK151" s="5">
        <v>8</v>
      </c>
      <c r="AM151" s="1">
        <v>2016</v>
      </c>
      <c r="AN151" s="1">
        <v>3</v>
      </c>
      <c r="AO151" t="s">
        <v>81</v>
      </c>
      <c r="AP151" t="s">
        <v>82</v>
      </c>
      <c r="AQ151" t="s">
        <v>83</v>
      </c>
      <c r="AR151" s="3">
        <v>1.57</v>
      </c>
      <c r="AS151" s="4">
        <v>1530</v>
      </c>
      <c r="AT151" s="1">
        <v>985</v>
      </c>
      <c r="AX151" s="3">
        <v>393995.49</v>
      </c>
      <c r="BB151" t="s">
        <v>84</v>
      </c>
      <c r="BD151" s="3">
        <v>1.98</v>
      </c>
      <c r="BE151" s="4">
        <v>1144</v>
      </c>
      <c r="BF151" s="1">
        <v>577</v>
      </c>
      <c r="BG151" s="1">
        <v>194</v>
      </c>
      <c r="BH151" s="1">
        <v>6</v>
      </c>
      <c r="BL151" t="s">
        <v>131</v>
      </c>
    </row>
    <row r="152" spans="1:64" x14ac:dyDescent="0.25">
      <c r="A152" t="s">
        <v>1963</v>
      </c>
      <c r="B152" t="s">
        <v>1964</v>
      </c>
      <c r="C152" s="4">
        <f>(AA152*(H152*0.9))*12</f>
        <v>1223510.3999999999</v>
      </c>
      <c r="D152" s="4">
        <f>IF(C152=0,"",(H152*150*12)+C152)</f>
        <v>1399910.3999999999</v>
      </c>
      <c r="E152" s="4">
        <f>IFERROR(D152*0.5,"")</f>
        <v>699955.19999999995</v>
      </c>
      <c r="F152" s="4">
        <f>IFERROR(E152/0.06,"")</f>
        <v>11665920</v>
      </c>
      <c r="G152" s="4">
        <f>IFERROR(F152/H152,"")</f>
        <v>119040</v>
      </c>
      <c r="H152" s="1">
        <v>98</v>
      </c>
      <c r="I152" s="1">
        <v>1985</v>
      </c>
      <c r="J152" t="s">
        <v>64</v>
      </c>
      <c r="K152" t="s">
        <v>995</v>
      </c>
      <c r="L152" t="s">
        <v>1965</v>
      </c>
      <c r="M152" t="s">
        <v>1966</v>
      </c>
      <c r="N152" t="s">
        <v>1967</v>
      </c>
      <c r="O152" t="s">
        <v>1965</v>
      </c>
      <c r="P152" s="1">
        <v>3</v>
      </c>
      <c r="Q152" t="s">
        <v>91</v>
      </c>
      <c r="R152" t="s">
        <v>70</v>
      </c>
      <c r="S152" t="s">
        <v>71</v>
      </c>
      <c r="U152" t="s">
        <v>72</v>
      </c>
      <c r="V152" t="s">
        <v>73</v>
      </c>
      <c r="W152" t="s">
        <v>74</v>
      </c>
      <c r="X152" t="s">
        <v>1968</v>
      </c>
      <c r="Y152" s="2">
        <v>744</v>
      </c>
      <c r="Z152" s="3">
        <v>1.55</v>
      </c>
      <c r="AA152" s="4">
        <v>1156</v>
      </c>
      <c r="AK152" s="5">
        <v>14.2857</v>
      </c>
      <c r="AM152" s="1">
        <v>2017</v>
      </c>
      <c r="AN152" s="1">
        <v>2</v>
      </c>
      <c r="AO152" t="s">
        <v>81</v>
      </c>
      <c r="AP152" t="s">
        <v>82</v>
      </c>
      <c r="AQ152" t="s">
        <v>83</v>
      </c>
      <c r="AR152" s="3">
        <v>1.51</v>
      </c>
      <c r="AS152" s="4">
        <v>1490</v>
      </c>
      <c r="AT152" s="1">
        <v>987</v>
      </c>
      <c r="AX152" s="3">
        <v>1257.99</v>
      </c>
      <c r="BB152" t="s">
        <v>84</v>
      </c>
      <c r="BD152" s="3">
        <v>1.57</v>
      </c>
      <c r="BE152" s="4">
        <v>1070</v>
      </c>
      <c r="BF152" s="1">
        <v>682</v>
      </c>
      <c r="BG152" s="1">
        <v>78</v>
      </c>
      <c r="BH152" s="1">
        <v>20</v>
      </c>
      <c r="BL152" t="s">
        <v>131</v>
      </c>
    </row>
    <row r="153" spans="1:64" x14ac:dyDescent="0.25">
      <c r="A153" t="s">
        <v>651</v>
      </c>
      <c r="B153" t="s">
        <v>652</v>
      </c>
      <c r="C153" s="4">
        <f>(AA153*(H153*0.9))*12</f>
        <v>637275.6</v>
      </c>
      <c r="D153" s="4">
        <f>IF(C153=0,"",(H153*150*12)+C153)</f>
        <v>729075.6</v>
      </c>
      <c r="E153" s="4">
        <f>IFERROR(D153*0.5,"")</f>
        <v>364537.8</v>
      </c>
      <c r="F153" s="4">
        <f>IFERROR(E153/0.06,"")</f>
        <v>6075630</v>
      </c>
      <c r="G153" s="4">
        <f>IFERROR(F153/H153,"")</f>
        <v>119130</v>
      </c>
      <c r="H153" s="1">
        <v>51</v>
      </c>
      <c r="I153" s="1">
        <v>1990</v>
      </c>
      <c r="J153" t="s">
        <v>64</v>
      </c>
      <c r="K153" t="s">
        <v>653</v>
      </c>
      <c r="L153" t="s">
        <v>654</v>
      </c>
      <c r="M153" t="s">
        <v>655</v>
      </c>
      <c r="N153" t="s">
        <v>656</v>
      </c>
      <c r="O153" t="s">
        <v>654</v>
      </c>
      <c r="P153" s="1">
        <v>3</v>
      </c>
      <c r="Q153" t="s">
        <v>69</v>
      </c>
      <c r="R153" t="s">
        <v>70</v>
      </c>
      <c r="S153" t="s">
        <v>71</v>
      </c>
      <c r="U153" t="s">
        <v>72</v>
      </c>
      <c r="V153" t="s">
        <v>152</v>
      </c>
      <c r="W153" t="s">
        <v>74</v>
      </c>
      <c r="X153" t="s">
        <v>657</v>
      </c>
      <c r="Y153" s="2">
        <v>762</v>
      </c>
      <c r="Z153" s="3">
        <v>1.52</v>
      </c>
      <c r="AA153" s="4">
        <v>1157</v>
      </c>
      <c r="AK153" s="5">
        <v>7.8430999999999997</v>
      </c>
      <c r="AM153" s="1">
        <v>2000</v>
      </c>
      <c r="AN153" s="1">
        <v>1</v>
      </c>
      <c r="AO153" t="s">
        <v>81</v>
      </c>
      <c r="AP153" t="s">
        <v>82</v>
      </c>
      <c r="AQ153" t="s">
        <v>83</v>
      </c>
      <c r="AR153" s="3">
        <v>1.55</v>
      </c>
      <c r="AS153" s="4">
        <v>1309</v>
      </c>
      <c r="AT153" s="1">
        <v>844</v>
      </c>
      <c r="AX153" s="3">
        <v>136876.68</v>
      </c>
      <c r="BB153" t="s">
        <v>84</v>
      </c>
      <c r="BD153" s="3">
        <v>1.47</v>
      </c>
      <c r="BE153" s="4">
        <v>999</v>
      </c>
      <c r="BF153" s="1">
        <v>678</v>
      </c>
      <c r="BG153" s="1">
        <v>25</v>
      </c>
      <c r="BH153" s="1">
        <v>26</v>
      </c>
    </row>
    <row r="154" spans="1:64" x14ac:dyDescent="0.25">
      <c r="A154" t="s">
        <v>651</v>
      </c>
      <c r="B154" t="s">
        <v>652</v>
      </c>
      <c r="C154" s="4">
        <f>(AA154*(H154*0.9))*12</f>
        <v>637275.6</v>
      </c>
      <c r="D154" s="4">
        <f>IF(C154=0,"",(H154*150*12)+C154)</f>
        <v>729075.6</v>
      </c>
      <c r="E154" s="4">
        <f>IFERROR(D154*0.5,"")</f>
        <v>364537.8</v>
      </c>
      <c r="F154" s="4">
        <f>IFERROR(E154/0.06,"")</f>
        <v>6075630</v>
      </c>
      <c r="G154" s="4">
        <f>IFERROR(F154/H154,"")</f>
        <v>119130</v>
      </c>
      <c r="H154" s="1">
        <v>51</v>
      </c>
      <c r="I154" s="1">
        <v>1990</v>
      </c>
      <c r="J154" t="s">
        <v>64</v>
      </c>
      <c r="K154" t="s">
        <v>653</v>
      </c>
      <c r="L154" t="s">
        <v>654</v>
      </c>
      <c r="M154" t="s">
        <v>655</v>
      </c>
      <c r="N154" t="s">
        <v>656</v>
      </c>
      <c r="O154" t="s">
        <v>654</v>
      </c>
      <c r="P154" s="1">
        <v>3</v>
      </c>
      <c r="Q154" t="s">
        <v>69</v>
      </c>
      <c r="R154" t="s">
        <v>70</v>
      </c>
      <c r="S154" t="s">
        <v>71</v>
      </c>
      <c r="U154" t="s">
        <v>72</v>
      </c>
      <c r="V154" t="s">
        <v>152</v>
      </c>
      <c r="W154" t="s">
        <v>74</v>
      </c>
      <c r="X154" t="s">
        <v>657</v>
      </c>
      <c r="Y154" s="2">
        <v>762</v>
      </c>
      <c r="Z154" s="3">
        <v>1.52</v>
      </c>
      <c r="AA154" s="4">
        <v>1157</v>
      </c>
      <c r="AK154" s="5">
        <v>7.8430999999999997</v>
      </c>
      <c r="AM154" s="1">
        <v>2000</v>
      </c>
      <c r="AN154" s="1">
        <v>1</v>
      </c>
      <c r="AO154" t="s">
        <v>81</v>
      </c>
      <c r="AP154" t="s">
        <v>82</v>
      </c>
      <c r="AQ154" t="s">
        <v>83</v>
      </c>
      <c r="AR154" s="3">
        <v>1.55</v>
      </c>
      <c r="AS154" s="4">
        <v>1309</v>
      </c>
      <c r="AT154" s="1">
        <v>844</v>
      </c>
      <c r="AX154" s="3">
        <v>136876.68</v>
      </c>
      <c r="BB154" t="s">
        <v>84</v>
      </c>
      <c r="BD154" s="3">
        <v>1.47</v>
      </c>
      <c r="BE154" s="4">
        <v>999</v>
      </c>
      <c r="BF154" s="1">
        <v>678</v>
      </c>
      <c r="BG154" s="1">
        <v>25</v>
      </c>
      <c r="BH154" s="1">
        <v>26</v>
      </c>
    </row>
    <row r="155" spans="1:64" x14ac:dyDescent="0.25">
      <c r="A155" t="s">
        <v>1812</v>
      </c>
      <c r="B155" t="s">
        <v>1813</v>
      </c>
      <c r="C155" s="4">
        <f>(AA155*(H155*0.9))*12</f>
        <v>2102889.6</v>
      </c>
      <c r="D155" s="4">
        <f>IF(C155=0,"",(H155*150*12)+C155)</f>
        <v>2405289.6</v>
      </c>
      <c r="E155" s="4">
        <f>IFERROR(D155*0.5,"")</f>
        <v>1202644.8</v>
      </c>
      <c r="F155" s="4">
        <f>IFERROR(E155/0.06,"")</f>
        <v>20044080</v>
      </c>
      <c r="G155" s="4">
        <f>IFERROR(F155/H155,"")</f>
        <v>119310</v>
      </c>
      <c r="H155" s="1">
        <v>168</v>
      </c>
      <c r="I155" s="1">
        <v>1985</v>
      </c>
      <c r="J155" t="s">
        <v>64</v>
      </c>
      <c r="K155" t="s">
        <v>148</v>
      </c>
      <c r="L155" t="s">
        <v>1471</v>
      </c>
      <c r="M155" t="s">
        <v>1814</v>
      </c>
      <c r="N155" t="s">
        <v>1815</v>
      </c>
      <c r="O155" t="s">
        <v>1471</v>
      </c>
      <c r="P155" s="1">
        <v>3</v>
      </c>
      <c r="Q155" t="s">
        <v>69</v>
      </c>
      <c r="R155" t="s">
        <v>70</v>
      </c>
      <c r="S155" t="s">
        <v>71</v>
      </c>
      <c r="U155" t="s">
        <v>72</v>
      </c>
      <c r="V155" t="s">
        <v>152</v>
      </c>
      <c r="W155" t="s">
        <v>74</v>
      </c>
      <c r="X155" t="s">
        <v>1816</v>
      </c>
      <c r="Y155" s="2">
        <v>752</v>
      </c>
      <c r="Z155" s="3">
        <v>1.54</v>
      </c>
      <c r="AA155" s="4">
        <v>1159</v>
      </c>
      <c r="AK155" s="5">
        <v>8.3332999999999995</v>
      </c>
      <c r="AN155" s="1">
        <v>2</v>
      </c>
      <c r="AO155" t="s">
        <v>81</v>
      </c>
      <c r="AP155" t="s">
        <v>82</v>
      </c>
      <c r="AQ155" t="s">
        <v>83</v>
      </c>
      <c r="AR155" s="3">
        <v>1.42</v>
      </c>
      <c r="AS155" s="4">
        <v>1252</v>
      </c>
      <c r="AT155" s="1">
        <v>880</v>
      </c>
      <c r="AU155" s="3">
        <v>1.59</v>
      </c>
      <c r="AV155" s="4">
        <v>1658</v>
      </c>
      <c r="AW155" s="1">
        <v>1043</v>
      </c>
      <c r="AX155" s="3">
        <v>365502</v>
      </c>
      <c r="BB155" t="s">
        <v>84</v>
      </c>
      <c r="BD155" s="3">
        <v>1.69</v>
      </c>
      <c r="BE155" s="4">
        <v>976</v>
      </c>
      <c r="BF155" s="1">
        <v>579</v>
      </c>
      <c r="BG155" s="1">
        <v>80</v>
      </c>
      <c r="BH155" s="1">
        <v>72</v>
      </c>
      <c r="BI155" s="1">
        <v>16</v>
      </c>
      <c r="BK155" t="s">
        <v>145</v>
      </c>
      <c r="BL155" t="s">
        <v>104</v>
      </c>
    </row>
    <row r="156" spans="1:64" x14ac:dyDescent="0.25">
      <c r="A156" t="s">
        <v>4297</v>
      </c>
      <c r="B156" t="s">
        <v>2894</v>
      </c>
      <c r="C156" s="4">
        <f>(AA156*(H156*0.9))*12</f>
        <v>1253880</v>
      </c>
      <c r="D156" s="4">
        <f>IF(C156=0,"",(H156*150*12)+C156)</f>
        <v>1433880</v>
      </c>
      <c r="E156" s="4">
        <f>IFERROR(D156*0.5,"")</f>
        <v>716940</v>
      </c>
      <c r="F156" s="4">
        <f>IFERROR(E156/0.06,"")</f>
        <v>11949000</v>
      </c>
      <c r="G156" s="4">
        <f>IFERROR(F156/H156,"")</f>
        <v>119490</v>
      </c>
      <c r="H156" s="1">
        <v>100</v>
      </c>
      <c r="I156" s="1">
        <v>1998</v>
      </c>
      <c r="J156" t="s">
        <v>64</v>
      </c>
      <c r="K156" t="s">
        <v>301</v>
      </c>
      <c r="L156" t="s">
        <v>4298</v>
      </c>
      <c r="M156" t="s">
        <v>4299</v>
      </c>
      <c r="N156" t="s">
        <v>4300</v>
      </c>
      <c r="O156" t="s">
        <v>4298</v>
      </c>
      <c r="P156" s="1">
        <v>3</v>
      </c>
      <c r="Q156" t="s">
        <v>91</v>
      </c>
      <c r="R156" t="s">
        <v>70</v>
      </c>
      <c r="S156" t="s">
        <v>71</v>
      </c>
      <c r="U156" t="s">
        <v>72</v>
      </c>
      <c r="V156" t="s">
        <v>152</v>
      </c>
      <c r="W156" t="s">
        <v>74</v>
      </c>
      <c r="X156" t="s">
        <v>2072</v>
      </c>
      <c r="AA156" s="4">
        <v>1161</v>
      </c>
      <c r="AK156" s="5">
        <v>2</v>
      </c>
      <c r="AN156" s="1">
        <v>2</v>
      </c>
      <c r="AO156" t="s">
        <v>81</v>
      </c>
      <c r="AP156" t="s">
        <v>82</v>
      </c>
      <c r="AQ156" t="s">
        <v>83</v>
      </c>
      <c r="AS156" s="4">
        <v>1161</v>
      </c>
      <c r="AX156" s="3">
        <v>207558.9</v>
      </c>
      <c r="BB156" t="s">
        <v>84</v>
      </c>
      <c r="BH156" s="1">
        <v>100</v>
      </c>
      <c r="BL156" t="s">
        <v>131</v>
      </c>
    </row>
    <row r="157" spans="1:64" x14ac:dyDescent="0.25">
      <c r="A157" t="s">
        <v>927</v>
      </c>
      <c r="B157" t="s">
        <v>928</v>
      </c>
      <c r="C157" s="4">
        <f>(AA157*(H157*0.9))*12</f>
        <v>4166467.2</v>
      </c>
      <c r="D157" s="4">
        <f>IF(C157=0,"",(H157*150*12)+C157)</f>
        <v>4764067.2</v>
      </c>
      <c r="E157" s="4">
        <f>IFERROR(D157*0.5,"")</f>
        <v>2382033.6</v>
      </c>
      <c r="F157" s="4">
        <f>IFERROR(E157/0.06,"")</f>
        <v>39700560</v>
      </c>
      <c r="G157" s="4">
        <f>IFERROR(F157/H157,"")</f>
        <v>119580</v>
      </c>
      <c r="H157" s="1">
        <v>332</v>
      </c>
      <c r="I157" s="1">
        <v>1986</v>
      </c>
      <c r="J157" t="s">
        <v>64</v>
      </c>
      <c r="K157" t="s">
        <v>215</v>
      </c>
      <c r="L157" t="s">
        <v>929</v>
      </c>
      <c r="M157" t="s">
        <v>930</v>
      </c>
      <c r="N157" t="s">
        <v>931</v>
      </c>
      <c r="O157" t="s">
        <v>929</v>
      </c>
      <c r="P157" s="1">
        <v>3</v>
      </c>
      <c r="Q157" t="s">
        <v>69</v>
      </c>
      <c r="R157" t="s">
        <v>70</v>
      </c>
      <c r="S157" t="s">
        <v>71</v>
      </c>
      <c r="U157" t="s">
        <v>72</v>
      </c>
      <c r="V157" t="s">
        <v>215</v>
      </c>
      <c r="W157" t="s">
        <v>74</v>
      </c>
      <c r="X157" t="s">
        <v>932</v>
      </c>
      <c r="Y157" s="2">
        <v>667</v>
      </c>
      <c r="Z157" s="3">
        <v>1.74</v>
      </c>
      <c r="AA157" s="4">
        <v>1162</v>
      </c>
      <c r="AK157" s="5">
        <v>10.241</v>
      </c>
      <c r="AN157" s="1">
        <v>3</v>
      </c>
      <c r="AO157" t="s">
        <v>81</v>
      </c>
      <c r="AP157" t="s">
        <v>82</v>
      </c>
      <c r="AQ157" t="s">
        <v>83</v>
      </c>
      <c r="AR157" s="3">
        <v>1.55</v>
      </c>
      <c r="AS157" s="4">
        <v>1352</v>
      </c>
      <c r="AT157" s="1">
        <v>873</v>
      </c>
      <c r="AX157" s="3">
        <v>687147.28</v>
      </c>
      <c r="AY157" s="3">
        <v>2.25</v>
      </c>
      <c r="AZ157" s="4">
        <v>992</v>
      </c>
      <c r="BA157" s="6">
        <v>440</v>
      </c>
      <c r="BB157" t="s">
        <v>84</v>
      </c>
      <c r="BD157" s="3">
        <v>1.83</v>
      </c>
      <c r="BE157" s="4">
        <v>1073</v>
      </c>
      <c r="BF157" s="1">
        <v>587</v>
      </c>
      <c r="BG157" s="1">
        <v>159</v>
      </c>
      <c r="BH157" s="1">
        <v>121</v>
      </c>
      <c r="BL157" t="s">
        <v>131</v>
      </c>
    </row>
    <row r="158" spans="1:64" x14ac:dyDescent="0.25">
      <c r="A158" t="s">
        <v>2571</v>
      </c>
      <c r="B158" t="s">
        <v>2572</v>
      </c>
      <c r="C158" s="4">
        <f>(AA158*(H158*0.9))*12</f>
        <v>3768120</v>
      </c>
      <c r="D158" s="4">
        <f>IF(C158=0,"",(H158*150*12)+C158)</f>
        <v>4308120</v>
      </c>
      <c r="E158" s="4">
        <f>IFERROR(D158*0.5,"")</f>
        <v>2154060</v>
      </c>
      <c r="F158" s="4">
        <f>IFERROR(E158/0.06,"")</f>
        <v>35901000</v>
      </c>
      <c r="G158" s="4">
        <f>IFERROR(F158/H158,"")</f>
        <v>119670</v>
      </c>
      <c r="H158" s="1">
        <v>300</v>
      </c>
      <c r="I158" s="1">
        <v>1995</v>
      </c>
      <c r="J158" t="s">
        <v>64</v>
      </c>
      <c r="K158" t="s">
        <v>1133</v>
      </c>
      <c r="L158" t="s">
        <v>2573</v>
      </c>
      <c r="M158" t="s">
        <v>2574</v>
      </c>
      <c r="N158" t="s">
        <v>2575</v>
      </c>
      <c r="O158" t="s">
        <v>2573</v>
      </c>
      <c r="P158" s="1">
        <v>2</v>
      </c>
      <c r="Q158" t="s">
        <v>69</v>
      </c>
      <c r="R158" t="s">
        <v>70</v>
      </c>
      <c r="S158" t="s">
        <v>71</v>
      </c>
      <c r="T158" t="s">
        <v>118</v>
      </c>
      <c r="U158" t="s">
        <v>72</v>
      </c>
      <c r="V158" t="s">
        <v>264</v>
      </c>
      <c r="W158" t="s">
        <v>74</v>
      </c>
      <c r="X158" t="s">
        <v>2576</v>
      </c>
      <c r="Y158" s="2">
        <v>832</v>
      </c>
      <c r="Z158" s="3">
        <v>1.4</v>
      </c>
      <c r="AA158" s="4">
        <v>1163</v>
      </c>
      <c r="AK158" s="5">
        <v>9.6667000000000005</v>
      </c>
      <c r="AN158" s="1">
        <v>3</v>
      </c>
      <c r="AO158" t="s">
        <v>81</v>
      </c>
      <c r="AP158" t="s">
        <v>82</v>
      </c>
      <c r="AQ158" t="s">
        <v>83</v>
      </c>
      <c r="AR158" s="3">
        <v>1.29</v>
      </c>
      <c r="AS158" s="4">
        <v>1163</v>
      </c>
      <c r="AT158" s="1">
        <v>900</v>
      </c>
      <c r="AU158" s="3">
        <v>1.68</v>
      </c>
      <c r="AV158" s="4">
        <v>1850</v>
      </c>
      <c r="AW158" s="1">
        <v>1100</v>
      </c>
      <c r="AX158" s="3">
        <v>615802.6</v>
      </c>
      <c r="BB158" t="s">
        <v>84</v>
      </c>
      <c r="BD158" s="3">
        <v>1.37</v>
      </c>
      <c r="BE158" s="4">
        <v>888</v>
      </c>
      <c r="BF158" s="1">
        <v>650</v>
      </c>
      <c r="BG158" s="1">
        <v>120</v>
      </c>
      <c r="BH158" s="1">
        <v>132</v>
      </c>
      <c r="BI158" s="1">
        <v>48</v>
      </c>
      <c r="BK158" t="s">
        <v>1403</v>
      </c>
      <c r="BL158" t="s">
        <v>131</v>
      </c>
    </row>
    <row r="159" spans="1:64" x14ac:dyDescent="0.25">
      <c r="A159" t="s">
        <v>3087</v>
      </c>
      <c r="B159" t="s">
        <v>3088</v>
      </c>
      <c r="C159" s="4">
        <f>(AA159*(H159*0.9))*12</f>
        <v>1607731.2000000002</v>
      </c>
      <c r="D159" s="4">
        <f>IF(C159=0,"",(H159*150*12)+C159)</f>
        <v>1838131.2000000002</v>
      </c>
      <c r="E159" s="4">
        <f>IFERROR(D159*0.5,"")</f>
        <v>919065.60000000009</v>
      </c>
      <c r="F159" s="4">
        <f>IFERROR(E159/0.06,"")</f>
        <v>15317760.000000002</v>
      </c>
      <c r="G159" s="4">
        <f>IFERROR(F159/H159,"")</f>
        <v>119670.00000000001</v>
      </c>
      <c r="H159" s="1">
        <v>128</v>
      </c>
      <c r="I159" s="1">
        <v>2000</v>
      </c>
      <c r="J159" t="s">
        <v>64</v>
      </c>
      <c r="K159" t="s">
        <v>943</v>
      </c>
      <c r="L159" t="s">
        <v>3089</v>
      </c>
      <c r="M159" t="s">
        <v>3090</v>
      </c>
      <c r="O159" t="s">
        <v>3089</v>
      </c>
      <c r="P159" s="1">
        <v>4</v>
      </c>
      <c r="Q159" t="s">
        <v>91</v>
      </c>
      <c r="R159" t="s">
        <v>70</v>
      </c>
      <c r="S159" t="s">
        <v>71</v>
      </c>
      <c r="T159" t="s">
        <v>118</v>
      </c>
      <c r="U159" t="s">
        <v>72</v>
      </c>
      <c r="V159" t="s">
        <v>945</v>
      </c>
      <c r="W159" t="s">
        <v>74</v>
      </c>
      <c r="X159" t="s">
        <v>946</v>
      </c>
      <c r="Y159" s="2">
        <v>887</v>
      </c>
      <c r="Z159" s="3">
        <v>1.31</v>
      </c>
      <c r="AA159" s="4">
        <v>1163</v>
      </c>
      <c r="AK159" s="5">
        <v>15.625</v>
      </c>
      <c r="AN159" s="1">
        <v>2</v>
      </c>
      <c r="AO159" t="s">
        <v>81</v>
      </c>
      <c r="AP159" t="s">
        <v>82</v>
      </c>
      <c r="AQ159" t="s">
        <v>83</v>
      </c>
      <c r="AR159" s="3">
        <v>1.29</v>
      </c>
      <c r="AS159" s="4">
        <v>1225</v>
      </c>
      <c r="AT159" s="1">
        <v>950</v>
      </c>
      <c r="AX159" s="3">
        <v>84068.3</v>
      </c>
      <c r="BB159" t="s">
        <v>84</v>
      </c>
      <c r="BD159" s="3">
        <v>1.37</v>
      </c>
      <c r="BE159" s="4">
        <v>1025</v>
      </c>
      <c r="BF159" s="1">
        <v>750</v>
      </c>
      <c r="BG159" s="1">
        <v>40</v>
      </c>
      <c r="BH159" s="1">
        <v>88</v>
      </c>
      <c r="BL159" t="s">
        <v>94</v>
      </c>
    </row>
    <row r="160" spans="1:64" x14ac:dyDescent="0.25">
      <c r="A160" t="s">
        <v>3136</v>
      </c>
      <c r="B160" t="s">
        <v>3137</v>
      </c>
      <c r="C160" s="4">
        <f>(AA160*(H160*0.9))*12</f>
        <v>1673406</v>
      </c>
      <c r="D160" s="4">
        <f>IF(C160=0,"",(H160*150*12)+C160)</f>
        <v>1912806</v>
      </c>
      <c r="E160" s="4">
        <f>IFERROR(D160*0.5,"")</f>
        <v>956403</v>
      </c>
      <c r="F160" s="4">
        <f>IFERROR(E160/0.06,"")</f>
        <v>15940050</v>
      </c>
      <c r="G160" s="4">
        <f>IFERROR(F160/H160,"")</f>
        <v>119850</v>
      </c>
      <c r="H160" s="1">
        <v>133</v>
      </c>
      <c r="I160" s="1">
        <v>1992</v>
      </c>
      <c r="J160" t="s">
        <v>64</v>
      </c>
      <c r="K160" t="s">
        <v>269</v>
      </c>
      <c r="L160" t="s">
        <v>735</v>
      </c>
      <c r="M160" t="s">
        <v>3138</v>
      </c>
      <c r="N160" t="s">
        <v>3139</v>
      </c>
      <c r="O160" t="s">
        <v>735</v>
      </c>
      <c r="P160" s="1">
        <v>3</v>
      </c>
      <c r="Q160" t="s">
        <v>69</v>
      </c>
      <c r="R160" t="s">
        <v>70</v>
      </c>
      <c r="S160" t="s">
        <v>71</v>
      </c>
      <c r="U160" t="s">
        <v>72</v>
      </c>
      <c r="V160" t="s">
        <v>73</v>
      </c>
      <c r="W160" t="s">
        <v>74</v>
      </c>
      <c r="X160" t="s">
        <v>272</v>
      </c>
      <c r="Y160" s="2">
        <v>792</v>
      </c>
      <c r="Z160" s="3">
        <v>1.47</v>
      </c>
      <c r="AA160" s="4">
        <v>1165</v>
      </c>
      <c r="AK160" s="5">
        <v>18.045100000000001</v>
      </c>
      <c r="AN160" s="1">
        <v>3</v>
      </c>
      <c r="AO160" t="s">
        <v>81</v>
      </c>
      <c r="AP160" t="s">
        <v>82</v>
      </c>
      <c r="AQ160" t="s">
        <v>83</v>
      </c>
      <c r="AR160" s="3">
        <v>1.31</v>
      </c>
      <c r="AS160" s="4">
        <v>1455</v>
      </c>
      <c r="AT160" s="1">
        <v>1111</v>
      </c>
      <c r="AX160" s="3">
        <v>290553.90000000002</v>
      </c>
      <c r="AY160" s="3">
        <v>2.62</v>
      </c>
      <c r="AZ160" s="4">
        <v>785</v>
      </c>
      <c r="BA160" s="6">
        <v>300</v>
      </c>
      <c r="BB160" t="s">
        <v>84</v>
      </c>
      <c r="BD160" s="3">
        <v>1.49</v>
      </c>
      <c r="BE160" s="4">
        <v>1092</v>
      </c>
      <c r="BF160" s="1">
        <v>731</v>
      </c>
      <c r="BG160" s="1">
        <v>75</v>
      </c>
      <c r="BH160" s="1">
        <v>41</v>
      </c>
    </row>
    <row r="161" spans="1:64" x14ac:dyDescent="0.25">
      <c r="A161" t="s">
        <v>3714</v>
      </c>
      <c r="B161" t="s">
        <v>3715</v>
      </c>
      <c r="C161" s="4">
        <f>(AA161*(H161*0.9))*12</f>
        <v>1649656.7999999998</v>
      </c>
      <c r="D161" s="4">
        <f>IF(C161=0,"",(H161*150*12)+C161)</f>
        <v>1885456.7999999998</v>
      </c>
      <c r="E161" s="4">
        <f>IFERROR(D161*0.5,"")</f>
        <v>942728.39999999991</v>
      </c>
      <c r="F161" s="4">
        <f>IFERROR(E161/0.06,"")</f>
        <v>15712139.999999998</v>
      </c>
      <c r="G161" s="4">
        <f>IFERROR(F161/H161,"")</f>
        <v>119939.99999999999</v>
      </c>
      <c r="H161" s="1">
        <v>131</v>
      </c>
      <c r="I161" s="1">
        <v>1999</v>
      </c>
      <c r="J161" t="s">
        <v>64</v>
      </c>
      <c r="K161" t="s">
        <v>3716</v>
      </c>
      <c r="L161" t="s">
        <v>3717</v>
      </c>
      <c r="M161" t="s">
        <v>3718</v>
      </c>
      <c r="N161" t="s">
        <v>3719</v>
      </c>
      <c r="O161" t="s">
        <v>3717</v>
      </c>
      <c r="P161" s="1">
        <v>3</v>
      </c>
      <c r="Q161" t="s">
        <v>91</v>
      </c>
      <c r="R161" t="s">
        <v>70</v>
      </c>
      <c r="S161" t="s">
        <v>71</v>
      </c>
      <c r="T161" t="s">
        <v>118</v>
      </c>
      <c r="U161" t="s">
        <v>72</v>
      </c>
      <c r="V161" t="s">
        <v>73</v>
      </c>
      <c r="W161" t="s">
        <v>74</v>
      </c>
      <c r="X161" t="s">
        <v>2687</v>
      </c>
      <c r="Y161" s="2">
        <v>870</v>
      </c>
      <c r="Z161" s="3">
        <v>1.34</v>
      </c>
      <c r="AA161" s="4">
        <v>1166</v>
      </c>
      <c r="AK161" s="5">
        <v>7.6336000000000004</v>
      </c>
      <c r="AN161" s="1">
        <v>2</v>
      </c>
      <c r="AO161" t="s">
        <v>81</v>
      </c>
      <c r="AP161" t="s">
        <v>82</v>
      </c>
      <c r="AQ161" t="s">
        <v>83</v>
      </c>
      <c r="AR161" s="3">
        <v>1.31</v>
      </c>
      <c r="AS161" s="4">
        <v>1240</v>
      </c>
      <c r="AT161" s="1">
        <v>950</v>
      </c>
      <c r="AX161" s="3">
        <v>333779.38</v>
      </c>
      <c r="BB161" t="s">
        <v>84</v>
      </c>
      <c r="BD161" s="3">
        <v>1.4</v>
      </c>
      <c r="BE161" s="4">
        <v>1052</v>
      </c>
      <c r="BF161" s="1">
        <v>750</v>
      </c>
      <c r="BG161" s="1">
        <v>52</v>
      </c>
      <c r="BH161" s="1">
        <v>79</v>
      </c>
      <c r="BK161" t="s">
        <v>679</v>
      </c>
      <c r="BL161" t="s">
        <v>131</v>
      </c>
    </row>
    <row r="162" spans="1:64" x14ac:dyDescent="0.25">
      <c r="A162" t="s">
        <v>597</v>
      </c>
      <c r="B162" t="s">
        <v>598</v>
      </c>
      <c r="C162" s="4">
        <f>(AA162*(H162*0.9))*12</f>
        <v>3324499.1999999997</v>
      </c>
      <c r="D162" s="4">
        <f>IF(C162=0,"",(H162*150*12)+C162)</f>
        <v>3799699.1999999997</v>
      </c>
      <c r="E162" s="4">
        <f>IFERROR(D162*0.5,"")</f>
        <v>1899849.5999999999</v>
      </c>
      <c r="F162" s="4">
        <f>IFERROR(E162/0.06,"")</f>
        <v>31664160</v>
      </c>
      <c r="G162" s="4">
        <f>IFERROR(F162/H162,"")</f>
        <v>119940</v>
      </c>
      <c r="H162" s="1">
        <v>264</v>
      </c>
      <c r="I162" s="1">
        <v>1985</v>
      </c>
      <c r="J162" t="s">
        <v>64</v>
      </c>
      <c r="K162" t="s">
        <v>156</v>
      </c>
      <c r="L162" t="s">
        <v>478</v>
      </c>
      <c r="M162" t="s">
        <v>599</v>
      </c>
      <c r="O162" t="s">
        <v>478</v>
      </c>
      <c r="P162" s="1">
        <v>3</v>
      </c>
      <c r="Q162" t="s">
        <v>91</v>
      </c>
      <c r="R162" t="s">
        <v>70</v>
      </c>
      <c r="S162" t="s">
        <v>71</v>
      </c>
      <c r="U162" t="s">
        <v>72</v>
      </c>
      <c r="V162" t="s">
        <v>427</v>
      </c>
      <c r="W162" t="s">
        <v>74</v>
      </c>
      <c r="X162" t="s">
        <v>600</v>
      </c>
      <c r="Y162" s="2">
        <v>760</v>
      </c>
      <c r="Z162" s="3">
        <v>1.53</v>
      </c>
      <c r="AA162" s="4">
        <v>1166</v>
      </c>
      <c r="AK162" s="5">
        <v>14.7727</v>
      </c>
      <c r="AL162" s="1">
        <v>9</v>
      </c>
      <c r="AN162" s="1">
        <v>3</v>
      </c>
      <c r="AO162" t="s">
        <v>81</v>
      </c>
      <c r="AP162" t="s">
        <v>82</v>
      </c>
      <c r="AQ162" t="s">
        <v>83</v>
      </c>
      <c r="AR162" s="3">
        <v>1.52</v>
      </c>
      <c r="AS162" s="4">
        <v>1471</v>
      </c>
      <c r="AT162" s="1">
        <v>965</v>
      </c>
      <c r="AX162" s="3">
        <v>0</v>
      </c>
      <c r="BB162" t="s">
        <v>84</v>
      </c>
      <c r="BD162" s="3">
        <v>1.54</v>
      </c>
      <c r="BE162" s="4">
        <v>1076</v>
      </c>
      <c r="BF162" s="1">
        <v>701</v>
      </c>
      <c r="BG162" s="1">
        <v>204</v>
      </c>
      <c r="BH162" s="1">
        <v>60</v>
      </c>
    </row>
    <row r="163" spans="1:64" x14ac:dyDescent="0.25">
      <c r="A163" t="s">
        <v>62</v>
      </c>
      <c r="B163" t="s">
        <v>63</v>
      </c>
      <c r="C163" s="4">
        <f>(AA163*(H163*0.9))*12</f>
        <v>805939.20000000007</v>
      </c>
      <c r="D163" s="4">
        <f>IF(C163=0,"",(H163*150*12)+C163)</f>
        <v>921139.20000000007</v>
      </c>
      <c r="E163" s="4">
        <f>IFERROR(D163*0.5,"")</f>
        <v>460569.60000000003</v>
      </c>
      <c r="F163" s="4">
        <f>IFERROR(E163/0.06,"")</f>
        <v>7676160.0000000009</v>
      </c>
      <c r="G163" s="4">
        <f>IFERROR(F163/H163,"")</f>
        <v>119940.00000000001</v>
      </c>
      <c r="H163" s="1">
        <v>64</v>
      </c>
      <c r="I163" s="1">
        <v>1986</v>
      </c>
      <c r="J163" t="s">
        <v>64</v>
      </c>
      <c r="K163" t="s">
        <v>65</v>
      </c>
      <c r="L163" t="s">
        <v>66</v>
      </c>
      <c r="M163" t="s">
        <v>67</v>
      </c>
      <c r="N163" t="s">
        <v>68</v>
      </c>
      <c r="O163" t="s">
        <v>66</v>
      </c>
      <c r="P163" s="1">
        <v>3</v>
      </c>
      <c r="Q163" t="s">
        <v>69</v>
      </c>
      <c r="R163" t="s">
        <v>70</v>
      </c>
      <c r="S163" t="s">
        <v>71</v>
      </c>
      <c r="U163" t="s">
        <v>72</v>
      </c>
      <c r="V163" t="s">
        <v>73</v>
      </c>
      <c r="W163" t="s">
        <v>74</v>
      </c>
      <c r="X163" t="s">
        <v>75</v>
      </c>
      <c r="Y163" s="2">
        <v>528</v>
      </c>
      <c r="Z163" s="3">
        <v>2.21</v>
      </c>
      <c r="AA163" s="4">
        <v>1166</v>
      </c>
      <c r="AB163" s="4">
        <v>10500000</v>
      </c>
      <c r="AD163" s="4">
        <v>164063</v>
      </c>
      <c r="AE163" t="s">
        <v>66</v>
      </c>
      <c r="AF163" t="s">
        <v>76</v>
      </c>
      <c r="AG163" t="s">
        <v>77</v>
      </c>
      <c r="AH163" t="s">
        <v>78</v>
      </c>
      <c r="AI163" t="s">
        <v>79</v>
      </c>
      <c r="AJ163" t="s">
        <v>80</v>
      </c>
      <c r="AK163" s="5">
        <v>15.625</v>
      </c>
      <c r="AN163" s="1">
        <v>3</v>
      </c>
      <c r="AO163" t="s">
        <v>81</v>
      </c>
      <c r="AP163" t="s">
        <v>82</v>
      </c>
      <c r="AQ163" t="s">
        <v>83</v>
      </c>
      <c r="AX163" s="3">
        <v>135889.82999999999</v>
      </c>
      <c r="BB163" t="s">
        <v>84</v>
      </c>
      <c r="BD163" s="3">
        <v>2.21</v>
      </c>
      <c r="BE163" s="4">
        <v>1166</v>
      </c>
      <c r="BF163" s="1">
        <v>528</v>
      </c>
      <c r="BG163" s="1">
        <v>64</v>
      </c>
    </row>
    <row r="164" spans="1:64" x14ac:dyDescent="0.25">
      <c r="A164" t="s">
        <v>1857</v>
      </c>
      <c r="B164" t="s">
        <v>1858</v>
      </c>
      <c r="C164" s="4">
        <f>(AA164*(H164*0.9))*12</f>
        <v>780753.60000000009</v>
      </c>
      <c r="D164" s="4">
        <f>IF(C164=0,"",(H164*150*12)+C164)</f>
        <v>892353.60000000009</v>
      </c>
      <c r="E164" s="4">
        <f>IFERROR(D164*0.5,"")</f>
        <v>446176.80000000005</v>
      </c>
      <c r="F164" s="4">
        <f>IFERROR(E164/0.06,"")</f>
        <v>7436280.0000000009</v>
      </c>
      <c r="G164" s="4">
        <f>IFERROR(F164/H164,"")</f>
        <v>119940.00000000001</v>
      </c>
      <c r="H164" s="1">
        <v>62</v>
      </c>
      <c r="I164" s="1">
        <v>1985</v>
      </c>
      <c r="J164" t="s">
        <v>64</v>
      </c>
      <c r="K164" t="s">
        <v>228</v>
      </c>
      <c r="L164" t="s">
        <v>1859</v>
      </c>
      <c r="M164" t="s">
        <v>1860</v>
      </c>
      <c r="N164" t="s">
        <v>1861</v>
      </c>
      <c r="O164" t="s">
        <v>1859</v>
      </c>
      <c r="P164" s="1">
        <v>3</v>
      </c>
      <c r="Q164" t="s">
        <v>91</v>
      </c>
      <c r="R164" t="s">
        <v>70</v>
      </c>
      <c r="S164" t="s">
        <v>71</v>
      </c>
      <c r="T164" t="s">
        <v>118</v>
      </c>
      <c r="U164" t="s">
        <v>72</v>
      </c>
      <c r="V164" t="s">
        <v>1862</v>
      </c>
      <c r="W164" t="s">
        <v>74</v>
      </c>
      <c r="X164" t="s">
        <v>1863</v>
      </c>
      <c r="Y164" s="2">
        <v>799</v>
      </c>
      <c r="Z164" s="3">
        <v>1.46</v>
      </c>
      <c r="AA164" s="4">
        <v>1166</v>
      </c>
      <c r="AB164" s="4">
        <v>8000000</v>
      </c>
      <c r="AD164" s="4">
        <v>129032</v>
      </c>
      <c r="AE164" t="s">
        <v>1864</v>
      </c>
      <c r="AF164" t="s">
        <v>1865</v>
      </c>
      <c r="AG164" t="s">
        <v>1866</v>
      </c>
      <c r="AH164" t="s">
        <v>1867</v>
      </c>
      <c r="AJ164" t="s">
        <v>1868</v>
      </c>
      <c r="AK164" s="5">
        <v>9.6774000000000004</v>
      </c>
      <c r="AN164" s="1">
        <v>2</v>
      </c>
      <c r="AO164" t="s">
        <v>81</v>
      </c>
      <c r="AP164" t="s">
        <v>82</v>
      </c>
      <c r="AQ164" t="s">
        <v>83</v>
      </c>
      <c r="AR164" s="3">
        <v>1.45</v>
      </c>
      <c r="AS164" s="4">
        <v>1193</v>
      </c>
      <c r="AT164" s="1">
        <v>825</v>
      </c>
      <c r="AU164" s="3">
        <v>1.21</v>
      </c>
      <c r="AV164" s="4">
        <v>1479</v>
      </c>
      <c r="AW164" s="1">
        <v>1224</v>
      </c>
      <c r="AX164" s="3">
        <v>76578.47</v>
      </c>
      <c r="BB164" t="s">
        <v>84</v>
      </c>
      <c r="BD164" s="3">
        <v>1.6</v>
      </c>
      <c r="BE164" s="4">
        <v>1038</v>
      </c>
      <c r="BF164" s="1">
        <v>650</v>
      </c>
      <c r="BG164" s="1">
        <v>18</v>
      </c>
      <c r="BH164" s="1">
        <v>40</v>
      </c>
      <c r="BI164" s="1">
        <v>4</v>
      </c>
    </row>
    <row r="165" spans="1:64" x14ac:dyDescent="0.25">
      <c r="A165" t="s">
        <v>1342</v>
      </c>
      <c r="B165" t="s">
        <v>1343</v>
      </c>
      <c r="C165" s="4">
        <f>(AA165*(H165*0.9))*12</f>
        <v>3226521.5999999996</v>
      </c>
      <c r="D165" s="4">
        <f>IF(C165=0,"",(H165*150*12)+C165)</f>
        <v>3687321.5999999996</v>
      </c>
      <c r="E165" s="4">
        <f>IFERROR(D165*0.5,"")</f>
        <v>1843660.7999999998</v>
      </c>
      <c r="F165" s="4">
        <f>IFERROR(E165/0.06,"")</f>
        <v>30727679.999999996</v>
      </c>
      <c r="G165" s="4">
        <f>IFERROR(F165/H165,"")</f>
        <v>120029.99999999999</v>
      </c>
      <c r="H165" s="1">
        <v>256</v>
      </c>
      <c r="I165" s="1">
        <v>1985</v>
      </c>
      <c r="J165" t="s">
        <v>64</v>
      </c>
      <c r="K165" t="s">
        <v>148</v>
      </c>
      <c r="L165" t="s">
        <v>257</v>
      </c>
      <c r="M165" t="s">
        <v>1344</v>
      </c>
      <c r="N165" t="s">
        <v>1345</v>
      </c>
      <c r="O165" t="s">
        <v>257</v>
      </c>
      <c r="P165" s="1">
        <v>3</v>
      </c>
      <c r="Q165" t="s">
        <v>91</v>
      </c>
      <c r="R165" t="s">
        <v>70</v>
      </c>
      <c r="S165" t="s">
        <v>71</v>
      </c>
      <c r="U165" t="s">
        <v>72</v>
      </c>
      <c r="V165" t="s">
        <v>152</v>
      </c>
      <c r="W165" t="s">
        <v>74</v>
      </c>
      <c r="X165" t="s">
        <v>1346</v>
      </c>
      <c r="Y165" s="2">
        <v>742</v>
      </c>
      <c r="Z165" s="3">
        <v>1.57</v>
      </c>
      <c r="AA165" s="4">
        <v>1167</v>
      </c>
      <c r="AK165" s="5">
        <v>10.546900000000001</v>
      </c>
      <c r="AN165" s="1">
        <v>3</v>
      </c>
      <c r="AO165" t="s">
        <v>81</v>
      </c>
      <c r="AP165" t="s">
        <v>82</v>
      </c>
      <c r="AQ165" t="s">
        <v>83</v>
      </c>
      <c r="AR165" s="3">
        <v>1.36</v>
      </c>
      <c r="AS165" s="4">
        <v>1428</v>
      </c>
      <c r="AT165" s="1">
        <v>1052</v>
      </c>
      <c r="AX165" s="3">
        <v>704200.52</v>
      </c>
      <c r="BB165" t="s">
        <v>84</v>
      </c>
      <c r="BD165" s="3">
        <v>1.69</v>
      </c>
      <c r="BE165" s="4">
        <v>1080</v>
      </c>
      <c r="BF165" s="1">
        <v>639</v>
      </c>
      <c r="BG165" s="1">
        <v>192</v>
      </c>
      <c r="BH165" s="1">
        <v>64</v>
      </c>
      <c r="BK165" t="s">
        <v>203</v>
      </c>
      <c r="BL165" t="s">
        <v>104</v>
      </c>
    </row>
    <row r="166" spans="1:64" x14ac:dyDescent="0.25">
      <c r="A166" t="s">
        <v>761</v>
      </c>
      <c r="B166" t="s">
        <v>762</v>
      </c>
      <c r="C166" s="4">
        <f>(AA166*(H166*0.9))*12</f>
        <v>3229286.4000000004</v>
      </c>
      <c r="D166" s="4">
        <f>IF(C166=0,"",(H166*150*12)+C166)</f>
        <v>3690086.4000000004</v>
      </c>
      <c r="E166" s="4">
        <f>IFERROR(D166*0.5,"")</f>
        <v>1845043.2000000002</v>
      </c>
      <c r="F166" s="4">
        <f>IFERROR(E166/0.06,"")</f>
        <v>30750720.000000004</v>
      </c>
      <c r="G166" s="4">
        <f>IFERROR(F166/H166,"")</f>
        <v>120120.00000000001</v>
      </c>
      <c r="H166" s="1">
        <v>256</v>
      </c>
      <c r="I166" s="1">
        <v>1985</v>
      </c>
      <c r="J166" t="s">
        <v>64</v>
      </c>
      <c r="K166" t="s">
        <v>308</v>
      </c>
      <c r="L166" t="s">
        <v>763</v>
      </c>
      <c r="M166" t="s">
        <v>764</v>
      </c>
      <c r="N166" t="s">
        <v>765</v>
      </c>
      <c r="O166" t="s">
        <v>763</v>
      </c>
      <c r="P166" s="1">
        <v>3</v>
      </c>
      <c r="Q166" t="s">
        <v>91</v>
      </c>
      <c r="R166" t="s">
        <v>70</v>
      </c>
      <c r="S166" t="s">
        <v>71</v>
      </c>
      <c r="U166" t="s">
        <v>72</v>
      </c>
      <c r="V166" t="s">
        <v>393</v>
      </c>
      <c r="W166" t="s">
        <v>74</v>
      </c>
      <c r="X166" t="s">
        <v>766</v>
      </c>
      <c r="Y166" s="2">
        <v>893</v>
      </c>
      <c r="Z166" s="3">
        <v>1.31</v>
      </c>
      <c r="AA166" s="4">
        <v>1168</v>
      </c>
      <c r="AK166" s="5">
        <v>12.109400000000001</v>
      </c>
      <c r="AN166" s="1">
        <v>2</v>
      </c>
      <c r="AO166" t="s">
        <v>81</v>
      </c>
      <c r="AP166" t="s">
        <v>82</v>
      </c>
      <c r="AQ166" t="s">
        <v>83</v>
      </c>
      <c r="AR166" s="3">
        <v>1.2</v>
      </c>
      <c r="AS166" s="4">
        <v>1243</v>
      </c>
      <c r="AT166" s="1">
        <v>1039</v>
      </c>
      <c r="AX166" s="3">
        <v>839778</v>
      </c>
      <c r="BB166" t="s">
        <v>84</v>
      </c>
      <c r="BD166" s="3">
        <v>1.46</v>
      </c>
      <c r="BE166" s="4">
        <v>1093</v>
      </c>
      <c r="BF166" s="1">
        <v>748</v>
      </c>
      <c r="BG166" s="1">
        <v>128</v>
      </c>
      <c r="BH166" s="1">
        <v>128</v>
      </c>
      <c r="BK166" t="s">
        <v>767</v>
      </c>
      <c r="BL166" t="s">
        <v>131</v>
      </c>
    </row>
    <row r="167" spans="1:64" x14ac:dyDescent="0.25">
      <c r="A167" t="s">
        <v>833</v>
      </c>
      <c r="B167" t="s">
        <v>834</v>
      </c>
      <c r="C167" s="4">
        <f>(AA167*(H167*0.9))*12</f>
        <v>2527200</v>
      </c>
      <c r="D167" s="4">
        <f>IF(C167=0,"",(H167*150*12)+C167)</f>
        <v>2887200</v>
      </c>
      <c r="E167" s="4">
        <f>IFERROR(D167*0.5,"")</f>
        <v>1443600</v>
      </c>
      <c r="F167" s="4">
        <f>IFERROR(E167/0.06,"")</f>
        <v>24060000</v>
      </c>
      <c r="G167" s="4">
        <f>IFERROR(F167/H167,"")</f>
        <v>120300</v>
      </c>
      <c r="H167" s="1">
        <v>200</v>
      </c>
      <c r="I167" s="1">
        <v>1986</v>
      </c>
      <c r="J167" t="s">
        <v>64</v>
      </c>
      <c r="K167" t="s">
        <v>660</v>
      </c>
      <c r="L167" t="s">
        <v>835</v>
      </c>
      <c r="M167" t="s">
        <v>836</v>
      </c>
      <c r="N167" t="s">
        <v>837</v>
      </c>
      <c r="O167" t="s">
        <v>835</v>
      </c>
      <c r="P167" s="1">
        <v>3</v>
      </c>
      <c r="Q167" t="s">
        <v>91</v>
      </c>
      <c r="R167" t="s">
        <v>70</v>
      </c>
      <c r="S167" t="s">
        <v>71</v>
      </c>
      <c r="U167" t="s">
        <v>72</v>
      </c>
      <c r="V167" t="s">
        <v>838</v>
      </c>
      <c r="W167" t="s">
        <v>74</v>
      </c>
      <c r="X167" t="s">
        <v>665</v>
      </c>
      <c r="Y167" s="2">
        <v>693</v>
      </c>
      <c r="Z167" s="3">
        <v>1.69</v>
      </c>
      <c r="AA167" s="4">
        <v>1170</v>
      </c>
      <c r="AK167" s="5">
        <v>15.5</v>
      </c>
      <c r="AM167" s="1">
        <v>2006</v>
      </c>
      <c r="AN167" s="1">
        <v>2</v>
      </c>
      <c r="AO167" t="s">
        <v>81</v>
      </c>
      <c r="AP167" t="s">
        <v>82</v>
      </c>
      <c r="AQ167" t="s">
        <v>83</v>
      </c>
      <c r="AR167" s="3">
        <v>1.56</v>
      </c>
      <c r="AS167" s="4">
        <v>1342</v>
      </c>
      <c r="AT167" s="1">
        <v>858</v>
      </c>
      <c r="AX167" s="3">
        <v>382818.07</v>
      </c>
      <c r="BB167" t="s">
        <v>84</v>
      </c>
      <c r="BD167" s="3">
        <v>1.81</v>
      </c>
      <c r="BE167" s="4">
        <v>1055</v>
      </c>
      <c r="BF167" s="1">
        <v>584</v>
      </c>
      <c r="BG167" s="1">
        <v>120</v>
      </c>
      <c r="BH167" s="1">
        <v>80</v>
      </c>
      <c r="BL167" t="s">
        <v>131</v>
      </c>
    </row>
    <row r="168" spans="1:64" x14ac:dyDescent="0.25">
      <c r="A168" t="s">
        <v>1131</v>
      </c>
      <c r="B168" t="s">
        <v>1132</v>
      </c>
      <c r="C168" s="4">
        <f>(AA168*(H168*0.9))*12</f>
        <v>6645240</v>
      </c>
      <c r="D168" s="4">
        <f>IF(C168=0,"",(H168*150*12)+C168)</f>
        <v>7590240</v>
      </c>
      <c r="E168" s="4">
        <f>IFERROR(D168*0.5,"")</f>
        <v>3795120</v>
      </c>
      <c r="F168" s="4">
        <f>IFERROR(E168/0.06,"")</f>
        <v>63252000</v>
      </c>
      <c r="G168" s="4">
        <f>IFERROR(F168/H168,"")</f>
        <v>120480</v>
      </c>
      <c r="H168" s="1">
        <v>525</v>
      </c>
      <c r="I168" s="1">
        <v>1985</v>
      </c>
      <c r="J168" t="s">
        <v>64</v>
      </c>
      <c r="K168" t="s">
        <v>1133</v>
      </c>
      <c r="L168" t="s">
        <v>478</v>
      </c>
      <c r="M168" t="s">
        <v>1134</v>
      </c>
      <c r="N168" t="s">
        <v>1135</v>
      </c>
      <c r="O168" t="s">
        <v>478</v>
      </c>
      <c r="P168" s="1">
        <v>3</v>
      </c>
      <c r="Q168" t="s">
        <v>91</v>
      </c>
      <c r="R168" t="s">
        <v>70</v>
      </c>
      <c r="S168" t="s">
        <v>71</v>
      </c>
      <c r="U168" t="s">
        <v>72</v>
      </c>
      <c r="V168" t="s">
        <v>264</v>
      </c>
      <c r="W168" t="s">
        <v>74</v>
      </c>
      <c r="X168" t="s">
        <v>1136</v>
      </c>
      <c r="Y168" s="2">
        <v>735</v>
      </c>
      <c r="Z168" s="3">
        <v>1.59</v>
      </c>
      <c r="AA168" s="4">
        <v>1172</v>
      </c>
      <c r="AK168" s="5">
        <v>8</v>
      </c>
      <c r="AN168" s="1">
        <v>3</v>
      </c>
      <c r="AO168" t="s">
        <v>81</v>
      </c>
      <c r="AP168" t="s">
        <v>82</v>
      </c>
      <c r="AQ168" t="s">
        <v>83</v>
      </c>
      <c r="AR168" s="3">
        <v>1.55</v>
      </c>
      <c r="AS168" s="4">
        <v>1457</v>
      </c>
      <c r="AT168" s="1">
        <v>940</v>
      </c>
      <c r="AX168" s="3">
        <v>1935379.6</v>
      </c>
      <c r="BB168" t="s">
        <v>84</v>
      </c>
      <c r="BD168" s="3">
        <v>1.61</v>
      </c>
      <c r="BE168" s="4">
        <v>1084</v>
      </c>
      <c r="BF168" s="1">
        <v>672</v>
      </c>
      <c r="BG168" s="1">
        <v>401</v>
      </c>
      <c r="BH168" s="1">
        <v>124</v>
      </c>
      <c r="BK168" t="s">
        <v>1137</v>
      </c>
      <c r="BL168" t="s">
        <v>104</v>
      </c>
    </row>
    <row r="169" spans="1:64" x14ac:dyDescent="0.25">
      <c r="A169" t="s">
        <v>1252</v>
      </c>
      <c r="B169" t="s">
        <v>1253</v>
      </c>
      <c r="C169" s="4">
        <f>(AA169*(H169*0.9))*12</f>
        <v>6252854.4000000004</v>
      </c>
      <c r="D169" s="4">
        <f>IF(C169=0,"",(H169*150*12)+C169)</f>
        <v>7142054.4000000004</v>
      </c>
      <c r="E169" s="4">
        <f>IFERROR(D169*0.5,"")</f>
        <v>3571027.2</v>
      </c>
      <c r="F169" s="4">
        <f>IFERROR(E169/0.06,"")</f>
        <v>59517120.000000007</v>
      </c>
      <c r="G169" s="4">
        <f>IFERROR(F169/H169,"")</f>
        <v>120480.00000000001</v>
      </c>
      <c r="H169" s="1">
        <v>494</v>
      </c>
      <c r="I169" s="1">
        <v>1985</v>
      </c>
      <c r="J169" t="s">
        <v>64</v>
      </c>
      <c r="K169" t="s">
        <v>734</v>
      </c>
      <c r="L169" t="s">
        <v>1254</v>
      </c>
      <c r="M169" t="s">
        <v>1255</v>
      </c>
      <c r="N169" t="s">
        <v>1256</v>
      </c>
      <c r="O169" t="s">
        <v>1254</v>
      </c>
      <c r="P169" s="1">
        <v>3</v>
      </c>
      <c r="Q169" t="s">
        <v>91</v>
      </c>
      <c r="R169" t="s">
        <v>70</v>
      </c>
      <c r="S169" t="s">
        <v>71</v>
      </c>
      <c r="U169" t="s">
        <v>72</v>
      </c>
      <c r="V169" t="s">
        <v>73</v>
      </c>
      <c r="W169" t="s">
        <v>74</v>
      </c>
      <c r="X169" t="s">
        <v>1257</v>
      </c>
      <c r="Y169" s="2">
        <v>763</v>
      </c>
      <c r="Z169" s="3">
        <v>1.53</v>
      </c>
      <c r="AA169" s="4">
        <v>1172</v>
      </c>
      <c r="AK169" s="5">
        <v>9.5142000000000007</v>
      </c>
      <c r="AN169" s="1">
        <v>3</v>
      </c>
      <c r="AO169" t="s">
        <v>81</v>
      </c>
      <c r="AP169" t="s">
        <v>82</v>
      </c>
      <c r="AQ169" t="s">
        <v>83</v>
      </c>
      <c r="AR169" s="3">
        <v>1.6</v>
      </c>
      <c r="AS169" s="4">
        <v>1465</v>
      </c>
      <c r="AT169" s="1">
        <v>915</v>
      </c>
      <c r="AX169" s="3">
        <v>430429.46</v>
      </c>
      <c r="BB169" t="s">
        <v>84</v>
      </c>
      <c r="BD169" s="3">
        <v>1.48</v>
      </c>
      <c r="BE169" s="4">
        <v>985</v>
      </c>
      <c r="BF169" s="1">
        <v>667</v>
      </c>
      <c r="BG169" s="1">
        <v>302</v>
      </c>
      <c r="BH169" s="1">
        <v>192</v>
      </c>
      <c r="BK169" t="s">
        <v>1258</v>
      </c>
    </row>
    <row r="170" spans="1:64" x14ac:dyDescent="0.25">
      <c r="A170" t="s">
        <v>1776</v>
      </c>
      <c r="B170" t="s">
        <v>1777</v>
      </c>
      <c r="C170" s="4">
        <f>(AA170*(H170*0.9))*12</f>
        <v>2006726.4000000001</v>
      </c>
      <c r="D170" s="4">
        <f>IF(C170=0,"",(H170*150*12)+C170)</f>
        <v>2291126.4000000004</v>
      </c>
      <c r="E170" s="4">
        <f>IFERROR(D170*0.5,"")</f>
        <v>1145563.2000000002</v>
      </c>
      <c r="F170" s="4">
        <f>IFERROR(E170/0.06,"")</f>
        <v>19092720.000000004</v>
      </c>
      <c r="G170" s="4">
        <f>IFERROR(F170/H170,"")</f>
        <v>120840.00000000003</v>
      </c>
      <c r="H170" s="1">
        <v>158</v>
      </c>
      <c r="I170" s="1">
        <v>1986</v>
      </c>
      <c r="J170" t="s">
        <v>64</v>
      </c>
      <c r="K170" t="s">
        <v>360</v>
      </c>
      <c r="L170" t="s">
        <v>1778</v>
      </c>
      <c r="M170" t="s">
        <v>1779</v>
      </c>
      <c r="N170" t="s">
        <v>1780</v>
      </c>
      <c r="O170" t="s">
        <v>1778</v>
      </c>
      <c r="P170" s="1">
        <v>3</v>
      </c>
      <c r="Q170" t="s">
        <v>69</v>
      </c>
      <c r="R170" t="s">
        <v>70</v>
      </c>
      <c r="S170" t="s">
        <v>71</v>
      </c>
      <c r="U170" t="s">
        <v>72</v>
      </c>
      <c r="V170" t="s">
        <v>73</v>
      </c>
      <c r="W170" t="s">
        <v>74</v>
      </c>
      <c r="X170" t="s">
        <v>1781</v>
      </c>
      <c r="Y170" s="2">
        <v>844</v>
      </c>
      <c r="Z170" s="3">
        <v>1.39</v>
      </c>
      <c r="AA170" s="4">
        <v>1176</v>
      </c>
      <c r="AK170" s="5">
        <v>7.5949</v>
      </c>
      <c r="AN170" s="1">
        <v>3</v>
      </c>
      <c r="AO170" t="s">
        <v>81</v>
      </c>
      <c r="AP170" t="s">
        <v>82</v>
      </c>
      <c r="AQ170" t="s">
        <v>83</v>
      </c>
      <c r="AR170" s="3">
        <v>1.36</v>
      </c>
      <c r="AS170" s="4">
        <v>1190</v>
      </c>
      <c r="AT170" s="1">
        <v>873</v>
      </c>
      <c r="AU170" s="3">
        <v>1.29</v>
      </c>
      <c r="AV170" s="4">
        <v>1360</v>
      </c>
      <c r="AW170" s="1">
        <v>1050</v>
      </c>
      <c r="AX170" s="3">
        <v>267086.08000000002</v>
      </c>
      <c r="BB170" t="s">
        <v>84</v>
      </c>
      <c r="BD170" s="3">
        <v>1.66</v>
      </c>
      <c r="BE170" s="4">
        <v>977</v>
      </c>
      <c r="BF170" s="1">
        <v>590</v>
      </c>
      <c r="BG170" s="1">
        <v>36</v>
      </c>
      <c r="BH170" s="1">
        <v>90</v>
      </c>
      <c r="BI170" s="1">
        <v>32</v>
      </c>
      <c r="BK170" t="s">
        <v>892</v>
      </c>
      <c r="BL170" t="s">
        <v>104</v>
      </c>
    </row>
    <row r="171" spans="1:64" x14ac:dyDescent="0.25">
      <c r="A171" t="s">
        <v>3377</v>
      </c>
      <c r="B171" t="s">
        <v>3378</v>
      </c>
      <c r="C171" s="4">
        <f>(AA171*(H171*0.9))*12</f>
        <v>1525392</v>
      </c>
      <c r="D171" s="4">
        <f>IF(C171=0,"",(H171*150*12)+C171)</f>
        <v>1741392</v>
      </c>
      <c r="E171" s="4">
        <f>IFERROR(D171*0.5,"")</f>
        <v>870696</v>
      </c>
      <c r="F171" s="4">
        <f>IFERROR(E171/0.06,"")</f>
        <v>14511600</v>
      </c>
      <c r="G171" s="4">
        <f>IFERROR(F171/H171,"")</f>
        <v>120930</v>
      </c>
      <c r="H171" s="1">
        <v>120</v>
      </c>
      <c r="I171" s="1">
        <v>1996</v>
      </c>
      <c r="J171" t="s">
        <v>64</v>
      </c>
      <c r="K171" t="s">
        <v>211</v>
      </c>
      <c r="L171" t="s">
        <v>2296</v>
      </c>
      <c r="M171" t="s">
        <v>3379</v>
      </c>
      <c r="N171" t="s">
        <v>3380</v>
      </c>
      <c r="O171" t="s">
        <v>2296</v>
      </c>
      <c r="P171" s="1">
        <v>4</v>
      </c>
      <c r="Q171" t="s">
        <v>91</v>
      </c>
      <c r="R171" t="s">
        <v>70</v>
      </c>
      <c r="S171" t="s">
        <v>71</v>
      </c>
      <c r="T171" t="s">
        <v>118</v>
      </c>
      <c r="U171" t="s">
        <v>72</v>
      </c>
      <c r="V171" t="s">
        <v>215</v>
      </c>
      <c r="W171" t="s">
        <v>74</v>
      </c>
      <c r="X171" t="s">
        <v>216</v>
      </c>
      <c r="Y171" s="2">
        <v>908</v>
      </c>
      <c r="Z171" s="3">
        <v>1.3</v>
      </c>
      <c r="AA171" s="4">
        <v>1177</v>
      </c>
      <c r="AK171" s="5">
        <v>11.666700000000001</v>
      </c>
      <c r="AN171" s="1">
        <v>2</v>
      </c>
      <c r="AO171" t="s">
        <v>81</v>
      </c>
      <c r="AP171" t="s">
        <v>82</v>
      </c>
      <c r="AQ171" t="s">
        <v>83</v>
      </c>
      <c r="AR171" s="3">
        <v>1.26</v>
      </c>
      <c r="AS171" s="4">
        <v>1200</v>
      </c>
      <c r="AT171" s="1">
        <v>950</v>
      </c>
      <c r="AU171" s="3">
        <v>1.3</v>
      </c>
      <c r="AV171" s="4">
        <v>1400</v>
      </c>
      <c r="AW171" s="1">
        <v>1075</v>
      </c>
      <c r="AX171" s="3">
        <v>167926.44</v>
      </c>
      <c r="BB171" t="s">
        <v>84</v>
      </c>
      <c r="BD171" s="3">
        <v>1.33</v>
      </c>
      <c r="BE171" s="4">
        <v>931</v>
      </c>
      <c r="BF171" s="1">
        <v>700</v>
      </c>
      <c r="BG171" s="1">
        <v>40</v>
      </c>
      <c r="BH171" s="1">
        <v>40</v>
      </c>
      <c r="BI171" s="1">
        <v>40</v>
      </c>
      <c r="BK171" t="s">
        <v>2670</v>
      </c>
      <c r="BL171" t="s">
        <v>104</v>
      </c>
    </row>
    <row r="172" spans="1:64" x14ac:dyDescent="0.25">
      <c r="A172" t="s">
        <v>2915</v>
      </c>
      <c r="B172" t="s">
        <v>2916</v>
      </c>
      <c r="C172" s="4">
        <f>(AA172*(H172*0.9))*12</f>
        <v>5389718.4000000004</v>
      </c>
      <c r="D172" s="4">
        <f>IF(C172=0,"",(H172*150*12)+C172)</f>
        <v>6152918.4000000004</v>
      </c>
      <c r="E172" s="4">
        <f>IFERROR(D172*0.5,"")</f>
        <v>3076459.2</v>
      </c>
      <c r="F172" s="4">
        <f>IFERROR(E172/0.06,"")</f>
        <v>51274320.000000007</v>
      </c>
      <c r="G172" s="4">
        <f>IFERROR(F172/H172,"")</f>
        <v>120930.00000000001</v>
      </c>
      <c r="H172" s="1">
        <v>424</v>
      </c>
      <c r="I172" s="1">
        <v>2000</v>
      </c>
      <c r="J172" t="s">
        <v>64</v>
      </c>
      <c r="K172" t="s">
        <v>308</v>
      </c>
      <c r="L172" t="s">
        <v>784</v>
      </c>
      <c r="M172" t="s">
        <v>2917</v>
      </c>
      <c r="N172" t="s">
        <v>2918</v>
      </c>
      <c r="O172" t="s">
        <v>784</v>
      </c>
      <c r="P172" s="1">
        <v>4</v>
      </c>
      <c r="Q172" t="s">
        <v>91</v>
      </c>
      <c r="R172" t="s">
        <v>70</v>
      </c>
      <c r="S172" t="s">
        <v>71</v>
      </c>
      <c r="T172" t="s">
        <v>128</v>
      </c>
      <c r="U172" t="s">
        <v>72</v>
      </c>
      <c r="V172" t="s">
        <v>393</v>
      </c>
      <c r="W172" t="s">
        <v>74</v>
      </c>
      <c r="X172" t="s">
        <v>766</v>
      </c>
      <c r="Y172" s="2">
        <v>903</v>
      </c>
      <c r="Z172" s="3">
        <v>1.3</v>
      </c>
      <c r="AA172" s="4">
        <v>1177</v>
      </c>
      <c r="AK172" s="5">
        <v>8.4906000000000006</v>
      </c>
      <c r="AL172" s="1">
        <v>1</v>
      </c>
      <c r="AN172" s="1">
        <v>3</v>
      </c>
      <c r="AO172" t="s">
        <v>81</v>
      </c>
      <c r="AP172" t="s">
        <v>82</v>
      </c>
      <c r="AQ172" t="s">
        <v>83</v>
      </c>
      <c r="AR172" s="3">
        <v>1.28</v>
      </c>
      <c r="AS172" s="4">
        <v>1238</v>
      </c>
      <c r="AT172" s="1">
        <v>965</v>
      </c>
      <c r="AU172" s="3">
        <v>1.34</v>
      </c>
      <c r="AV172" s="4">
        <v>1709</v>
      </c>
      <c r="AW172" s="1">
        <v>1279</v>
      </c>
      <c r="AX172" s="3">
        <v>1525488.23</v>
      </c>
      <c r="BB172" t="s">
        <v>84</v>
      </c>
      <c r="BD172" s="3">
        <v>1.26</v>
      </c>
      <c r="BE172" s="4">
        <v>917</v>
      </c>
      <c r="BF172" s="1">
        <v>726</v>
      </c>
      <c r="BG172" s="1">
        <v>180</v>
      </c>
      <c r="BH172" s="1">
        <v>190</v>
      </c>
      <c r="BI172" s="1">
        <v>54</v>
      </c>
      <c r="BK172" t="s">
        <v>2919</v>
      </c>
      <c r="BL172" t="s">
        <v>131</v>
      </c>
    </row>
    <row r="173" spans="1:64" x14ac:dyDescent="0.25">
      <c r="A173" t="s">
        <v>3948</v>
      </c>
      <c r="B173" t="s">
        <v>3949</v>
      </c>
      <c r="C173" s="4">
        <f>(AA173*(H173*0.9))*12</f>
        <v>2801304</v>
      </c>
      <c r="D173" s="4">
        <f>IF(C173=0,"",(H173*150*12)+C173)</f>
        <v>3197304</v>
      </c>
      <c r="E173" s="4">
        <f>IFERROR(D173*0.5,"")</f>
        <v>1598652</v>
      </c>
      <c r="F173" s="4">
        <f>IFERROR(E173/0.06,"")</f>
        <v>26644200</v>
      </c>
      <c r="G173" s="4">
        <f>IFERROR(F173/H173,"")</f>
        <v>121110</v>
      </c>
      <c r="H173" s="1">
        <v>220</v>
      </c>
      <c r="I173" s="1">
        <v>1996</v>
      </c>
      <c r="J173" t="s">
        <v>64</v>
      </c>
      <c r="K173" t="s">
        <v>3875</v>
      </c>
      <c r="L173" t="s">
        <v>3950</v>
      </c>
      <c r="M173" t="s">
        <v>3951</v>
      </c>
      <c r="N173" t="s">
        <v>3952</v>
      </c>
      <c r="O173" t="s">
        <v>3950</v>
      </c>
      <c r="P173" s="1">
        <v>3</v>
      </c>
      <c r="Q173" t="s">
        <v>69</v>
      </c>
      <c r="R173" t="s">
        <v>70</v>
      </c>
      <c r="S173" t="s">
        <v>71</v>
      </c>
      <c r="T173" t="s">
        <v>118</v>
      </c>
      <c r="U173" t="s">
        <v>72</v>
      </c>
      <c r="V173" t="s">
        <v>73</v>
      </c>
      <c r="W173" t="s">
        <v>74</v>
      </c>
      <c r="X173" t="s">
        <v>3885</v>
      </c>
      <c r="Y173" s="2">
        <v>739</v>
      </c>
      <c r="Z173" s="3">
        <v>1.57</v>
      </c>
      <c r="AA173" s="4">
        <v>1179</v>
      </c>
      <c r="AK173" s="5">
        <v>30.909099999999999</v>
      </c>
      <c r="AM173" s="1">
        <v>2014</v>
      </c>
      <c r="AN173" s="1">
        <v>2</v>
      </c>
      <c r="AO173" t="s">
        <v>81</v>
      </c>
      <c r="AP173" t="s">
        <v>82</v>
      </c>
      <c r="AQ173" t="s">
        <v>83</v>
      </c>
      <c r="AR173" s="3">
        <v>1.5</v>
      </c>
      <c r="AS173" s="4">
        <v>1232</v>
      </c>
      <c r="AT173" s="1">
        <v>819</v>
      </c>
      <c r="AU173" s="3">
        <v>1.41</v>
      </c>
      <c r="AV173" s="4">
        <v>1273</v>
      </c>
      <c r="AW173" s="1">
        <v>1039</v>
      </c>
      <c r="AX173" s="3">
        <v>284966.32</v>
      </c>
      <c r="BB173" t="s">
        <v>84</v>
      </c>
      <c r="BD173" s="3">
        <v>1.7</v>
      </c>
      <c r="BE173" s="4">
        <v>1062</v>
      </c>
      <c r="BF173" s="1">
        <v>624</v>
      </c>
      <c r="BG173" s="1">
        <v>81</v>
      </c>
      <c r="BH173" s="1">
        <v>88</v>
      </c>
      <c r="BI173" s="1">
        <v>51</v>
      </c>
      <c r="BK173" t="s">
        <v>3953</v>
      </c>
    </row>
    <row r="174" spans="1:64" x14ac:dyDescent="0.25">
      <c r="A174" t="s">
        <v>2799</v>
      </c>
      <c r="B174" t="s">
        <v>2800</v>
      </c>
      <c r="C174" s="4">
        <f>(AA174*(H174*0.9))*12</f>
        <v>3336098.4000000004</v>
      </c>
      <c r="D174" s="4">
        <f>IF(C174=0,"",(H174*150*12)+C174)</f>
        <v>3807698.4000000004</v>
      </c>
      <c r="E174" s="4">
        <f>IFERROR(D174*0.5,"")</f>
        <v>1903849.2000000002</v>
      </c>
      <c r="F174" s="4">
        <f>IFERROR(E174/0.06,"")</f>
        <v>31730820.000000004</v>
      </c>
      <c r="G174" s="4">
        <f>IFERROR(F174/H174,"")</f>
        <v>121110.00000000001</v>
      </c>
      <c r="H174" s="1">
        <v>262</v>
      </c>
      <c r="I174" s="1">
        <v>1997</v>
      </c>
      <c r="J174" t="s">
        <v>64</v>
      </c>
      <c r="K174" t="s">
        <v>725</v>
      </c>
      <c r="L174" t="s">
        <v>2801</v>
      </c>
      <c r="M174" t="s">
        <v>2802</v>
      </c>
      <c r="N174" t="s">
        <v>2803</v>
      </c>
      <c r="O174" t="s">
        <v>2801</v>
      </c>
      <c r="P174" s="1">
        <v>4</v>
      </c>
      <c r="Q174" t="s">
        <v>729</v>
      </c>
      <c r="R174" t="s">
        <v>70</v>
      </c>
      <c r="S174" t="s">
        <v>71</v>
      </c>
      <c r="U174" t="s">
        <v>72</v>
      </c>
      <c r="V174" t="s">
        <v>73</v>
      </c>
      <c r="W174" t="s">
        <v>74</v>
      </c>
      <c r="X174" t="s">
        <v>2804</v>
      </c>
      <c r="Y174" s="2">
        <v>664</v>
      </c>
      <c r="Z174" s="3">
        <v>1.78</v>
      </c>
      <c r="AA174" s="4">
        <v>1179</v>
      </c>
      <c r="AK174" s="5">
        <v>17.9389</v>
      </c>
      <c r="AN174" s="1">
        <v>3</v>
      </c>
      <c r="AO174" t="s">
        <v>81</v>
      </c>
      <c r="AP174" t="s">
        <v>82</v>
      </c>
      <c r="AQ174" t="s">
        <v>83</v>
      </c>
      <c r="AR174" s="3">
        <v>1.6</v>
      </c>
      <c r="AS174" s="4">
        <v>1644</v>
      </c>
      <c r="AT174" s="1">
        <v>1025</v>
      </c>
      <c r="AX174" s="3">
        <v>581612.39</v>
      </c>
      <c r="BB174" t="s">
        <v>84</v>
      </c>
      <c r="BD174" s="3">
        <v>1.79</v>
      </c>
      <c r="BE174" s="4">
        <v>1163</v>
      </c>
      <c r="BF174" s="1">
        <v>651</v>
      </c>
      <c r="BG174" s="1">
        <v>253</v>
      </c>
      <c r="BH174" s="1">
        <v>9</v>
      </c>
      <c r="BK174" t="s">
        <v>2805</v>
      </c>
      <c r="BL174" t="s">
        <v>365</v>
      </c>
    </row>
    <row r="175" spans="1:64" x14ac:dyDescent="0.25">
      <c r="A175" t="s">
        <v>2745</v>
      </c>
      <c r="B175" t="s">
        <v>2746</v>
      </c>
      <c r="C175" s="4">
        <f>(AA175*(H175*0.9))*12</f>
        <v>3211488</v>
      </c>
      <c r="D175" s="4">
        <f>IF(C175=0,"",(H175*150*12)+C175)</f>
        <v>3665088</v>
      </c>
      <c r="E175" s="4">
        <f>IFERROR(D175*0.5,"")</f>
        <v>1832544</v>
      </c>
      <c r="F175" s="4">
        <f>IFERROR(E175/0.06,"")</f>
        <v>30542400</v>
      </c>
      <c r="G175" s="4">
        <f>IFERROR(F175/H175,"")</f>
        <v>121200</v>
      </c>
      <c r="H175" s="1">
        <v>252</v>
      </c>
      <c r="I175" s="1">
        <v>1999</v>
      </c>
      <c r="J175" t="s">
        <v>64</v>
      </c>
      <c r="K175" t="s">
        <v>638</v>
      </c>
      <c r="L175" t="s">
        <v>2747</v>
      </c>
      <c r="M175" t="s">
        <v>2748</v>
      </c>
      <c r="N175" t="s">
        <v>2749</v>
      </c>
      <c r="O175" t="s">
        <v>2747</v>
      </c>
      <c r="P175" s="1">
        <v>3</v>
      </c>
      <c r="Q175" t="s">
        <v>91</v>
      </c>
      <c r="R175" t="s">
        <v>70</v>
      </c>
      <c r="S175" t="s">
        <v>71</v>
      </c>
      <c r="T175" t="s">
        <v>118</v>
      </c>
      <c r="U175" t="s">
        <v>72</v>
      </c>
      <c r="V175" t="s">
        <v>2750</v>
      </c>
      <c r="W175" t="s">
        <v>74</v>
      </c>
      <c r="X175" t="s">
        <v>2751</v>
      </c>
      <c r="Y175" s="2">
        <v>745</v>
      </c>
      <c r="Z175" s="3">
        <v>1.58</v>
      </c>
      <c r="AA175" s="4">
        <v>1180</v>
      </c>
      <c r="AK175" s="5">
        <v>0.39679999999999999</v>
      </c>
      <c r="AM175" s="1">
        <v>2003</v>
      </c>
      <c r="AN175" s="1">
        <v>1</v>
      </c>
      <c r="AO175" t="s">
        <v>81</v>
      </c>
      <c r="AP175" t="s">
        <v>82</v>
      </c>
      <c r="AQ175" t="s">
        <v>83</v>
      </c>
      <c r="AR175" s="3">
        <v>1.5</v>
      </c>
      <c r="AS175" s="4">
        <v>1283</v>
      </c>
      <c r="AT175" s="1">
        <v>854</v>
      </c>
      <c r="AX175" s="3">
        <v>121400.54</v>
      </c>
      <c r="BB175" t="s">
        <v>84</v>
      </c>
      <c r="BD175" s="3">
        <v>1.66</v>
      </c>
      <c r="BE175" s="4">
        <v>1108</v>
      </c>
      <c r="BF175" s="1">
        <v>669</v>
      </c>
      <c r="BG175" s="1">
        <v>148</v>
      </c>
      <c r="BH175" s="1">
        <v>104</v>
      </c>
      <c r="BK175" t="s">
        <v>2752</v>
      </c>
      <c r="BL175" t="s">
        <v>104</v>
      </c>
    </row>
    <row r="176" spans="1:64" x14ac:dyDescent="0.25">
      <c r="A176" t="s">
        <v>226</v>
      </c>
      <c r="B176" t="s">
        <v>227</v>
      </c>
      <c r="C176" s="4">
        <f>(AA176*(H176*0.9))*12</f>
        <v>3679603.1999999997</v>
      </c>
      <c r="D176" s="4">
        <f>IF(C176=0,"",(H176*150*12)+C176)</f>
        <v>4198003.1999999993</v>
      </c>
      <c r="E176" s="4">
        <f>IFERROR(D176*0.5,"")</f>
        <v>2099001.5999999996</v>
      </c>
      <c r="F176" s="4">
        <f>IFERROR(E176/0.06,"")</f>
        <v>34983359.999999993</v>
      </c>
      <c r="G176" s="4">
        <f>IFERROR(F176/H176,"")</f>
        <v>121469.99999999997</v>
      </c>
      <c r="H176" s="1">
        <v>288</v>
      </c>
      <c r="I176" s="1">
        <v>1986</v>
      </c>
      <c r="J176" t="s">
        <v>64</v>
      </c>
      <c r="K176" t="s">
        <v>228</v>
      </c>
      <c r="L176" t="s">
        <v>229</v>
      </c>
      <c r="M176" t="s">
        <v>230</v>
      </c>
      <c r="N176" t="s">
        <v>231</v>
      </c>
      <c r="O176" t="s">
        <v>229</v>
      </c>
      <c r="P176" s="1">
        <v>3</v>
      </c>
      <c r="Q176" t="s">
        <v>91</v>
      </c>
      <c r="R176" t="s">
        <v>70</v>
      </c>
      <c r="S176" t="s">
        <v>71</v>
      </c>
      <c r="U176" t="s">
        <v>72</v>
      </c>
      <c r="V176" t="s">
        <v>232</v>
      </c>
      <c r="W176" t="s">
        <v>74</v>
      </c>
      <c r="X176" t="s">
        <v>233</v>
      </c>
      <c r="Y176" s="2">
        <v>716</v>
      </c>
      <c r="Z176" s="3">
        <v>1.65</v>
      </c>
      <c r="AA176" s="4">
        <v>1183</v>
      </c>
      <c r="AK176" s="5">
        <v>9.375</v>
      </c>
      <c r="AM176" s="1">
        <v>2003</v>
      </c>
      <c r="AN176" s="1">
        <v>2</v>
      </c>
      <c r="AO176" t="s">
        <v>81</v>
      </c>
      <c r="AP176" t="s">
        <v>82</v>
      </c>
      <c r="AQ176" t="s">
        <v>83</v>
      </c>
      <c r="AR176" s="3">
        <v>1.54</v>
      </c>
      <c r="AS176" s="4">
        <v>1385</v>
      </c>
      <c r="AT176" s="1">
        <v>900</v>
      </c>
      <c r="AX176" s="3">
        <v>859296.66</v>
      </c>
      <c r="BB176" t="s">
        <v>84</v>
      </c>
      <c r="BD176" s="3">
        <v>1.73</v>
      </c>
      <c r="BE176" s="4">
        <v>1082</v>
      </c>
      <c r="BF176" s="1">
        <v>625</v>
      </c>
      <c r="BG176" s="1">
        <v>192</v>
      </c>
      <c r="BH176" s="1">
        <v>96</v>
      </c>
      <c r="BL176" t="s">
        <v>131</v>
      </c>
    </row>
    <row r="177" spans="1:64" x14ac:dyDescent="0.25">
      <c r="A177" t="s">
        <v>793</v>
      </c>
      <c r="B177" t="s">
        <v>794</v>
      </c>
      <c r="C177" s="4">
        <f>(AA177*(H177*0.9))*12</f>
        <v>3194100</v>
      </c>
      <c r="D177" s="4">
        <f>IF(C177=0,"",(H177*150*12)+C177)</f>
        <v>3644100</v>
      </c>
      <c r="E177" s="4">
        <f>IFERROR(D177*0.5,"")</f>
        <v>1822050</v>
      </c>
      <c r="F177" s="4">
        <f>IFERROR(E177/0.06,"")</f>
        <v>30367500</v>
      </c>
      <c r="G177" s="4">
        <f>IFERROR(F177/H177,"")</f>
        <v>121470</v>
      </c>
      <c r="H177" s="1">
        <v>250</v>
      </c>
      <c r="I177" s="1">
        <v>1986</v>
      </c>
      <c r="J177" t="s">
        <v>64</v>
      </c>
      <c r="K177" t="s">
        <v>660</v>
      </c>
      <c r="L177" t="s">
        <v>540</v>
      </c>
      <c r="M177" t="s">
        <v>795</v>
      </c>
      <c r="N177" t="s">
        <v>796</v>
      </c>
      <c r="O177" t="s">
        <v>540</v>
      </c>
      <c r="P177" s="1">
        <v>3</v>
      </c>
      <c r="Q177" t="s">
        <v>69</v>
      </c>
      <c r="R177" t="s">
        <v>70</v>
      </c>
      <c r="S177" t="s">
        <v>71</v>
      </c>
      <c r="U177" t="s">
        <v>72</v>
      </c>
      <c r="V177" t="s">
        <v>664</v>
      </c>
      <c r="W177" t="s">
        <v>74</v>
      </c>
      <c r="X177" t="s">
        <v>797</v>
      </c>
      <c r="Y177" s="2">
        <v>772</v>
      </c>
      <c r="Z177" s="3">
        <v>1.53</v>
      </c>
      <c r="AA177" s="4">
        <v>1183</v>
      </c>
      <c r="AK177" s="5">
        <v>9.6</v>
      </c>
      <c r="AN177" s="1">
        <v>2</v>
      </c>
      <c r="AO177" t="s">
        <v>81</v>
      </c>
      <c r="AP177" t="s">
        <v>82</v>
      </c>
      <c r="AQ177" t="s">
        <v>83</v>
      </c>
      <c r="AR177" s="3">
        <v>1.29</v>
      </c>
      <c r="AS177" s="4">
        <v>1278</v>
      </c>
      <c r="AT177" s="1">
        <v>992</v>
      </c>
      <c r="AX177" s="3">
        <v>522520.23</v>
      </c>
      <c r="BB177" t="s">
        <v>84</v>
      </c>
      <c r="BD177" s="3">
        <v>1.81</v>
      </c>
      <c r="BE177" s="4">
        <v>1115</v>
      </c>
      <c r="BF177" s="1">
        <v>615</v>
      </c>
      <c r="BG177" s="1">
        <v>146</v>
      </c>
      <c r="BH177" s="1">
        <v>104</v>
      </c>
    </row>
    <row r="178" spans="1:64" x14ac:dyDescent="0.25">
      <c r="A178" t="s">
        <v>518</v>
      </c>
      <c r="B178" t="s">
        <v>519</v>
      </c>
      <c r="C178" s="4">
        <f>(AA178*(H178*0.9))*12</f>
        <v>818380.80000000005</v>
      </c>
      <c r="D178" s="4">
        <f>IF(C178=0,"",(H178*150*12)+C178)</f>
        <v>933580.80000000005</v>
      </c>
      <c r="E178" s="4">
        <f>IFERROR(D178*0.5,"")</f>
        <v>466790.40000000002</v>
      </c>
      <c r="F178" s="4">
        <f>IFERROR(E178/0.06,"")</f>
        <v>7779840.0000000009</v>
      </c>
      <c r="G178" s="4">
        <f>IFERROR(F178/H178,"")</f>
        <v>121560.00000000001</v>
      </c>
      <c r="H178" s="1">
        <v>64</v>
      </c>
      <c r="I178" s="1">
        <v>1986</v>
      </c>
      <c r="J178" t="s">
        <v>64</v>
      </c>
      <c r="K178" t="s">
        <v>520</v>
      </c>
      <c r="L178" t="s">
        <v>521</v>
      </c>
      <c r="M178" t="s">
        <v>522</v>
      </c>
      <c r="N178" t="s">
        <v>521</v>
      </c>
      <c r="O178" t="s">
        <v>521</v>
      </c>
      <c r="P178" s="1">
        <v>3</v>
      </c>
      <c r="Q178" t="s">
        <v>91</v>
      </c>
      <c r="R178" t="s">
        <v>70</v>
      </c>
      <c r="S178" t="s">
        <v>71</v>
      </c>
      <c r="U178" t="s">
        <v>72</v>
      </c>
      <c r="V178" t="s">
        <v>523</v>
      </c>
      <c r="W178" t="s">
        <v>74</v>
      </c>
      <c r="X178" t="s">
        <v>524</v>
      </c>
      <c r="Y178" s="2">
        <v>811</v>
      </c>
      <c r="Z178" s="3">
        <v>1.46</v>
      </c>
      <c r="AA178" s="4">
        <v>1184</v>
      </c>
      <c r="AK178" s="5">
        <v>7.8125</v>
      </c>
      <c r="AN178" s="1">
        <v>2</v>
      </c>
      <c r="AO178" t="s">
        <v>81</v>
      </c>
      <c r="AP178" t="s">
        <v>82</v>
      </c>
      <c r="AQ178" t="s">
        <v>83</v>
      </c>
      <c r="AR178" s="3">
        <v>1.49</v>
      </c>
      <c r="AS178" s="4">
        <v>1270</v>
      </c>
      <c r="AT178" s="1">
        <v>850</v>
      </c>
      <c r="AU178" s="3">
        <v>1.4</v>
      </c>
      <c r="AV178" s="4">
        <v>1425</v>
      </c>
      <c r="AW178" s="1">
        <v>1015</v>
      </c>
      <c r="AX178" s="3">
        <v>17602.82</v>
      </c>
      <c r="BB178" t="s">
        <v>84</v>
      </c>
      <c r="BD178" s="3">
        <v>1.48</v>
      </c>
      <c r="BE178" s="4">
        <v>1020</v>
      </c>
      <c r="BF178" s="1">
        <v>690</v>
      </c>
      <c r="BG178" s="1">
        <v>32</v>
      </c>
      <c r="BH178" s="1">
        <v>16</v>
      </c>
      <c r="BI178" s="1">
        <v>16</v>
      </c>
      <c r="BK178" t="s">
        <v>525</v>
      </c>
    </row>
    <row r="179" spans="1:64" x14ac:dyDescent="0.25">
      <c r="A179" t="s">
        <v>1508</v>
      </c>
      <c r="B179" t="s">
        <v>1509</v>
      </c>
      <c r="C179" s="4">
        <f>(AA179*(H179*0.9))*12</f>
        <v>2971641.6</v>
      </c>
      <c r="D179" s="4">
        <f>IF(C179=0,"",(H179*150*12)+C179)</f>
        <v>3389241.6</v>
      </c>
      <c r="E179" s="4">
        <f>IFERROR(D179*0.5,"")</f>
        <v>1694620.8</v>
      </c>
      <c r="F179" s="4">
        <f>IFERROR(E179/0.06,"")</f>
        <v>28243680</v>
      </c>
      <c r="G179" s="4">
        <f>IFERROR(F179/H179,"")</f>
        <v>121740</v>
      </c>
      <c r="H179" s="1">
        <v>232</v>
      </c>
      <c r="I179" s="1">
        <v>1986</v>
      </c>
      <c r="J179" t="s">
        <v>64</v>
      </c>
      <c r="K179" t="s">
        <v>486</v>
      </c>
      <c r="L179" t="s">
        <v>1510</v>
      </c>
      <c r="M179" t="s">
        <v>1511</v>
      </c>
      <c r="N179" t="s">
        <v>1512</v>
      </c>
      <c r="O179" t="s">
        <v>1510</v>
      </c>
      <c r="P179" s="1">
        <v>3</v>
      </c>
      <c r="Q179" t="s">
        <v>91</v>
      </c>
      <c r="R179" t="s">
        <v>70</v>
      </c>
      <c r="S179" t="s">
        <v>71</v>
      </c>
      <c r="U179" t="s">
        <v>72</v>
      </c>
      <c r="V179" t="s">
        <v>73</v>
      </c>
      <c r="W179" t="s">
        <v>74</v>
      </c>
      <c r="X179" t="s">
        <v>743</v>
      </c>
      <c r="Y179" s="2">
        <v>714</v>
      </c>
      <c r="Z179" s="3">
        <v>1.66</v>
      </c>
      <c r="AA179" s="4">
        <v>1186</v>
      </c>
      <c r="AK179" s="5">
        <v>14.2241</v>
      </c>
      <c r="AN179" s="1">
        <v>3</v>
      </c>
      <c r="AO179" t="s">
        <v>81</v>
      </c>
      <c r="AP179" t="s">
        <v>82</v>
      </c>
      <c r="AQ179" t="s">
        <v>83</v>
      </c>
      <c r="AR179" s="3">
        <v>1.6</v>
      </c>
      <c r="AS179" s="4">
        <v>1463</v>
      </c>
      <c r="AT179" s="1">
        <v>915</v>
      </c>
      <c r="AX179" s="3">
        <v>536407.19999999995</v>
      </c>
      <c r="BB179" t="s">
        <v>84</v>
      </c>
      <c r="BD179" s="3">
        <v>1.69</v>
      </c>
      <c r="BE179" s="4">
        <v>1080</v>
      </c>
      <c r="BF179" s="1">
        <v>638</v>
      </c>
      <c r="BG179" s="1">
        <v>168</v>
      </c>
      <c r="BH179" s="1">
        <v>64</v>
      </c>
      <c r="BK179" t="s">
        <v>1513</v>
      </c>
      <c r="BL179" t="s">
        <v>104</v>
      </c>
    </row>
    <row r="180" spans="1:64" x14ac:dyDescent="0.25">
      <c r="A180" t="s">
        <v>3683</v>
      </c>
      <c r="B180" t="s">
        <v>3684</v>
      </c>
      <c r="C180" s="4">
        <f>(AA180*(H180*0.9))*12</f>
        <v>1538352</v>
      </c>
      <c r="D180" s="4">
        <f>IF(C180=0,"",(H180*150*12)+C180)</f>
        <v>1754352</v>
      </c>
      <c r="E180" s="4">
        <f>IFERROR(D180*0.5,"")</f>
        <v>877176</v>
      </c>
      <c r="F180" s="4">
        <f>IFERROR(E180/0.06,"")</f>
        <v>14619600</v>
      </c>
      <c r="G180" s="4">
        <f>IFERROR(F180/H180,"")</f>
        <v>121830</v>
      </c>
      <c r="H180" s="1">
        <v>120</v>
      </c>
      <c r="I180" s="1">
        <v>1994</v>
      </c>
      <c r="J180" t="s">
        <v>64</v>
      </c>
      <c r="K180" t="s">
        <v>734</v>
      </c>
      <c r="L180" t="s">
        <v>735</v>
      </c>
      <c r="M180" t="s">
        <v>3685</v>
      </c>
      <c r="O180" t="s">
        <v>735</v>
      </c>
      <c r="P180" s="1">
        <v>2</v>
      </c>
      <c r="Q180" t="s">
        <v>69</v>
      </c>
      <c r="R180" t="s">
        <v>70</v>
      </c>
      <c r="S180" t="s">
        <v>71</v>
      </c>
      <c r="U180" t="s">
        <v>72</v>
      </c>
      <c r="V180" t="s">
        <v>73</v>
      </c>
      <c r="W180" t="s">
        <v>74</v>
      </c>
      <c r="X180" t="s">
        <v>738</v>
      </c>
      <c r="Y180" s="2">
        <v>850</v>
      </c>
      <c r="Z180" s="3">
        <v>1.4</v>
      </c>
      <c r="AA180" s="4">
        <v>1187</v>
      </c>
      <c r="AK180" s="5">
        <v>17.5</v>
      </c>
      <c r="AN180" s="1">
        <v>2</v>
      </c>
      <c r="AO180" t="s">
        <v>81</v>
      </c>
      <c r="AP180" t="s">
        <v>82</v>
      </c>
      <c r="AQ180" t="s">
        <v>83</v>
      </c>
      <c r="AR180" s="3">
        <v>1.21</v>
      </c>
      <c r="AS180" s="4">
        <v>1498</v>
      </c>
      <c r="AT180" s="1">
        <v>1235</v>
      </c>
      <c r="AX180" s="3">
        <v>206976.39</v>
      </c>
      <c r="BB180" t="s">
        <v>84</v>
      </c>
      <c r="BD180" s="3">
        <v>1.42</v>
      </c>
      <c r="BE180" s="4">
        <v>1159</v>
      </c>
      <c r="BF180" s="1">
        <v>816</v>
      </c>
      <c r="BG180" s="1">
        <v>110</v>
      </c>
      <c r="BH180" s="1">
        <v>10</v>
      </c>
    </row>
    <row r="181" spans="1:64" x14ac:dyDescent="0.25">
      <c r="A181" t="s">
        <v>154</v>
      </c>
      <c r="B181" t="s">
        <v>155</v>
      </c>
      <c r="C181" s="4">
        <f>(AA181*(H181*0.9))*12</f>
        <v>1744934.4000000001</v>
      </c>
      <c r="D181" s="4">
        <f>IF(C181=0,"",(H181*150*12)+C181)</f>
        <v>1989734.4000000001</v>
      </c>
      <c r="E181" s="4">
        <f>IFERROR(D181*0.5,"")</f>
        <v>994867.20000000007</v>
      </c>
      <c r="F181" s="4">
        <f>IFERROR(E181/0.06,"")</f>
        <v>16581120.000000002</v>
      </c>
      <c r="G181" s="4">
        <f>IFERROR(F181/H181,"")</f>
        <v>121920.00000000001</v>
      </c>
      <c r="H181" s="1">
        <v>136</v>
      </c>
      <c r="I181" s="1">
        <v>1985</v>
      </c>
      <c r="J181" t="s">
        <v>64</v>
      </c>
      <c r="K181" t="s">
        <v>156</v>
      </c>
      <c r="L181" t="s">
        <v>157</v>
      </c>
      <c r="M181" t="s">
        <v>158</v>
      </c>
      <c r="N181" t="s">
        <v>159</v>
      </c>
      <c r="O181" t="s">
        <v>157</v>
      </c>
      <c r="P181" s="1">
        <v>3</v>
      </c>
      <c r="Q181" t="s">
        <v>69</v>
      </c>
      <c r="R181" t="s">
        <v>70</v>
      </c>
      <c r="S181" t="s">
        <v>71</v>
      </c>
      <c r="T181" t="s">
        <v>118</v>
      </c>
      <c r="U181" t="s">
        <v>72</v>
      </c>
      <c r="V181" t="s">
        <v>160</v>
      </c>
      <c r="W181" t="s">
        <v>74</v>
      </c>
      <c r="X181" t="s">
        <v>161</v>
      </c>
      <c r="Y181" s="2">
        <v>796</v>
      </c>
      <c r="Z181" s="3">
        <v>1.49</v>
      </c>
      <c r="AA181" s="4">
        <v>1188</v>
      </c>
      <c r="AK181" s="5">
        <v>10.2941</v>
      </c>
      <c r="AN181" s="1">
        <v>2</v>
      </c>
      <c r="AO181" t="s">
        <v>81</v>
      </c>
      <c r="AP181" t="s">
        <v>82</v>
      </c>
      <c r="AQ181" t="s">
        <v>83</v>
      </c>
      <c r="AR181" s="3">
        <v>1.49</v>
      </c>
      <c r="AS181" s="4">
        <v>1200</v>
      </c>
      <c r="AT181" s="1">
        <v>808</v>
      </c>
      <c r="AU181" s="3">
        <v>1.38</v>
      </c>
      <c r="AV181" s="4">
        <v>1400</v>
      </c>
      <c r="AW181" s="1">
        <v>1011</v>
      </c>
      <c r="AX181" s="3">
        <v>305040.40999999997</v>
      </c>
      <c r="BB181" t="s">
        <v>84</v>
      </c>
      <c r="BD181" s="3">
        <v>1.65</v>
      </c>
      <c r="BE181" s="4">
        <v>1000</v>
      </c>
      <c r="BF181" s="1">
        <v>606</v>
      </c>
      <c r="BG181" s="1">
        <v>32</v>
      </c>
      <c r="BH181" s="1">
        <v>80</v>
      </c>
      <c r="BI181" s="1">
        <v>24</v>
      </c>
      <c r="BL181" t="s">
        <v>131</v>
      </c>
    </row>
    <row r="182" spans="1:64" x14ac:dyDescent="0.25">
      <c r="A182" t="s">
        <v>1188</v>
      </c>
      <c r="B182" t="s">
        <v>1189</v>
      </c>
      <c r="C182" s="4">
        <f>(AA182*(H182*0.9))*12</f>
        <v>4003084.8000000003</v>
      </c>
      <c r="D182" s="4">
        <f>IF(C182=0,"",(H182*150*12)+C182)</f>
        <v>4564684.8000000007</v>
      </c>
      <c r="E182" s="4">
        <f>IFERROR(D182*0.5,"")</f>
        <v>2282342.4000000004</v>
      </c>
      <c r="F182" s="4">
        <f>IFERROR(E182/0.06,"")</f>
        <v>38039040.000000007</v>
      </c>
      <c r="G182" s="4">
        <f>IFERROR(F182/H182,"")</f>
        <v>121920.00000000003</v>
      </c>
      <c r="H182" s="1">
        <v>312</v>
      </c>
      <c r="I182" s="1">
        <v>1986</v>
      </c>
      <c r="J182" t="s">
        <v>64</v>
      </c>
      <c r="K182" t="s">
        <v>725</v>
      </c>
      <c r="L182" t="s">
        <v>1190</v>
      </c>
      <c r="M182" t="s">
        <v>1191</v>
      </c>
      <c r="N182" t="s">
        <v>1192</v>
      </c>
      <c r="O182" t="s">
        <v>1190</v>
      </c>
      <c r="P182" s="1">
        <v>3</v>
      </c>
      <c r="Q182" t="s">
        <v>69</v>
      </c>
      <c r="R182" t="s">
        <v>70</v>
      </c>
      <c r="S182" t="s">
        <v>71</v>
      </c>
      <c r="U182" t="s">
        <v>72</v>
      </c>
      <c r="V182" t="s">
        <v>73</v>
      </c>
      <c r="W182" t="s">
        <v>74</v>
      </c>
      <c r="X182" t="s">
        <v>730</v>
      </c>
      <c r="Y182" s="2">
        <v>716</v>
      </c>
      <c r="Z182" s="3">
        <v>1.66</v>
      </c>
      <c r="AA182" s="4">
        <v>1188</v>
      </c>
      <c r="AK182" s="5">
        <v>14.102600000000001</v>
      </c>
      <c r="AM182" s="1">
        <v>2016</v>
      </c>
      <c r="AN182" s="1">
        <v>3</v>
      </c>
      <c r="AO182" t="s">
        <v>81</v>
      </c>
      <c r="AP182" t="s">
        <v>82</v>
      </c>
      <c r="AQ182" t="s">
        <v>83</v>
      </c>
      <c r="AR182" s="3">
        <v>1.65</v>
      </c>
      <c r="AS182" s="4">
        <v>1520</v>
      </c>
      <c r="AT182" s="1">
        <v>923</v>
      </c>
      <c r="AX182" s="3">
        <v>731705.91</v>
      </c>
      <c r="BB182" t="s">
        <v>84</v>
      </c>
      <c r="BD182" s="3">
        <v>1.66</v>
      </c>
      <c r="BE182" s="4">
        <v>1040</v>
      </c>
      <c r="BF182" s="1">
        <v>625</v>
      </c>
      <c r="BG182" s="1">
        <v>216</v>
      </c>
      <c r="BH182" s="1">
        <v>96</v>
      </c>
      <c r="BL182" t="s">
        <v>131</v>
      </c>
    </row>
    <row r="183" spans="1:64" x14ac:dyDescent="0.25">
      <c r="A183" t="s">
        <v>1664</v>
      </c>
      <c r="B183" t="s">
        <v>1665</v>
      </c>
      <c r="C183" s="4">
        <f>(AA183*(H183*0.9))*12</f>
        <v>3498681.5999999996</v>
      </c>
      <c r="D183" s="4">
        <f>IF(C183=0,"",(H183*150*12)+C183)</f>
        <v>3988281.5999999996</v>
      </c>
      <c r="E183" s="4">
        <f>IFERROR(D183*0.5,"")</f>
        <v>1994140.7999999998</v>
      </c>
      <c r="F183" s="4">
        <f>IFERROR(E183/0.06,"")</f>
        <v>33235679.999999996</v>
      </c>
      <c r="G183" s="4">
        <f>IFERROR(F183/H183,"")</f>
        <v>122189.99999999999</v>
      </c>
      <c r="H183" s="1">
        <v>272</v>
      </c>
      <c r="I183" s="1">
        <v>1985</v>
      </c>
      <c r="J183" t="s">
        <v>64</v>
      </c>
      <c r="K183" t="s">
        <v>1666</v>
      </c>
      <c r="L183" t="s">
        <v>1667</v>
      </c>
      <c r="M183" t="s">
        <v>1668</v>
      </c>
      <c r="N183" t="s">
        <v>1669</v>
      </c>
      <c r="O183" t="s">
        <v>1667</v>
      </c>
      <c r="P183" s="1">
        <v>3</v>
      </c>
      <c r="Q183" t="s">
        <v>91</v>
      </c>
      <c r="R183" t="s">
        <v>70</v>
      </c>
      <c r="S183" t="s">
        <v>71</v>
      </c>
      <c r="T183" t="s">
        <v>118</v>
      </c>
      <c r="U183" t="s">
        <v>72</v>
      </c>
      <c r="V183" t="s">
        <v>73</v>
      </c>
      <c r="W183" t="s">
        <v>74</v>
      </c>
      <c r="X183" t="s">
        <v>1670</v>
      </c>
      <c r="Y183" s="2">
        <v>718</v>
      </c>
      <c r="Z183" s="3">
        <v>1.66</v>
      </c>
      <c r="AA183" s="4">
        <v>1191</v>
      </c>
      <c r="AK183" s="5">
        <v>16.911799999999999</v>
      </c>
      <c r="AN183" s="1">
        <v>2</v>
      </c>
      <c r="AO183" t="s">
        <v>81</v>
      </c>
      <c r="AP183" t="s">
        <v>82</v>
      </c>
      <c r="AQ183" t="s">
        <v>83</v>
      </c>
      <c r="AR183" s="3">
        <v>1.51</v>
      </c>
      <c r="AS183" s="4">
        <v>1291</v>
      </c>
      <c r="AT183" s="1">
        <v>857</v>
      </c>
      <c r="AX183" s="3">
        <v>469356.3</v>
      </c>
      <c r="BB183" t="s">
        <v>84</v>
      </c>
      <c r="BD183" s="3">
        <v>1.98</v>
      </c>
      <c r="BE183" s="4">
        <v>1055</v>
      </c>
      <c r="BF183" s="1">
        <v>533</v>
      </c>
      <c r="BG183" s="1">
        <v>116</v>
      </c>
      <c r="BH183" s="1">
        <v>156</v>
      </c>
      <c r="BK183" t="s">
        <v>1671</v>
      </c>
      <c r="BL183" t="s">
        <v>104</v>
      </c>
    </row>
    <row r="184" spans="1:64" x14ac:dyDescent="0.25">
      <c r="A184" t="s">
        <v>1687</v>
      </c>
      <c r="B184" t="s">
        <v>1688</v>
      </c>
      <c r="C184" s="4">
        <f>(AA184*(H184*0.9))*12</f>
        <v>2548972.8000000003</v>
      </c>
      <c r="D184" s="4">
        <f>IF(C184=0,"",(H184*150*12)+C184)</f>
        <v>2905372.8000000003</v>
      </c>
      <c r="E184" s="4">
        <f>IFERROR(D184*0.5,"")</f>
        <v>1452686.4000000001</v>
      </c>
      <c r="F184" s="4">
        <f>IFERROR(E184/0.06,"")</f>
        <v>24211440.000000004</v>
      </c>
      <c r="G184" s="4">
        <f>IFERROR(F184/H184,"")</f>
        <v>122280.00000000001</v>
      </c>
      <c r="H184" s="1">
        <v>198</v>
      </c>
      <c r="I184" s="1">
        <v>1985</v>
      </c>
      <c r="J184" t="s">
        <v>64</v>
      </c>
      <c r="K184" t="s">
        <v>1689</v>
      </c>
      <c r="L184" t="s">
        <v>1690</v>
      </c>
      <c r="M184" t="s">
        <v>1691</v>
      </c>
      <c r="O184" t="s">
        <v>1690</v>
      </c>
      <c r="P184" s="1">
        <v>3</v>
      </c>
      <c r="Q184" t="s">
        <v>91</v>
      </c>
      <c r="R184" t="s">
        <v>70</v>
      </c>
      <c r="S184" t="s">
        <v>71</v>
      </c>
      <c r="U184" t="s">
        <v>72</v>
      </c>
      <c r="V184" t="s">
        <v>152</v>
      </c>
      <c r="W184" t="s">
        <v>74</v>
      </c>
      <c r="X184" t="s">
        <v>1692</v>
      </c>
      <c r="Y184" s="2">
        <v>698</v>
      </c>
      <c r="Z184" s="3">
        <v>1.71</v>
      </c>
      <c r="AA184" s="4">
        <v>1192</v>
      </c>
      <c r="AK184" s="5">
        <v>5.5556000000000001</v>
      </c>
      <c r="AN184" s="1">
        <v>2</v>
      </c>
      <c r="AO184" t="s">
        <v>81</v>
      </c>
      <c r="AP184" t="s">
        <v>82</v>
      </c>
      <c r="AQ184" t="s">
        <v>83</v>
      </c>
      <c r="AR184" s="3">
        <v>1.55</v>
      </c>
      <c r="AS184" s="4">
        <v>1361</v>
      </c>
      <c r="AT184" s="1">
        <v>878</v>
      </c>
      <c r="AX184" s="3">
        <v>542161.30000000005</v>
      </c>
      <c r="BB184" t="s">
        <v>84</v>
      </c>
      <c r="BD184" s="3">
        <v>1.78</v>
      </c>
      <c r="BE184" s="4">
        <v>1138</v>
      </c>
      <c r="BF184" s="1">
        <v>641</v>
      </c>
      <c r="BG184" s="1">
        <v>150</v>
      </c>
      <c r="BH184" s="1">
        <v>48</v>
      </c>
    </row>
    <row r="185" spans="1:64" x14ac:dyDescent="0.25">
      <c r="A185" t="s">
        <v>1557</v>
      </c>
      <c r="B185" t="s">
        <v>1558</v>
      </c>
      <c r="C185" s="4">
        <f>(AA185*(H185*0.9))*12</f>
        <v>4586846.4000000004</v>
      </c>
      <c r="D185" s="4">
        <f>IF(C185=0,"",(H185*150*12)+C185)</f>
        <v>5227646.4000000004</v>
      </c>
      <c r="E185" s="4">
        <f>IFERROR(D185*0.5,"")</f>
        <v>2613823.2000000002</v>
      </c>
      <c r="F185" s="4">
        <f>IFERROR(E185/0.06,"")</f>
        <v>43563720.000000007</v>
      </c>
      <c r="G185" s="4">
        <f>IFERROR(F185/H185,"")</f>
        <v>122370.00000000001</v>
      </c>
      <c r="H185" s="1">
        <v>356</v>
      </c>
      <c r="I185" s="1">
        <v>1985</v>
      </c>
      <c r="J185" t="s">
        <v>64</v>
      </c>
      <c r="K185" t="s">
        <v>653</v>
      </c>
      <c r="L185" t="s">
        <v>1559</v>
      </c>
      <c r="M185" t="s">
        <v>1560</v>
      </c>
      <c r="O185" t="s">
        <v>1559</v>
      </c>
      <c r="P185" s="1">
        <v>3</v>
      </c>
      <c r="Q185" t="s">
        <v>91</v>
      </c>
      <c r="R185" t="s">
        <v>70</v>
      </c>
      <c r="S185" t="s">
        <v>71</v>
      </c>
      <c r="U185" t="s">
        <v>72</v>
      </c>
      <c r="V185" t="s">
        <v>152</v>
      </c>
      <c r="W185" t="s">
        <v>74</v>
      </c>
      <c r="X185" t="s">
        <v>1561</v>
      </c>
      <c r="Y185" s="2">
        <v>905</v>
      </c>
      <c r="Z185" s="3">
        <v>1.32</v>
      </c>
      <c r="AA185" s="4">
        <v>1193</v>
      </c>
      <c r="AK185" s="5">
        <v>16.011199999999999</v>
      </c>
      <c r="AL185" s="1">
        <v>1</v>
      </c>
      <c r="AN185" s="1">
        <v>2</v>
      </c>
      <c r="AO185" t="s">
        <v>81</v>
      </c>
      <c r="AP185" t="s">
        <v>82</v>
      </c>
      <c r="AQ185" t="s">
        <v>83</v>
      </c>
      <c r="AR185" s="3">
        <v>1.22</v>
      </c>
      <c r="AS185" s="4">
        <v>1366</v>
      </c>
      <c r="AT185" s="1">
        <v>1122</v>
      </c>
      <c r="AX185" s="3">
        <v>0</v>
      </c>
      <c r="AY185" s="3">
        <v>1.73</v>
      </c>
      <c r="AZ185" s="4">
        <v>1018</v>
      </c>
      <c r="BA185" s="6">
        <v>590</v>
      </c>
      <c r="BB185" t="s">
        <v>84</v>
      </c>
      <c r="BD185" s="3">
        <v>1.4</v>
      </c>
      <c r="BE185" s="4">
        <v>1094</v>
      </c>
      <c r="BF185" s="1">
        <v>781</v>
      </c>
      <c r="BG185" s="1">
        <v>225</v>
      </c>
      <c r="BH185" s="1">
        <v>130</v>
      </c>
      <c r="BL185" t="s">
        <v>131</v>
      </c>
    </row>
    <row r="186" spans="1:64" x14ac:dyDescent="0.25">
      <c r="A186" t="s">
        <v>1715</v>
      </c>
      <c r="B186" t="s">
        <v>1716</v>
      </c>
      <c r="C186" s="4">
        <f>(AA186*(H186*0.9))*12</f>
        <v>6318648</v>
      </c>
      <c r="D186" s="4">
        <f>IF(C186=0,"",(H186*150*12)+C186)</f>
        <v>7200648</v>
      </c>
      <c r="E186" s="4">
        <f>IFERROR(D186*0.5,"")</f>
        <v>3600324</v>
      </c>
      <c r="F186" s="4">
        <f>IFERROR(E186/0.06,"")</f>
        <v>60005400</v>
      </c>
      <c r="G186" s="4">
        <f>IFERROR(F186/H186,"")</f>
        <v>122460</v>
      </c>
      <c r="H186" s="1">
        <v>490</v>
      </c>
      <c r="I186" s="1">
        <v>1985</v>
      </c>
      <c r="J186" t="s">
        <v>64</v>
      </c>
      <c r="K186" t="s">
        <v>177</v>
      </c>
      <c r="L186" t="s">
        <v>1717</v>
      </c>
      <c r="M186" t="s">
        <v>1718</v>
      </c>
      <c r="N186" t="s">
        <v>1719</v>
      </c>
      <c r="O186" t="s">
        <v>1717</v>
      </c>
      <c r="P186" s="1">
        <v>3</v>
      </c>
      <c r="Q186" t="s">
        <v>91</v>
      </c>
      <c r="R186" t="s">
        <v>70</v>
      </c>
      <c r="S186" t="s">
        <v>71</v>
      </c>
      <c r="U186" t="s">
        <v>72</v>
      </c>
      <c r="V186" t="s">
        <v>181</v>
      </c>
      <c r="W186" t="s">
        <v>74</v>
      </c>
      <c r="X186" t="s">
        <v>182</v>
      </c>
      <c r="Y186" s="2">
        <v>759</v>
      </c>
      <c r="Z186" s="3">
        <v>1.57</v>
      </c>
      <c r="AA186" s="4">
        <v>1194</v>
      </c>
      <c r="AK186" s="5">
        <v>9.1837</v>
      </c>
      <c r="AN186" s="1">
        <v>2</v>
      </c>
      <c r="AO186" t="s">
        <v>81</v>
      </c>
      <c r="AP186" t="s">
        <v>82</v>
      </c>
      <c r="AQ186" t="s">
        <v>83</v>
      </c>
      <c r="AR186" s="3">
        <v>1.55</v>
      </c>
      <c r="AS186" s="4">
        <v>1460</v>
      </c>
      <c r="AT186" s="1">
        <v>943</v>
      </c>
      <c r="AX186" s="3">
        <v>1382303.26</v>
      </c>
      <c r="BB186" t="s">
        <v>84</v>
      </c>
      <c r="BD186" s="3">
        <v>1.6</v>
      </c>
      <c r="BE186" s="4">
        <v>1007</v>
      </c>
      <c r="BF186" s="1">
        <v>631</v>
      </c>
      <c r="BG186" s="1">
        <v>288</v>
      </c>
      <c r="BH186" s="1">
        <v>202</v>
      </c>
      <c r="BK186" t="s">
        <v>1403</v>
      </c>
      <c r="BL186" t="s">
        <v>104</v>
      </c>
    </row>
    <row r="187" spans="1:64" x14ac:dyDescent="0.25">
      <c r="A187" t="s">
        <v>1980</v>
      </c>
      <c r="B187" t="s">
        <v>1981</v>
      </c>
      <c r="C187" s="4">
        <f>(AA187*(H187*0.9))*12</f>
        <v>4100673.5999999996</v>
      </c>
      <c r="D187" s="4">
        <f>IF(C187=0,"",(H187*150*12)+C187)</f>
        <v>4673073.5999999996</v>
      </c>
      <c r="E187" s="4">
        <f>IFERROR(D187*0.5,"")</f>
        <v>2336536.7999999998</v>
      </c>
      <c r="F187" s="4">
        <f>IFERROR(E187/0.06,"")</f>
        <v>38942280</v>
      </c>
      <c r="G187" s="4">
        <f>IFERROR(F187/H187,"")</f>
        <v>122460</v>
      </c>
      <c r="H187" s="1">
        <v>318</v>
      </c>
      <c r="I187" s="1">
        <v>1987</v>
      </c>
      <c r="J187" t="s">
        <v>64</v>
      </c>
      <c r="K187" t="s">
        <v>360</v>
      </c>
      <c r="L187" t="s">
        <v>1982</v>
      </c>
      <c r="M187" t="s">
        <v>1983</v>
      </c>
      <c r="N187" t="s">
        <v>1984</v>
      </c>
      <c r="O187" t="s">
        <v>1982</v>
      </c>
      <c r="P187" s="1">
        <v>3</v>
      </c>
      <c r="Q187" t="s">
        <v>69</v>
      </c>
      <c r="R187" t="s">
        <v>70</v>
      </c>
      <c r="S187" t="s">
        <v>71</v>
      </c>
      <c r="T187" t="s">
        <v>118</v>
      </c>
      <c r="U187" t="s">
        <v>72</v>
      </c>
      <c r="V187" t="s">
        <v>73</v>
      </c>
      <c r="W187" t="s">
        <v>74</v>
      </c>
      <c r="X187" t="s">
        <v>379</v>
      </c>
      <c r="Y187" s="2">
        <v>774</v>
      </c>
      <c r="Z187" s="3">
        <v>1.54</v>
      </c>
      <c r="AA187" s="4">
        <v>1194</v>
      </c>
      <c r="AK187" s="5">
        <v>5.3459000000000003</v>
      </c>
      <c r="AM187" s="1">
        <v>2004</v>
      </c>
      <c r="AN187" s="1">
        <v>3</v>
      </c>
      <c r="AO187" t="s">
        <v>81</v>
      </c>
      <c r="AP187" t="s">
        <v>82</v>
      </c>
      <c r="AQ187" t="s">
        <v>83</v>
      </c>
      <c r="AR187" s="3">
        <v>1.45</v>
      </c>
      <c r="AS187" s="4">
        <v>1404</v>
      </c>
      <c r="AT187" s="1">
        <v>965</v>
      </c>
      <c r="AX187" s="3">
        <v>439183.4</v>
      </c>
      <c r="BB187" t="s">
        <v>84</v>
      </c>
      <c r="BD187" s="3">
        <v>1.59</v>
      </c>
      <c r="BE187" s="4">
        <v>1104</v>
      </c>
      <c r="BF187" s="1">
        <v>692</v>
      </c>
      <c r="BG187" s="1">
        <v>222</v>
      </c>
      <c r="BH187" s="1">
        <v>96</v>
      </c>
      <c r="BK187" t="s">
        <v>1985</v>
      </c>
      <c r="BL187" t="s">
        <v>104</v>
      </c>
    </row>
    <row r="188" spans="1:64" x14ac:dyDescent="0.25">
      <c r="A188" t="s">
        <v>323</v>
      </c>
      <c r="B188" t="s">
        <v>324</v>
      </c>
      <c r="C188" s="4">
        <f>(AA188*(H188*0.9))*12</f>
        <v>879076.8</v>
      </c>
      <c r="D188" s="4">
        <f>IF(C188=0,"",(H188*150*12)+C188)</f>
        <v>1001476.8</v>
      </c>
      <c r="E188" s="4">
        <f>IFERROR(D188*0.5,"")</f>
        <v>500738.4</v>
      </c>
      <c r="F188" s="4">
        <f>IFERROR(E188/0.06,"")</f>
        <v>8345640.0000000009</v>
      </c>
      <c r="G188" s="4">
        <f>IFERROR(F188/H188,"")</f>
        <v>122730.00000000001</v>
      </c>
      <c r="H188" s="1">
        <v>68</v>
      </c>
      <c r="I188" s="1">
        <v>1985</v>
      </c>
      <c r="J188" t="s">
        <v>64</v>
      </c>
      <c r="K188" t="s">
        <v>308</v>
      </c>
      <c r="L188" t="s">
        <v>325</v>
      </c>
      <c r="M188" t="s">
        <v>326</v>
      </c>
      <c r="N188" t="s">
        <v>327</v>
      </c>
      <c r="O188" t="s">
        <v>325</v>
      </c>
      <c r="P188" s="1">
        <v>2</v>
      </c>
      <c r="Q188" t="s">
        <v>69</v>
      </c>
      <c r="R188" t="s">
        <v>70</v>
      </c>
      <c r="S188" t="s">
        <v>71</v>
      </c>
      <c r="U188" t="s">
        <v>72</v>
      </c>
      <c r="V188" t="s">
        <v>232</v>
      </c>
      <c r="W188" t="s">
        <v>74</v>
      </c>
      <c r="X188" t="s">
        <v>328</v>
      </c>
      <c r="Y188" s="2">
        <v>673</v>
      </c>
      <c r="Z188" s="3">
        <v>1.78</v>
      </c>
      <c r="AA188" s="4">
        <v>1197</v>
      </c>
      <c r="AK188" s="5">
        <v>16.176500000000001</v>
      </c>
      <c r="AN188" s="1">
        <v>2</v>
      </c>
      <c r="AO188" t="s">
        <v>81</v>
      </c>
      <c r="AP188" t="s">
        <v>82</v>
      </c>
      <c r="AQ188" t="s">
        <v>83</v>
      </c>
      <c r="AR188" s="3">
        <v>1.8</v>
      </c>
      <c r="AS188" s="4">
        <v>1350</v>
      </c>
      <c r="AT188" s="1">
        <v>750</v>
      </c>
      <c r="AX188" s="3">
        <v>158291.49</v>
      </c>
      <c r="BB188" t="s">
        <v>84</v>
      </c>
      <c r="BD188" s="3">
        <v>1.77</v>
      </c>
      <c r="BE188" s="4">
        <v>1150</v>
      </c>
      <c r="BF188" s="1">
        <v>650</v>
      </c>
      <c r="BG188" s="1">
        <v>52</v>
      </c>
      <c r="BH188" s="1">
        <v>16</v>
      </c>
    </row>
    <row r="189" spans="1:64" x14ac:dyDescent="0.25">
      <c r="A189" t="s">
        <v>197</v>
      </c>
      <c r="B189" t="s">
        <v>163</v>
      </c>
      <c r="C189" s="4">
        <f>(AA189*(H189*0.9))*12</f>
        <v>1811376</v>
      </c>
      <c r="D189" s="4">
        <f>IF(C189=0,"",(H189*150*12)+C189)</f>
        <v>2063376</v>
      </c>
      <c r="E189" s="4">
        <f>IFERROR(D189*0.5,"")</f>
        <v>1031688</v>
      </c>
      <c r="F189" s="4">
        <f>IFERROR(E189/0.06,"")</f>
        <v>17194800</v>
      </c>
      <c r="G189" s="4">
        <f>IFERROR(F189/H189,"")</f>
        <v>122820</v>
      </c>
      <c r="H189" s="1">
        <v>140</v>
      </c>
      <c r="I189" s="1">
        <v>1985</v>
      </c>
      <c r="J189" t="s">
        <v>64</v>
      </c>
      <c r="K189" t="s">
        <v>198</v>
      </c>
      <c r="L189" t="s">
        <v>199</v>
      </c>
      <c r="M189" t="s">
        <v>200</v>
      </c>
      <c r="N189" t="s">
        <v>201</v>
      </c>
      <c r="O189" t="s">
        <v>199</v>
      </c>
      <c r="P189" s="1">
        <v>3</v>
      </c>
      <c r="Q189" t="s">
        <v>91</v>
      </c>
      <c r="R189" t="s">
        <v>70</v>
      </c>
      <c r="S189" t="s">
        <v>71</v>
      </c>
      <c r="U189" t="s">
        <v>72</v>
      </c>
      <c r="V189" t="s">
        <v>110</v>
      </c>
      <c r="W189" t="s">
        <v>74</v>
      </c>
      <c r="X189" t="s">
        <v>202</v>
      </c>
      <c r="Y189" s="2">
        <v>737</v>
      </c>
      <c r="Z189" s="3">
        <v>1.62</v>
      </c>
      <c r="AA189" s="4">
        <v>1198</v>
      </c>
      <c r="AK189" s="5">
        <v>6.4286000000000003</v>
      </c>
      <c r="AN189" s="1">
        <v>2</v>
      </c>
      <c r="AO189" t="s">
        <v>81</v>
      </c>
      <c r="AP189" t="s">
        <v>82</v>
      </c>
      <c r="AQ189" t="s">
        <v>83</v>
      </c>
      <c r="AR189" s="3">
        <v>1.64</v>
      </c>
      <c r="AS189" s="4">
        <v>1512</v>
      </c>
      <c r="AT189" s="1">
        <v>920</v>
      </c>
      <c r="AX189" s="3">
        <v>426188.1</v>
      </c>
      <c r="BB189" t="s">
        <v>84</v>
      </c>
      <c r="BD189" s="3">
        <v>1.61</v>
      </c>
      <c r="BE189" s="4">
        <v>1044</v>
      </c>
      <c r="BF189" s="1">
        <v>648</v>
      </c>
      <c r="BG189" s="1">
        <v>94</v>
      </c>
      <c r="BH189" s="1">
        <v>46</v>
      </c>
      <c r="BK189" t="s">
        <v>203</v>
      </c>
      <c r="BL189" t="s">
        <v>104</v>
      </c>
    </row>
    <row r="190" spans="1:64" x14ac:dyDescent="0.25">
      <c r="A190" t="s">
        <v>2505</v>
      </c>
      <c r="B190" t="s">
        <v>2506</v>
      </c>
      <c r="C190" s="4">
        <f>(AA190*(H190*0.9))*12</f>
        <v>3638725.2</v>
      </c>
      <c r="D190" s="4">
        <f>IF(C190=0,"",(H190*150*12)+C190)</f>
        <v>4144525.2</v>
      </c>
      <c r="E190" s="4">
        <f>IFERROR(D190*0.5,"")</f>
        <v>2072262.6</v>
      </c>
      <c r="F190" s="4">
        <f>IFERROR(E190/0.06,"")</f>
        <v>34537710</v>
      </c>
      <c r="G190" s="4">
        <f>IFERROR(F190/H190,"")</f>
        <v>122910</v>
      </c>
      <c r="H190" s="1">
        <v>281</v>
      </c>
      <c r="I190" s="1">
        <v>1995</v>
      </c>
      <c r="J190" t="s">
        <v>64</v>
      </c>
      <c r="K190" t="s">
        <v>734</v>
      </c>
      <c r="L190" t="s">
        <v>2507</v>
      </c>
      <c r="M190" t="s">
        <v>2508</v>
      </c>
      <c r="O190" t="s">
        <v>2507</v>
      </c>
      <c r="P190" s="1">
        <v>4</v>
      </c>
      <c r="Q190" t="s">
        <v>729</v>
      </c>
      <c r="R190" t="s">
        <v>70</v>
      </c>
      <c r="S190" t="s">
        <v>71</v>
      </c>
      <c r="U190" t="s">
        <v>72</v>
      </c>
      <c r="V190" t="s">
        <v>73</v>
      </c>
      <c r="W190" t="s">
        <v>74</v>
      </c>
      <c r="X190" t="s">
        <v>738</v>
      </c>
      <c r="Y190" s="2">
        <v>638</v>
      </c>
      <c r="Z190" s="3">
        <v>1.88</v>
      </c>
      <c r="AA190" s="4">
        <v>1199</v>
      </c>
      <c r="AK190" s="5">
        <v>15.3025</v>
      </c>
      <c r="AN190" s="1">
        <v>3</v>
      </c>
      <c r="AO190" t="s">
        <v>81</v>
      </c>
      <c r="AP190" t="s">
        <v>82</v>
      </c>
      <c r="AQ190" t="s">
        <v>83</v>
      </c>
      <c r="AR190" s="3">
        <v>1.63</v>
      </c>
      <c r="AS190" s="4">
        <v>1604</v>
      </c>
      <c r="AT190" s="1">
        <v>985</v>
      </c>
      <c r="AX190" s="3">
        <v>0</v>
      </c>
      <c r="AY190" s="3">
        <v>2.64</v>
      </c>
      <c r="AZ190" s="4">
        <v>919</v>
      </c>
      <c r="BA190" s="6">
        <v>347</v>
      </c>
      <c r="BB190" t="s">
        <v>84</v>
      </c>
      <c r="BD190" s="3">
        <v>1.8</v>
      </c>
      <c r="BE190" s="4">
        <v>1239</v>
      </c>
      <c r="BF190" s="1">
        <v>689</v>
      </c>
      <c r="BG190" s="1">
        <v>191</v>
      </c>
      <c r="BH190" s="1">
        <v>26</v>
      </c>
    </row>
    <row r="191" spans="1:64" x14ac:dyDescent="0.25">
      <c r="A191" t="s">
        <v>1782</v>
      </c>
      <c r="B191" t="s">
        <v>1783</v>
      </c>
      <c r="C191" s="4">
        <f>(AA191*(H191*0.9))*12</f>
        <v>3118176</v>
      </c>
      <c r="D191" s="4">
        <f>IF(C191=0,"",(H191*150*12)+C191)</f>
        <v>3550176</v>
      </c>
      <c r="E191" s="4">
        <f>IFERROR(D191*0.5,"")</f>
        <v>1775088</v>
      </c>
      <c r="F191" s="4">
        <f>IFERROR(E191/0.06,"")</f>
        <v>29584800</v>
      </c>
      <c r="G191" s="4">
        <f>IFERROR(F191/H191,"")</f>
        <v>123270</v>
      </c>
      <c r="H191" s="1">
        <v>240</v>
      </c>
      <c r="I191" s="1">
        <v>1985</v>
      </c>
      <c r="J191" t="s">
        <v>64</v>
      </c>
      <c r="K191" t="s">
        <v>1666</v>
      </c>
      <c r="L191" t="s">
        <v>1784</v>
      </c>
      <c r="M191" t="s">
        <v>1785</v>
      </c>
      <c r="N191" t="s">
        <v>1786</v>
      </c>
      <c r="O191" t="s">
        <v>1784</v>
      </c>
      <c r="P191" s="1">
        <v>3</v>
      </c>
      <c r="Q191" t="s">
        <v>69</v>
      </c>
      <c r="R191" t="s">
        <v>70</v>
      </c>
      <c r="S191" t="s">
        <v>71</v>
      </c>
      <c r="U191" t="s">
        <v>72</v>
      </c>
      <c r="V191" t="s">
        <v>73</v>
      </c>
      <c r="W191" t="s">
        <v>74</v>
      </c>
      <c r="X191" t="s">
        <v>379</v>
      </c>
      <c r="Y191" s="2">
        <v>870</v>
      </c>
      <c r="Z191" s="3">
        <v>1.38</v>
      </c>
      <c r="AA191" s="4">
        <v>1203</v>
      </c>
      <c r="AK191" s="5">
        <v>12.5</v>
      </c>
      <c r="AN191" s="1">
        <v>3</v>
      </c>
      <c r="AO191" t="s">
        <v>81</v>
      </c>
      <c r="AP191" t="s">
        <v>82</v>
      </c>
      <c r="AQ191" t="s">
        <v>83</v>
      </c>
      <c r="AR191" s="3">
        <v>1.33</v>
      </c>
      <c r="AS191" s="4">
        <v>1181</v>
      </c>
      <c r="AT191" s="1">
        <v>884</v>
      </c>
      <c r="AU191" s="3">
        <v>1.38</v>
      </c>
      <c r="AV191" s="4">
        <v>1500</v>
      </c>
      <c r="AW191" s="1">
        <v>1087</v>
      </c>
      <c r="AX191" s="3">
        <v>482766.48</v>
      </c>
      <c r="BB191" t="s">
        <v>84</v>
      </c>
      <c r="BD191" s="3">
        <v>1.49</v>
      </c>
      <c r="BE191" s="4">
        <v>975</v>
      </c>
      <c r="BF191" s="1">
        <v>657</v>
      </c>
      <c r="BG191" s="1">
        <v>70</v>
      </c>
      <c r="BH191" s="1">
        <v>108</v>
      </c>
      <c r="BI191" s="1">
        <v>62</v>
      </c>
      <c r="BK191" t="s">
        <v>987</v>
      </c>
      <c r="BL191" t="s">
        <v>744</v>
      </c>
    </row>
    <row r="192" spans="1:64" x14ac:dyDescent="0.25">
      <c r="A192" t="s">
        <v>3140</v>
      </c>
      <c r="B192" t="s">
        <v>3141</v>
      </c>
      <c r="C192" s="4">
        <f>(AA192*(H192*0.9))*12</f>
        <v>1483596.0000000002</v>
      </c>
      <c r="D192" s="4">
        <f>IF(C192=0,"",(H192*150*12)+C192)</f>
        <v>1688796.0000000002</v>
      </c>
      <c r="E192" s="4">
        <f>IFERROR(D192*0.5,"")</f>
        <v>844398.00000000012</v>
      </c>
      <c r="F192" s="4">
        <f>IFERROR(E192/0.06,"")</f>
        <v>14073300.000000002</v>
      </c>
      <c r="G192" s="4">
        <f>IFERROR(F192/H192,"")</f>
        <v>123450.00000000001</v>
      </c>
      <c r="H192" s="1">
        <v>114</v>
      </c>
      <c r="I192" s="1">
        <v>1991</v>
      </c>
      <c r="J192" t="s">
        <v>64</v>
      </c>
      <c r="K192" t="s">
        <v>269</v>
      </c>
      <c r="L192" t="s">
        <v>2311</v>
      </c>
      <c r="M192" t="s">
        <v>3142</v>
      </c>
      <c r="N192" t="s">
        <v>3143</v>
      </c>
      <c r="O192" t="s">
        <v>2311</v>
      </c>
      <c r="P192" s="1">
        <v>3</v>
      </c>
      <c r="Q192" t="s">
        <v>91</v>
      </c>
      <c r="R192" t="s">
        <v>70</v>
      </c>
      <c r="S192" t="s">
        <v>71</v>
      </c>
      <c r="U192" t="s">
        <v>72</v>
      </c>
      <c r="V192" t="s">
        <v>73</v>
      </c>
      <c r="W192" t="s">
        <v>74</v>
      </c>
      <c r="X192" t="s">
        <v>272</v>
      </c>
      <c r="Y192" s="2">
        <v>652</v>
      </c>
      <c r="Z192" s="3">
        <v>1.85</v>
      </c>
      <c r="AA192" s="4">
        <v>1205</v>
      </c>
      <c r="AK192" s="5">
        <v>4.3860000000000001</v>
      </c>
      <c r="AN192" s="1">
        <v>3</v>
      </c>
      <c r="AO192" t="s">
        <v>81</v>
      </c>
      <c r="AP192" t="s">
        <v>82</v>
      </c>
      <c r="AQ192" t="s">
        <v>83</v>
      </c>
      <c r="AR192" s="3">
        <v>1.66</v>
      </c>
      <c r="AS192" s="4">
        <v>1524</v>
      </c>
      <c r="AT192" s="1">
        <v>917</v>
      </c>
      <c r="AX192" s="3">
        <v>360957.34</v>
      </c>
      <c r="AY192" s="3">
        <v>2.29</v>
      </c>
      <c r="AZ192" s="4">
        <v>1062</v>
      </c>
      <c r="BA192" s="6">
        <v>464</v>
      </c>
      <c r="BB192" t="s">
        <v>84</v>
      </c>
      <c r="BD192" s="3">
        <v>1.85</v>
      </c>
      <c r="BE192" s="4">
        <v>1192</v>
      </c>
      <c r="BF192" s="1">
        <v>645</v>
      </c>
      <c r="BG192" s="1">
        <v>104</v>
      </c>
      <c r="BH192" s="1">
        <v>6</v>
      </c>
    </row>
    <row r="193" spans="1:64" x14ac:dyDescent="0.25">
      <c r="A193" t="s">
        <v>2998</v>
      </c>
      <c r="B193" t="s">
        <v>2999</v>
      </c>
      <c r="C193" s="4">
        <f>(AA193*(H193*0.9))*12</f>
        <v>6644030.3999999994</v>
      </c>
      <c r="D193" s="4">
        <f>IF(C193=0,"",(H193*150*12)+C193)</f>
        <v>7558430.3999999994</v>
      </c>
      <c r="E193" s="4">
        <f>IFERROR(D193*0.5,"")</f>
        <v>3779215.1999999997</v>
      </c>
      <c r="F193" s="4">
        <f>IFERROR(E193/0.06,"")</f>
        <v>62986920</v>
      </c>
      <c r="G193" s="4">
        <f>IFERROR(F193/H193,"")</f>
        <v>123990</v>
      </c>
      <c r="H193" s="1">
        <v>508</v>
      </c>
      <c r="I193" s="1">
        <v>1999</v>
      </c>
      <c r="J193" t="s">
        <v>64</v>
      </c>
      <c r="K193" t="s">
        <v>156</v>
      </c>
      <c r="L193" t="s">
        <v>1205</v>
      </c>
      <c r="M193" t="s">
        <v>3000</v>
      </c>
      <c r="N193" t="s">
        <v>2478</v>
      </c>
      <c r="O193" t="s">
        <v>1205</v>
      </c>
      <c r="P193" s="1">
        <v>3</v>
      </c>
      <c r="Q193" t="s">
        <v>91</v>
      </c>
      <c r="R193" t="s">
        <v>70</v>
      </c>
      <c r="S193" t="s">
        <v>71</v>
      </c>
      <c r="U193" t="s">
        <v>72</v>
      </c>
      <c r="V193" t="s">
        <v>427</v>
      </c>
      <c r="W193" t="s">
        <v>74</v>
      </c>
      <c r="X193" t="s">
        <v>3001</v>
      </c>
      <c r="Y193" s="2">
        <v>774</v>
      </c>
      <c r="Z193" s="3">
        <v>1.56</v>
      </c>
      <c r="AA193" s="4">
        <v>1211</v>
      </c>
      <c r="AK193" s="5">
        <v>7.4802999999999997</v>
      </c>
      <c r="AN193" s="1">
        <v>3</v>
      </c>
      <c r="AO193" t="s">
        <v>81</v>
      </c>
      <c r="AP193" t="s">
        <v>82</v>
      </c>
      <c r="AQ193" t="s">
        <v>83</v>
      </c>
      <c r="AR193" s="3">
        <v>1.61</v>
      </c>
      <c r="AS193" s="4">
        <v>1538</v>
      </c>
      <c r="AT193" s="1">
        <v>957</v>
      </c>
      <c r="AX193" s="3">
        <v>1698236.32</v>
      </c>
      <c r="BB193" t="s">
        <v>84</v>
      </c>
      <c r="BD193" s="3">
        <v>1.53</v>
      </c>
      <c r="BE193" s="4">
        <v>1025</v>
      </c>
      <c r="BF193" s="1">
        <v>670</v>
      </c>
      <c r="BG193" s="1">
        <v>324</v>
      </c>
      <c r="BH193" s="1">
        <v>184</v>
      </c>
      <c r="BL193" t="s">
        <v>131</v>
      </c>
    </row>
    <row r="194" spans="1:64" x14ac:dyDescent="0.25">
      <c r="A194" t="s">
        <v>3648</v>
      </c>
      <c r="B194" t="s">
        <v>3649</v>
      </c>
      <c r="C194" s="4">
        <f>(AA194*(H194*0.9))*12</f>
        <v>2617920</v>
      </c>
      <c r="D194" s="4">
        <f>IF(C194=0,"",(H194*150*12)+C194)</f>
        <v>2977920</v>
      </c>
      <c r="E194" s="4">
        <f>IFERROR(D194*0.5,"")</f>
        <v>1488960</v>
      </c>
      <c r="F194" s="4">
        <f>IFERROR(E194/0.06,"")</f>
        <v>24816000</v>
      </c>
      <c r="G194" s="4">
        <f>IFERROR(F194/H194,"")</f>
        <v>124080</v>
      </c>
      <c r="H194" s="1">
        <v>200</v>
      </c>
      <c r="I194" s="1">
        <v>1997</v>
      </c>
      <c r="J194" t="s">
        <v>64</v>
      </c>
      <c r="K194" t="s">
        <v>156</v>
      </c>
      <c r="L194" t="s">
        <v>229</v>
      </c>
      <c r="M194" t="s">
        <v>3650</v>
      </c>
      <c r="N194" t="s">
        <v>3651</v>
      </c>
      <c r="O194" t="s">
        <v>229</v>
      </c>
      <c r="P194" s="1">
        <v>4</v>
      </c>
      <c r="Q194" t="s">
        <v>91</v>
      </c>
      <c r="R194" t="s">
        <v>70</v>
      </c>
      <c r="S194" t="s">
        <v>71</v>
      </c>
      <c r="U194" t="s">
        <v>72</v>
      </c>
      <c r="V194" t="s">
        <v>427</v>
      </c>
      <c r="W194" t="s">
        <v>74</v>
      </c>
      <c r="X194" t="s">
        <v>3652</v>
      </c>
      <c r="Y194" s="2">
        <v>878</v>
      </c>
      <c r="Z194" s="3">
        <v>1.38</v>
      </c>
      <c r="AA194" s="4">
        <v>1212</v>
      </c>
      <c r="AK194" s="5">
        <v>10</v>
      </c>
      <c r="AN194" s="1">
        <v>3</v>
      </c>
      <c r="AO194" t="s">
        <v>81</v>
      </c>
      <c r="AP194" t="s">
        <v>82</v>
      </c>
      <c r="AQ194" t="s">
        <v>83</v>
      </c>
      <c r="AR194" s="3">
        <v>1.3</v>
      </c>
      <c r="AS194" s="4">
        <v>1215</v>
      </c>
      <c r="AT194" s="1">
        <v>931</v>
      </c>
      <c r="AU194" s="3">
        <v>1.42</v>
      </c>
      <c r="AV194" s="4">
        <v>1671</v>
      </c>
      <c r="AW194" s="1">
        <v>1180</v>
      </c>
      <c r="AX194" s="3">
        <v>597282.72</v>
      </c>
      <c r="BB194" t="s">
        <v>84</v>
      </c>
      <c r="BD194" s="3">
        <v>1.47</v>
      </c>
      <c r="BE194" s="4">
        <v>1070</v>
      </c>
      <c r="BF194" s="1">
        <v>726</v>
      </c>
      <c r="BG194" s="1">
        <v>80</v>
      </c>
      <c r="BH194" s="1">
        <v>96</v>
      </c>
      <c r="BI194" s="1">
        <v>24</v>
      </c>
    </row>
    <row r="195" spans="1:64" x14ac:dyDescent="0.25">
      <c r="A195" t="s">
        <v>805</v>
      </c>
      <c r="B195" t="s">
        <v>806</v>
      </c>
      <c r="C195" s="4">
        <f>(AA195*(H195*0.9))*12</f>
        <v>7065446.3999999994</v>
      </c>
      <c r="D195" s="4">
        <f>IF(C195=0,"",(H195*150*12)+C195)</f>
        <v>8033846.3999999994</v>
      </c>
      <c r="E195" s="4">
        <f>IFERROR(D195*0.5,"")</f>
        <v>4016923.1999999997</v>
      </c>
      <c r="F195" s="4">
        <f>IFERROR(E195/0.06,"")</f>
        <v>66948720</v>
      </c>
      <c r="G195" s="4">
        <f>IFERROR(F195/H195,"")</f>
        <v>124440</v>
      </c>
      <c r="H195" s="1">
        <v>538</v>
      </c>
      <c r="I195" s="1">
        <v>1985</v>
      </c>
      <c r="J195" t="s">
        <v>64</v>
      </c>
      <c r="K195" t="s">
        <v>198</v>
      </c>
      <c r="L195" t="s">
        <v>807</v>
      </c>
      <c r="M195" t="s">
        <v>808</v>
      </c>
      <c r="N195" t="s">
        <v>809</v>
      </c>
      <c r="O195" t="s">
        <v>807</v>
      </c>
      <c r="P195" s="1">
        <v>3</v>
      </c>
      <c r="Q195" t="s">
        <v>91</v>
      </c>
      <c r="R195" t="s">
        <v>70</v>
      </c>
      <c r="S195" t="s">
        <v>71</v>
      </c>
      <c r="U195" t="s">
        <v>72</v>
      </c>
      <c r="V195" t="s">
        <v>110</v>
      </c>
      <c r="W195" t="s">
        <v>74</v>
      </c>
      <c r="X195" t="s">
        <v>810</v>
      </c>
      <c r="Y195" s="2">
        <v>732</v>
      </c>
      <c r="Z195" s="3">
        <v>1.66</v>
      </c>
      <c r="AA195" s="4">
        <v>1216</v>
      </c>
      <c r="AK195" s="5">
        <v>14.498100000000001</v>
      </c>
      <c r="AM195" s="1">
        <v>1992</v>
      </c>
      <c r="AN195" s="1">
        <v>2</v>
      </c>
      <c r="AO195" t="s">
        <v>81</v>
      </c>
      <c r="AP195" t="s">
        <v>82</v>
      </c>
      <c r="AQ195" t="s">
        <v>83</v>
      </c>
      <c r="AR195" s="3">
        <v>1.57</v>
      </c>
      <c r="AS195" s="4">
        <v>1415</v>
      </c>
      <c r="AT195" s="1">
        <v>902</v>
      </c>
      <c r="AX195" s="3">
        <v>1612958.05</v>
      </c>
      <c r="AY195" s="3">
        <v>1.96</v>
      </c>
      <c r="AZ195" s="4">
        <v>987</v>
      </c>
      <c r="BA195" s="6">
        <v>503</v>
      </c>
      <c r="BB195" t="s">
        <v>84</v>
      </c>
      <c r="BD195" s="3">
        <v>1.68</v>
      </c>
      <c r="BE195" s="4">
        <v>1094</v>
      </c>
      <c r="BF195" s="1">
        <v>650</v>
      </c>
      <c r="BG195" s="1">
        <v>190</v>
      </c>
      <c r="BH195" s="1">
        <v>240</v>
      </c>
      <c r="BK195" t="s">
        <v>811</v>
      </c>
      <c r="BL195" t="s">
        <v>104</v>
      </c>
    </row>
    <row r="196" spans="1:64" x14ac:dyDescent="0.25">
      <c r="A196" t="s">
        <v>3341</v>
      </c>
      <c r="B196" t="s">
        <v>3342</v>
      </c>
      <c r="C196" s="4">
        <f>(AA196*(H196*0.9))*12</f>
        <v>2681294.4</v>
      </c>
      <c r="D196" s="4">
        <f>IF(C196=0,"",(H196*150*12)+C196)</f>
        <v>3048494.4</v>
      </c>
      <c r="E196" s="4">
        <f>IFERROR(D196*0.5,"")</f>
        <v>1524247.2</v>
      </c>
      <c r="F196" s="4">
        <f>IFERROR(E196/0.06,"")</f>
        <v>25404120</v>
      </c>
      <c r="G196" s="4">
        <f>IFERROR(F196/H196,"")</f>
        <v>124530</v>
      </c>
      <c r="H196" s="1">
        <v>204</v>
      </c>
      <c r="I196" s="1">
        <v>1999</v>
      </c>
      <c r="J196" t="s">
        <v>64</v>
      </c>
      <c r="K196" t="s">
        <v>520</v>
      </c>
      <c r="L196" t="s">
        <v>1107</v>
      </c>
      <c r="M196" t="s">
        <v>3343</v>
      </c>
      <c r="N196" t="s">
        <v>3344</v>
      </c>
      <c r="O196" t="s">
        <v>1107</v>
      </c>
      <c r="P196" s="1">
        <v>3</v>
      </c>
      <c r="Q196" t="s">
        <v>69</v>
      </c>
      <c r="R196" t="s">
        <v>70</v>
      </c>
      <c r="S196" t="s">
        <v>71</v>
      </c>
      <c r="U196" t="s">
        <v>72</v>
      </c>
      <c r="V196" t="s">
        <v>3345</v>
      </c>
      <c r="W196" t="s">
        <v>74</v>
      </c>
      <c r="X196" t="s">
        <v>3346</v>
      </c>
      <c r="Y196" s="2">
        <v>796</v>
      </c>
      <c r="Z196" s="3">
        <v>1.53</v>
      </c>
      <c r="AA196" s="4">
        <v>1217</v>
      </c>
      <c r="AK196" s="5">
        <v>5.3921999999999999</v>
      </c>
      <c r="AN196" s="1">
        <v>2</v>
      </c>
      <c r="AO196" t="s">
        <v>81</v>
      </c>
      <c r="AP196" t="s">
        <v>82</v>
      </c>
      <c r="AQ196" t="s">
        <v>83</v>
      </c>
      <c r="AR196" s="3">
        <v>1.41</v>
      </c>
      <c r="AS196" s="4">
        <v>1333</v>
      </c>
      <c r="AT196" s="1">
        <v>943</v>
      </c>
      <c r="AU196" s="3">
        <v>1.32</v>
      </c>
      <c r="AV196" s="4">
        <v>1542</v>
      </c>
      <c r="AW196" s="1">
        <v>1168</v>
      </c>
      <c r="AX196" s="3">
        <v>404767.44</v>
      </c>
      <c r="BB196" t="s">
        <v>84</v>
      </c>
      <c r="BD196" s="3">
        <v>1.7</v>
      </c>
      <c r="BE196" s="4">
        <v>1091</v>
      </c>
      <c r="BF196" s="1">
        <v>642</v>
      </c>
      <c r="BG196" s="1">
        <v>108</v>
      </c>
      <c r="BH196" s="1">
        <v>84</v>
      </c>
      <c r="BI196" s="1">
        <v>12</v>
      </c>
      <c r="BK196" t="s">
        <v>3347</v>
      </c>
      <c r="BL196" t="s">
        <v>131</v>
      </c>
    </row>
    <row r="197" spans="1:64" x14ac:dyDescent="0.25">
      <c r="A197" t="s">
        <v>969</v>
      </c>
      <c r="B197" t="s">
        <v>970</v>
      </c>
      <c r="C197" s="4">
        <f>(AA197*(H197*0.9))*12</f>
        <v>999734.40000000014</v>
      </c>
      <c r="D197" s="4">
        <f>IF(C197=0,"",(H197*150*12)+C197)</f>
        <v>1136534.4000000001</v>
      </c>
      <c r="E197" s="4">
        <f>IFERROR(D197*0.5,"")</f>
        <v>568267.20000000007</v>
      </c>
      <c r="F197" s="4">
        <f>IFERROR(E197/0.06,"")</f>
        <v>9471120.0000000019</v>
      </c>
      <c r="G197" s="4">
        <f>IFERROR(F197/H197,"")</f>
        <v>124620.00000000003</v>
      </c>
      <c r="H197" s="1">
        <v>76</v>
      </c>
      <c r="I197" s="1">
        <v>1985</v>
      </c>
      <c r="J197" t="s">
        <v>64</v>
      </c>
      <c r="K197" t="s">
        <v>653</v>
      </c>
      <c r="L197" t="s">
        <v>971</v>
      </c>
      <c r="M197" t="s">
        <v>972</v>
      </c>
      <c r="N197" t="s">
        <v>973</v>
      </c>
      <c r="O197" t="s">
        <v>971</v>
      </c>
      <c r="P197" s="1">
        <v>3</v>
      </c>
      <c r="Q197" t="s">
        <v>69</v>
      </c>
      <c r="R197" t="s">
        <v>70</v>
      </c>
      <c r="S197" t="s">
        <v>71</v>
      </c>
      <c r="U197" t="s">
        <v>72</v>
      </c>
      <c r="V197" t="s">
        <v>152</v>
      </c>
      <c r="W197" t="s">
        <v>74</v>
      </c>
      <c r="X197" t="s">
        <v>974</v>
      </c>
      <c r="Y197" s="2">
        <v>1026</v>
      </c>
      <c r="Z197" s="3">
        <v>1.19</v>
      </c>
      <c r="AA197" s="4">
        <v>1218</v>
      </c>
      <c r="AK197" s="5">
        <v>1.3158000000000001</v>
      </c>
      <c r="AN197" s="1">
        <v>2</v>
      </c>
      <c r="AO197" t="s">
        <v>81</v>
      </c>
      <c r="AP197" t="s">
        <v>82</v>
      </c>
      <c r="AQ197" t="s">
        <v>83</v>
      </c>
      <c r="AR197" s="3">
        <v>1.19</v>
      </c>
      <c r="AS197" s="4">
        <v>1218</v>
      </c>
      <c r="AT197" s="1">
        <v>1026</v>
      </c>
      <c r="AX197" s="3">
        <v>172778.76</v>
      </c>
      <c r="BB197" t="s">
        <v>84</v>
      </c>
      <c r="BH197" s="1">
        <v>76</v>
      </c>
    </row>
    <row r="198" spans="1:64" x14ac:dyDescent="0.25">
      <c r="A198" t="s">
        <v>673</v>
      </c>
      <c r="B198" t="s">
        <v>674</v>
      </c>
      <c r="C198" s="4">
        <f>(AA198*(H198*0.9))*12</f>
        <v>4747248</v>
      </c>
      <c r="D198" s="4">
        <f>IF(C198=0,"",(H198*150*12)+C198)</f>
        <v>5395248</v>
      </c>
      <c r="E198" s="4">
        <f>IFERROR(D198*0.5,"")</f>
        <v>2697624</v>
      </c>
      <c r="F198" s="4">
        <f>IFERROR(E198/0.06,"")</f>
        <v>44960400</v>
      </c>
      <c r="G198" s="4">
        <f>IFERROR(F198/H198,"")</f>
        <v>124890</v>
      </c>
      <c r="H198" s="1">
        <v>360</v>
      </c>
      <c r="I198" s="1">
        <v>1986</v>
      </c>
      <c r="J198" t="s">
        <v>64</v>
      </c>
      <c r="K198" t="s">
        <v>264</v>
      </c>
      <c r="L198" t="s">
        <v>675</v>
      </c>
      <c r="M198" t="s">
        <v>676</v>
      </c>
      <c r="N198" t="s">
        <v>677</v>
      </c>
      <c r="O198" t="s">
        <v>675</v>
      </c>
      <c r="P198" s="1">
        <v>3</v>
      </c>
      <c r="Q198" t="s">
        <v>91</v>
      </c>
      <c r="R198" t="s">
        <v>70</v>
      </c>
      <c r="S198" t="s">
        <v>71</v>
      </c>
      <c r="U198" t="s">
        <v>72</v>
      </c>
      <c r="V198" t="s">
        <v>264</v>
      </c>
      <c r="W198" t="s">
        <v>74</v>
      </c>
      <c r="X198" t="s">
        <v>678</v>
      </c>
      <c r="Y198" s="2">
        <v>786</v>
      </c>
      <c r="Z198" s="3">
        <v>1.55</v>
      </c>
      <c r="AA198" s="4">
        <v>1221</v>
      </c>
      <c r="AK198" s="5">
        <v>7.2222</v>
      </c>
      <c r="AN198" s="1">
        <v>2</v>
      </c>
      <c r="AO198" t="s">
        <v>81</v>
      </c>
      <c r="AP198" t="s">
        <v>82</v>
      </c>
      <c r="AQ198" t="s">
        <v>83</v>
      </c>
      <c r="AR198" s="3">
        <v>1.41</v>
      </c>
      <c r="AS198" s="4">
        <v>1379</v>
      </c>
      <c r="AT198" s="1">
        <v>976</v>
      </c>
      <c r="AX198" s="3">
        <v>1069047.5</v>
      </c>
      <c r="BB198" t="s">
        <v>84</v>
      </c>
      <c r="BD198" s="3">
        <v>1.65</v>
      </c>
      <c r="BE198" s="4">
        <v>1143</v>
      </c>
      <c r="BF198" s="1">
        <v>692</v>
      </c>
      <c r="BG198" s="1">
        <v>240</v>
      </c>
      <c r="BH198" s="1">
        <v>120</v>
      </c>
      <c r="BK198" t="s">
        <v>679</v>
      </c>
      <c r="BL198" t="s">
        <v>104</v>
      </c>
    </row>
    <row r="199" spans="1:64" x14ac:dyDescent="0.25">
      <c r="A199" t="s">
        <v>3393</v>
      </c>
      <c r="B199" t="s">
        <v>3394</v>
      </c>
      <c r="C199" s="4">
        <f>(AA199*(H199*0.9))*12</f>
        <v>1002196.8</v>
      </c>
      <c r="D199" s="4">
        <f>IF(C199=0,"",(H199*150*12)+C199)</f>
        <v>1138996.8</v>
      </c>
      <c r="E199" s="4">
        <f>IFERROR(D199*0.5,"")</f>
        <v>569498.4</v>
      </c>
      <c r="F199" s="4">
        <f>IFERROR(E199/0.06,"")</f>
        <v>9491640</v>
      </c>
      <c r="G199" s="4">
        <f>IFERROR(F199/H199,"")</f>
        <v>124890</v>
      </c>
      <c r="H199" s="1">
        <v>76</v>
      </c>
      <c r="I199" s="1">
        <v>1998</v>
      </c>
      <c r="J199" t="s">
        <v>64</v>
      </c>
      <c r="K199" t="s">
        <v>638</v>
      </c>
      <c r="L199" t="s">
        <v>2594</v>
      </c>
      <c r="M199" t="s">
        <v>3395</v>
      </c>
      <c r="N199" t="s">
        <v>3396</v>
      </c>
      <c r="O199" t="s">
        <v>2594</v>
      </c>
      <c r="P199" s="1">
        <v>3</v>
      </c>
      <c r="Q199" t="s">
        <v>91</v>
      </c>
      <c r="R199" t="s">
        <v>70</v>
      </c>
      <c r="S199" t="s">
        <v>71</v>
      </c>
      <c r="T199" t="s">
        <v>118</v>
      </c>
      <c r="U199" t="s">
        <v>72</v>
      </c>
      <c r="V199" t="s">
        <v>2750</v>
      </c>
      <c r="W199" t="s">
        <v>74</v>
      </c>
      <c r="X199" t="s">
        <v>3397</v>
      </c>
      <c r="Y199" s="2">
        <v>1022</v>
      </c>
      <c r="Z199" s="3">
        <v>1.19</v>
      </c>
      <c r="AA199" s="4">
        <v>1221</v>
      </c>
      <c r="AK199" s="5">
        <v>5.2632000000000003</v>
      </c>
      <c r="AM199" s="1">
        <v>2017</v>
      </c>
      <c r="AN199" s="1">
        <v>2</v>
      </c>
      <c r="AO199" t="s">
        <v>81</v>
      </c>
      <c r="AP199" t="s">
        <v>82</v>
      </c>
      <c r="AQ199" t="s">
        <v>83</v>
      </c>
      <c r="AR199" s="3">
        <v>1.1599999999999999</v>
      </c>
      <c r="AS199" s="4">
        <v>1181</v>
      </c>
      <c r="AT199" s="1">
        <v>1016</v>
      </c>
      <c r="AU199" s="3">
        <v>1.25</v>
      </c>
      <c r="AV199" s="4">
        <v>1366</v>
      </c>
      <c r="AW199" s="1">
        <v>1096</v>
      </c>
      <c r="AX199" s="3">
        <v>81948.38</v>
      </c>
      <c r="BB199" t="s">
        <v>84</v>
      </c>
      <c r="BD199" s="3">
        <v>1.28</v>
      </c>
      <c r="BE199" s="4">
        <v>974</v>
      </c>
      <c r="BF199" s="1">
        <v>760</v>
      </c>
      <c r="BG199" s="1">
        <v>5</v>
      </c>
      <c r="BH199" s="1">
        <v>49</v>
      </c>
      <c r="BI199" s="1">
        <v>22</v>
      </c>
    </row>
    <row r="200" spans="1:64" x14ac:dyDescent="0.25">
      <c r="A200" t="s">
        <v>1105</v>
      </c>
      <c r="B200" t="s">
        <v>1106</v>
      </c>
      <c r="C200" s="4">
        <f>(AA200*(H200*0.9))*12</f>
        <v>3370896</v>
      </c>
      <c r="D200" s="4">
        <f>IF(C200=0,"",(H200*150*12)+C200)</f>
        <v>3829896</v>
      </c>
      <c r="E200" s="4">
        <f>IFERROR(D200*0.5,"")</f>
        <v>1914948</v>
      </c>
      <c r="F200" s="4">
        <f>IFERROR(E200/0.06,"")</f>
        <v>31915800</v>
      </c>
      <c r="G200" s="4">
        <f>IFERROR(F200/H200,"")</f>
        <v>125160</v>
      </c>
      <c r="H200" s="1">
        <v>255</v>
      </c>
      <c r="I200" s="1">
        <v>1985</v>
      </c>
      <c r="J200" t="s">
        <v>64</v>
      </c>
      <c r="K200" t="s">
        <v>734</v>
      </c>
      <c r="L200" t="s">
        <v>1107</v>
      </c>
      <c r="M200" t="s">
        <v>1108</v>
      </c>
      <c r="N200" t="s">
        <v>1109</v>
      </c>
      <c r="O200" t="s">
        <v>1107</v>
      </c>
      <c r="P200" s="1">
        <v>3</v>
      </c>
      <c r="Q200" t="s">
        <v>91</v>
      </c>
      <c r="R200" t="s">
        <v>70</v>
      </c>
      <c r="S200" t="s">
        <v>71</v>
      </c>
      <c r="U200" t="s">
        <v>72</v>
      </c>
      <c r="V200" t="s">
        <v>73</v>
      </c>
      <c r="W200" t="s">
        <v>74</v>
      </c>
      <c r="X200" t="s">
        <v>1110</v>
      </c>
      <c r="Y200" s="2">
        <v>726</v>
      </c>
      <c r="Z200" s="3">
        <v>1.68</v>
      </c>
      <c r="AA200" s="4">
        <v>1224</v>
      </c>
      <c r="AK200" s="5">
        <v>5.4901999999999997</v>
      </c>
      <c r="AN200" s="1">
        <v>3</v>
      </c>
      <c r="AO200" t="s">
        <v>81</v>
      </c>
      <c r="AP200" t="s">
        <v>82</v>
      </c>
      <c r="AQ200" t="s">
        <v>83</v>
      </c>
      <c r="AR200" s="3">
        <v>1.62</v>
      </c>
      <c r="AS200" s="4">
        <v>1646</v>
      </c>
      <c r="AT200" s="1">
        <v>1016</v>
      </c>
      <c r="AX200" s="3">
        <v>537492.73</v>
      </c>
      <c r="BB200" t="s">
        <v>84</v>
      </c>
      <c r="BD200" s="3">
        <v>1.72</v>
      </c>
      <c r="BE200" s="4">
        <v>1091</v>
      </c>
      <c r="BF200" s="1">
        <v>636</v>
      </c>
      <c r="BG200" s="1">
        <v>194</v>
      </c>
      <c r="BH200" s="1">
        <v>61</v>
      </c>
    </row>
    <row r="201" spans="1:64" x14ac:dyDescent="0.25">
      <c r="A201" t="s">
        <v>184</v>
      </c>
      <c r="B201" t="s">
        <v>185</v>
      </c>
      <c r="C201" s="4">
        <f>(AA201*(H201*0.9))*12</f>
        <v>3413340</v>
      </c>
      <c r="D201" s="4">
        <f>IF(C201=0,"",(H201*150*12)+C201)</f>
        <v>3877740</v>
      </c>
      <c r="E201" s="4">
        <f>IFERROR(D201*0.5,"")</f>
        <v>1938870</v>
      </c>
      <c r="F201" s="4">
        <f>IFERROR(E201/0.06,"")</f>
        <v>32314500</v>
      </c>
      <c r="G201" s="4">
        <f>IFERROR(F201/H201,"")</f>
        <v>125250</v>
      </c>
      <c r="H201" s="1">
        <v>258</v>
      </c>
      <c r="I201" s="1">
        <v>1985</v>
      </c>
      <c r="J201" t="s">
        <v>64</v>
      </c>
      <c r="K201" t="s">
        <v>177</v>
      </c>
      <c r="L201" t="s">
        <v>186</v>
      </c>
      <c r="M201" t="s">
        <v>187</v>
      </c>
      <c r="N201" t="s">
        <v>188</v>
      </c>
      <c r="O201" t="s">
        <v>186</v>
      </c>
      <c r="P201" s="1">
        <v>3</v>
      </c>
      <c r="Q201" t="s">
        <v>91</v>
      </c>
      <c r="R201" t="s">
        <v>70</v>
      </c>
      <c r="S201" t="s">
        <v>71</v>
      </c>
      <c r="U201" t="s">
        <v>72</v>
      </c>
      <c r="V201" t="s">
        <v>172</v>
      </c>
      <c r="W201" t="s">
        <v>74</v>
      </c>
      <c r="X201" t="s">
        <v>189</v>
      </c>
      <c r="Y201" s="2">
        <v>767</v>
      </c>
      <c r="Z201" s="3">
        <v>1.6</v>
      </c>
      <c r="AA201" s="4">
        <v>1225</v>
      </c>
      <c r="AK201" s="5">
        <v>5.8140000000000001</v>
      </c>
      <c r="AN201" s="1">
        <v>3</v>
      </c>
      <c r="AO201" t="s">
        <v>81</v>
      </c>
      <c r="AP201" t="s">
        <v>82</v>
      </c>
      <c r="AQ201" t="s">
        <v>83</v>
      </c>
      <c r="AR201" s="3">
        <v>1.44</v>
      </c>
      <c r="AS201" s="4">
        <v>1339</v>
      </c>
      <c r="AT201" s="1">
        <v>929</v>
      </c>
      <c r="AU201" s="3">
        <v>1.49</v>
      </c>
      <c r="AV201" s="4">
        <v>1909</v>
      </c>
      <c r="AW201" s="1">
        <v>1277</v>
      </c>
      <c r="AX201" s="3">
        <v>633891.92000000004</v>
      </c>
      <c r="BB201" t="s">
        <v>84</v>
      </c>
      <c r="BD201" s="3">
        <v>1.76</v>
      </c>
      <c r="BE201" s="4">
        <v>1086</v>
      </c>
      <c r="BF201" s="1">
        <v>618</v>
      </c>
      <c r="BG201" s="1">
        <v>152</v>
      </c>
      <c r="BH201" s="1">
        <v>90</v>
      </c>
      <c r="BI201" s="1">
        <v>16</v>
      </c>
      <c r="BK201" t="s">
        <v>190</v>
      </c>
      <c r="BL201" t="s">
        <v>104</v>
      </c>
    </row>
    <row r="202" spans="1:64" x14ac:dyDescent="0.25">
      <c r="A202" t="s">
        <v>658</v>
      </c>
      <c r="B202" t="s">
        <v>659</v>
      </c>
      <c r="C202" s="4">
        <f>(AA202*(H202*0.9))*12</f>
        <v>2920104</v>
      </c>
      <c r="D202" s="4">
        <f>IF(C202=0,"",(H202*150*12)+C202)</f>
        <v>3316104</v>
      </c>
      <c r="E202" s="4">
        <f>IFERROR(D202*0.5,"")</f>
        <v>1658052</v>
      </c>
      <c r="F202" s="4">
        <f>IFERROR(E202/0.06,"")</f>
        <v>27634200</v>
      </c>
      <c r="G202" s="4">
        <f>IFERROR(F202/H202,"")</f>
        <v>125610</v>
      </c>
      <c r="H202" s="1">
        <v>220</v>
      </c>
      <c r="I202" s="1">
        <v>1989</v>
      </c>
      <c r="J202" t="s">
        <v>64</v>
      </c>
      <c r="K202" t="s">
        <v>660</v>
      </c>
      <c r="L202" t="s">
        <v>661</v>
      </c>
      <c r="M202" t="s">
        <v>662</v>
      </c>
      <c r="N202" t="s">
        <v>663</v>
      </c>
      <c r="O202" t="s">
        <v>661</v>
      </c>
      <c r="P202" s="1">
        <v>3</v>
      </c>
      <c r="Q202" t="s">
        <v>91</v>
      </c>
      <c r="R202" t="s">
        <v>70</v>
      </c>
      <c r="S202" t="s">
        <v>71</v>
      </c>
      <c r="U202" t="s">
        <v>72</v>
      </c>
      <c r="V202" t="s">
        <v>664</v>
      </c>
      <c r="W202" t="s">
        <v>74</v>
      </c>
      <c r="X202" t="s">
        <v>665</v>
      </c>
      <c r="Y202" s="2">
        <v>772</v>
      </c>
      <c r="Z202" s="3">
        <v>1.59</v>
      </c>
      <c r="AA202" s="4">
        <v>1229</v>
      </c>
      <c r="AK202" s="5">
        <v>19.090900000000001</v>
      </c>
      <c r="AM202" s="1">
        <v>2003</v>
      </c>
      <c r="AN202" s="1">
        <v>2</v>
      </c>
      <c r="AO202" t="s">
        <v>81</v>
      </c>
      <c r="AP202" t="s">
        <v>82</v>
      </c>
      <c r="AQ202" t="s">
        <v>83</v>
      </c>
      <c r="AR202" s="3">
        <v>1.42</v>
      </c>
      <c r="AS202" s="4">
        <v>1348</v>
      </c>
      <c r="AT202" s="1">
        <v>951</v>
      </c>
      <c r="AX202" s="3">
        <v>485589.17</v>
      </c>
      <c r="BB202" t="s">
        <v>84</v>
      </c>
      <c r="BD202" s="3">
        <v>1.78</v>
      </c>
      <c r="BE202" s="4">
        <v>1144</v>
      </c>
      <c r="BF202" s="1">
        <v>645</v>
      </c>
      <c r="BG202" s="1">
        <v>128</v>
      </c>
      <c r="BH202" s="1">
        <v>92</v>
      </c>
      <c r="BK202" t="s">
        <v>666</v>
      </c>
      <c r="BL202" t="s">
        <v>104</v>
      </c>
    </row>
    <row r="203" spans="1:64" x14ac:dyDescent="0.25">
      <c r="A203" t="s">
        <v>4092</v>
      </c>
      <c r="B203" t="s">
        <v>4093</v>
      </c>
      <c r="C203" s="4">
        <f>(AA203*(H203*0.9))*12</f>
        <v>4539434.4000000004</v>
      </c>
      <c r="D203" s="4">
        <f>IF(C203=0,"",(H203*150*12)+C203)</f>
        <v>5155034.4000000004</v>
      </c>
      <c r="E203" s="4">
        <f>IFERROR(D203*0.5,"")</f>
        <v>2577517.2000000002</v>
      </c>
      <c r="F203" s="4">
        <f>IFERROR(E203/0.06,"")</f>
        <v>42958620.000000007</v>
      </c>
      <c r="G203" s="4">
        <f>IFERROR(F203/H203,"")</f>
        <v>125610.00000000001</v>
      </c>
      <c r="H203" s="1">
        <v>342</v>
      </c>
      <c r="I203" s="1">
        <v>1998</v>
      </c>
      <c r="J203" t="s">
        <v>64</v>
      </c>
      <c r="K203" t="s">
        <v>123</v>
      </c>
      <c r="L203" t="s">
        <v>2057</v>
      </c>
      <c r="M203" t="s">
        <v>4094</v>
      </c>
      <c r="N203" t="s">
        <v>4095</v>
      </c>
      <c r="O203" t="s">
        <v>2057</v>
      </c>
      <c r="P203" s="1">
        <v>4</v>
      </c>
      <c r="Q203" t="s">
        <v>729</v>
      </c>
      <c r="R203" t="s">
        <v>70</v>
      </c>
      <c r="S203" t="s">
        <v>71</v>
      </c>
      <c r="U203" t="s">
        <v>72</v>
      </c>
      <c r="V203" t="s">
        <v>129</v>
      </c>
      <c r="W203" t="s">
        <v>74</v>
      </c>
      <c r="X203" t="s">
        <v>4096</v>
      </c>
      <c r="Y203" s="2">
        <v>789</v>
      </c>
      <c r="Z203" s="3">
        <v>1.56</v>
      </c>
      <c r="AA203" s="4">
        <v>1229</v>
      </c>
      <c r="AK203" s="5">
        <v>7.6022999999999996</v>
      </c>
      <c r="AM203" s="1">
        <v>2019</v>
      </c>
      <c r="AN203" s="1">
        <v>3</v>
      </c>
      <c r="AO203" t="s">
        <v>81</v>
      </c>
      <c r="AP203" t="s">
        <v>82</v>
      </c>
      <c r="AQ203" t="s">
        <v>83</v>
      </c>
      <c r="AR203" s="3">
        <v>1.54</v>
      </c>
      <c r="AS203" s="4">
        <v>1672</v>
      </c>
      <c r="AT203" s="1">
        <v>1083</v>
      </c>
      <c r="AX203" s="3">
        <v>1071419.19</v>
      </c>
      <c r="BB203" t="s">
        <v>84</v>
      </c>
      <c r="BD203" s="3">
        <v>1.57</v>
      </c>
      <c r="BE203" s="4">
        <v>1072</v>
      </c>
      <c r="BF203" s="1">
        <v>684</v>
      </c>
      <c r="BG203" s="1">
        <v>252</v>
      </c>
      <c r="BH203" s="1">
        <v>90</v>
      </c>
      <c r="BK203" t="s">
        <v>3617</v>
      </c>
      <c r="BL203" t="s">
        <v>104</v>
      </c>
    </row>
    <row r="204" spans="1:64" x14ac:dyDescent="0.25">
      <c r="A204" t="s">
        <v>782</v>
      </c>
      <c r="B204" t="s">
        <v>783</v>
      </c>
      <c r="C204" s="4">
        <f>(AA204*(H204*0.9))*12</f>
        <v>3353011.2</v>
      </c>
      <c r="D204" s="4">
        <f>IF(C204=0,"",(H204*150*12)+C204)</f>
        <v>3806611.2</v>
      </c>
      <c r="E204" s="4">
        <f>IFERROR(D204*0.5,"")</f>
        <v>1903305.6</v>
      </c>
      <c r="F204" s="4">
        <f>IFERROR(E204/0.06,"")</f>
        <v>31721760.000000004</v>
      </c>
      <c r="G204" s="4">
        <f>IFERROR(F204/H204,"")</f>
        <v>125880.00000000001</v>
      </c>
      <c r="H204" s="1">
        <v>252</v>
      </c>
      <c r="I204" s="1">
        <v>1986</v>
      </c>
      <c r="J204" t="s">
        <v>64</v>
      </c>
      <c r="K204" t="s">
        <v>156</v>
      </c>
      <c r="L204" t="s">
        <v>784</v>
      </c>
      <c r="M204" t="s">
        <v>785</v>
      </c>
      <c r="N204" t="s">
        <v>786</v>
      </c>
      <c r="O204" t="s">
        <v>784</v>
      </c>
      <c r="P204" s="1">
        <v>3</v>
      </c>
      <c r="Q204" t="s">
        <v>91</v>
      </c>
      <c r="R204" t="s">
        <v>70</v>
      </c>
      <c r="S204" t="s">
        <v>71</v>
      </c>
      <c r="U204" t="s">
        <v>72</v>
      </c>
      <c r="V204" t="s">
        <v>73</v>
      </c>
      <c r="W204" t="s">
        <v>74</v>
      </c>
      <c r="X204" t="s">
        <v>787</v>
      </c>
      <c r="Y204" s="2">
        <v>739</v>
      </c>
      <c r="Z204" s="3">
        <v>1.67</v>
      </c>
      <c r="AA204" s="4">
        <v>1232</v>
      </c>
      <c r="AK204" s="5">
        <v>13.492100000000001</v>
      </c>
      <c r="AM204" s="1">
        <v>2010</v>
      </c>
      <c r="AN204" s="1">
        <v>3</v>
      </c>
      <c r="AO204" t="s">
        <v>81</v>
      </c>
      <c r="AP204" t="s">
        <v>82</v>
      </c>
      <c r="AQ204" t="s">
        <v>83</v>
      </c>
      <c r="AR204" s="3">
        <v>1.57</v>
      </c>
      <c r="AS204" s="4">
        <v>1403</v>
      </c>
      <c r="AT204" s="1">
        <v>894</v>
      </c>
      <c r="AU204" s="3">
        <v>1.81</v>
      </c>
      <c r="AV204" s="4">
        <v>1886</v>
      </c>
      <c r="AW204" s="1">
        <v>1041</v>
      </c>
      <c r="AX204" s="3">
        <v>690847.77</v>
      </c>
      <c r="BB204" t="s">
        <v>84</v>
      </c>
      <c r="BD204" s="3">
        <v>1.72</v>
      </c>
      <c r="BE204" s="4">
        <v>1012</v>
      </c>
      <c r="BF204" s="1">
        <v>590</v>
      </c>
      <c r="BG204" s="1">
        <v>140</v>
      </c>
      <c r="BH204" s="1">
        <v>88</v>
      </c>
      <c r="BI204" s="1">
        <v>24</v>
      </c>
    </row>
    <row r="205" spans="1:64" x14ac:dyDescent="0.25">
      <c r="A205" t="s">
        <v>1881</v>
      </c>
      <c r="B205" t="s">
        <v>1882</v>
      </c>
      <c r="C205" s="4">
        <f>(AA205*(H205*0.9))*12</f>
        <v>3515529.5999999996</v>
      </c>
      <c r="D205" s="4">
        <f>IF(C205=0,"",(H205*150*12)+C205)</f>
        <v>3990729.5999999996</v>
      </c>
      <c r="E205" s="4">
        <f>IFERROR(D205*0.5,"")</f>
        <v>1995364.7999999998</v>
      </c>
      <c r="F205" s="4">
        <f>IFERROR(E205/0.06,"")</f>
        <v>33256079.999999996</v>
      </c>
      <c r="G205" s="4">
        <f>IFERROR(F205/H205,"")</f>
        <v>125969.99999999999</v>
      </c>
      <c r="H205" s="1">
        <v>264</v>
      </c>
      <c r="I205" s="1">
        <v>1985</v>
      </c>
      <c r="J205" t="s">
        <v>64</v>
      </c>
      <c r="K205" t="s">
        <v>725</v>
      </c>
      <c r="L205" t="s">
        <v>1883</v>
      </c>
      <c r="M205" t="s">
        <v>1884</v>
      </c>
      <c r="N205" t="s">
        <v>1885</v>
      </c>
      <c r="O205" t="s">
        <v>1883</v>
      </c>
      <c r="P205" s="1">
        <v>3</v>
      </c>
      <c r="Q205" t="s">
        <v>91</v>
      </c>
      <c r="R205" t="s">
        <v>70</v>
      </c>
      <c r="S205" t="s">
        <v>71</v>
      </c>
      <c r="U205" t="s">
        <v>72</v>
      </c>
      <c r="V205" t="s">
        <v>73</v>
      </c>
      <c r="W205" t="s">
        <v>74</v>
      </c>
      <c r="X205" t="s">
        <v>1886</v>
      </c>
      <c r="Y205" s="2">
        <v>652</v>
      </c>
      <c r="Z205" s="3">
        <v>1.89</v>
      </c>
      <c r="AA205" s="4">
        <v>1233</v>
      </c>
      <c r="AK205" s="5">
        <v>8.7120999999999995</v>
      </c>
      <c r="AN205" s="1">
        <v>2</v>
      </c>
      <c r="AO205" t="s">
        <v>81</v>
      </c>
      <c r="AP205" t="s">
        <v>82</v>
      </c>
      <c r="AQ205" t="s">
        <v>83</v>
      </c>
      <c r="AR205" s="3">
        <v>1.7</v>
      </c>
      <c r="AS205" s="4">
        <v>1594</v>
      </c>
      <c r="AT205" s="1">
        <v>940</v>
      </c>
      <c r="AX205" s="3">
        <v>742962.92</v>
      </c>
      <c r="BB205" t="s">
        <v>84</v>
      </c>
      <c r="BD205" s="3">
        <v>1.99</v>
      </c>
      <c r="BE205" s="4">
        <v>1117</v>
      </c>
      <c r="BF205" s="1">
        <v>560</v>
      </c>
      <c r="BG205" s="1">
        <v>200</v>
      </c>
      <c r="BH205" s="1">
        <v>64</v>
      </c>
    </row>
    <row r="206" spans="1:64" x14ac:dyDescent="0.25">
      <c r="A206" t="s">
        <v>526</v>
      </c>
      <c r="B206" t="s">
        <v>527</v>
      </c>
      <c r="C206" s="4">
        <f>(AA206*(H206*0.9))*12</f>
        <v>3195936</v>
      </c>
      <c r="D206" s="4">
        <f>IF(C206=0,"",(H206*150*12)+C206)</f>
        <v>3627936</v>
      </c>
      <c r="E206" s="4">
        <f>IFERROR(D206*0.5,"")</f>
        <v>1813968</v>
      </c>
      <c r="F206" s="4">
        <f>IFERROR(E206/0.06,"")</f>
        <v>30232800</v>
      </c>
      <c r="G206" s="4">
        <f>IFERROR(F206/H206,"")</f>
        <v>125970</v>
      </c>
      <c r="H206" s="1">
        <v>240</v>
      </c>
      <c r="I206" s="1">
        <v>1985</v>
      </c>
      <c r="J206" t="s">
        <v>64</v>
      </c>
      <c r="K206" t="s">
        <v>110</v>
      </c>
      <c r="L206" t="s">
        <v>528</v>
      </c>
      <c r="M206" t="s">
        <v>529</v>
      </c>
      <c r="N206" t="s">
        <v>530</v>
      </c>
      <c r="O206" t="s">
        <v>528</v>
      </c>
      <c r="P206" s="1">
        <v>3</v>
      </c>
      <c r="Q206" t="s">
        <v>91</v>
      </c>
      <c r="R206" t="s">
        <v>70</v>
      </c>
      <c r="S206" t="s">
        <v>71</v>
      </c>
      <c r="U206" t="s">
        <v>72</v>
      </c>
      <c r="V206" t="s">
        <v>531</v>
      </c>
      <c r="W206" t="s">
        <v>74</v>
      </c>
      <c r="X206" t="s">
        <v>532</v>
      </c>
      <c r="Y206" s="2">
        <v>755</v>
      </c>
      <c r="Z206" s="3">
        <v>1.63</v>
      </c>
      <c r="AA206" s="4">
        <v>1233</v>
      </c>
      <c r="AK206" s="5">
        <v>6.25</v>
      </c>
      <c r="AM206" s="1">
        <v>2018</v>
      </c>
      <c r="AN206" s="1">
        <v>2</v>
      </c>
      <c r="AO206" t="s">
        <v>81</v>
      </c>
      <c r="AP206" t="s">
        <v>82</v>
      </c>
      <c r="AQ206" t="s">
        <v>83</v>
      </c>
      <c r="AR206" s="3">
        <v>1.58</v>
      </c>
      <c r="AS206" s="4">
        <v>1335</v>
      </c>
      <c r="AT206" s="1">
        <v>847</v>
      </c>
      <c r="AU206" s="3">
        <v>1.44</v>
      </c>
      <c r="AV206" s="4">
        <v>1800</v>
      </c>
      <c r="AW206" s="1">
        <v>1250</v>
      </c>
      <c r="AX206" s="3">
        <v>426574.82</v>
      </c>
      <c r="BB206" t="s">
        <v>84</v>
      </c>
      <c r="BD206" s="3">
        <v>1.74</v>
      </c>
      <c r="BE206" s="4">
        <v>1081</v>
      </c>
      <c r="BF206" s="1">
        <v>620</v>
      </c>
      <c r="BG206" s="1">
        <v>140</v>
      </c>
      <c r="BH206" s="1">
        <v>76</v>
      </c>
      <c r="BI206" s="1">
        <v>24</v>
      </c>
    </row>
    <row r="207" spans="1:64" x14ac:dyDescent="0.25">
      <c r="A207" t="s">
        <v>1740</v>
      </c>
      <c r="B207" t="s">
        <v>1741</v>
      </c>
      <c r="C207" s="4">
        <f>(AA207*(H207*0.9))*12</f>
        <v>1600560</v>
      </c>
      <c r="D207" s="4">
        <f>IF(C207=0,"",(H207*150*12)+C207)</f>
        <v>1816560</v>
      </c>
      <c r="E207" s="4">
        <f>IFERROR(D207*0.5,"")</f>
        <v>908280</v>
      </c>
      <c r="F207" s="4">
        <f>IFERROR(E207/0.06,"")</f>
        <v>15138000</v>
      </c>
      <c r="G207" s="4">
        <f>IFERROR(F207/H207,"")</f>
        <v>126150</v>
      </c>
      <c r="H207" s="1">
        <v>120</v>
      </c>
      <c r="I207" s="1">
        <v>1985</v>
      </c>
      <c r="J207" t="s">
        <v>64</v>
      </c>
      <c r="K207" t="s">
        <v>114</v>
      </c>
      <c r="L207" t="s">
        <v>890</v>
      </c>
      <c r="M207" t="s">
        <v>1742</v>
      </c>
      <c r="N207" t="s">
        <v>1743</v>
      </c>
      <c r="O207" t="s">
        <v>890</v>
      </c>
      <c r="P207" s="1">
        <v>3</v>
      </c>
      <c r="Q207" t="s">
        <v>69</v>
      </c>
      <c r="R207" t="s">
        <v>70</v>
      </c>
      <c r="S207" t="s">
        <v>71</v>
      </c>
      <c r="U207" t="s">
        <v>72</v>
      </c>
      <c r="V207" t="s">
        <v>356</v>
      </c>
      <c r="W207" t="s">
        <v>74</v>
      </c>
      <c r="X207" t="s">
        <v>357</v>
      </c>
      <c r="Y207" s="2">
        <v>889</v>
      </c>
      <c r="Z207" s="3">
        <v>1.39</v>
      </c>
      <c r="AA207" s="4">
        <v>1235</v>
      </c>
      <c r="AK207" s="5">
        <v>9.1667000000000005</v>
      </c>
      <c r="AM207" s="1">
        <v>2005</v>
      </c>
      <c r="AN207" s="1">
        <v>2</v>
      </c>
      <c r="AO207" t="s">
        <v>81</v>
      </c>
      <c r="AP207" t="s">
        <v>82</v>
      </c>
      <c r="AQ207" t="s">
        <v>83</v>
      </c>
      <c r="AR207" s="3">
        <v>1.33</v>
      </c>
      <c r="AS207" s="4">
        <v>1234</v>
      </c>
      <c r="AT207" s="1">
        <v>925</v>
      </c>
      <c r="AU207" s="3">
        <v>1.37</v>
      </c>
      <c r="AV207" s="4">
        <v>1591</v>
      </c>
      <c r="AW207" s="1">
        <v>1158</v>
      </c>
      <c r="AX207" s="3">
        <v>336543.09</v>
      </c>
      <c r="BB207" t="s">
        <v>84</v>
      </c>
      <c r="BD207" s="3">
        <v>1.7</v>
      </c>
      <c r="BE207" s="4">
        <v>1004</v>
      </c>
      <c r="BF207" s="1">
        <v>590</v>
      </c>
      <c r="BG207" s="1">
        <v>24</v>
      </c>
      <c r="BH207" s="1">
        <v>80</v>
      </c>
      <c r="BI207" s="1">
        <v>16</v>
      </c>
      <c r="BL207" t="s">
        <v>131</v>
      </c>
    </row>
    <row r="208" spans="1:64" x14ac:dyDescent="0.25">
      <c r="A208" t="s">
        <v>1536</v>
      </c>
      <c r="B208" t="s">
        <v>1537</v>
      </c>
      <c r="C208" s="4">
        <f>(AA208*(H208*0.9))*12</f>
        <v>3203712</v>
      </c>
      <c r="D208" s="4">
        <f>IF(C208=0,"",(H208*150*12)+C208)</f>
        <v>3635712</v>
      </c>
      <c r="E208" s="4">
        <f>IFERROR(D208*0.5,"")</f>
        <v>1817856</v>
      </c>
      <c r="F208" s="4">
        <f>IFERROR(E208/0.06,"")</f>
        <v>30297600</v>
      </c>
      <c r="G208" s="4">
        <f>IFERROR(F208/H208,"")</f>
        <v>126240</v>
      </c>
      <c r="H208" s="1">
        <v>240</v>
      </c>
      <c r="I208" s="1">
        <v>1986</v>
      </c>
      <c r="J208" t="s">
        <v>64</v>
      </c>
      <c r="K208" t="s">
        <v>269</v>
      </c>
      <c r="L208" t="s">
        <v>1538</v>
      </c>
      <c r="M208" t="s">
        <v>1539</v>
      </c>
      <c r="N208" t="s">
        <v>1540</v>
      </c>
      <c r="O208" t="s">
        <v>1538</v>
      </c>
      <c r="P208" s="1">
        <v>3</v>
      </c>
      <c r="Q208" t="s">
        <v>91</v>
      </c>
      <c r="R208" t="s">
        <v>70</v>
      </c>
      <c r="S208" t="s">
        <v>71</v>
      </c>
      <c r="U208" t="s">
        <v>72</v>
      </c>
      <c r="V208" t="s">
        <v>73</v>
      </c>
      <c r="W208" t="s">
        <v>74</v>
      </c>
      <c r="X208" t="s">
        <v>1541</v>
      </c>
      <c r="Y208" s="2">
        <v>767</v>
      </c>
      <c r="Z208" s="3">
        <v>1.61</v>
      </c>
      <c r="AA208" s="4">
        <v>1236</v>
      </c>
      <c r="AK208" s="5">
        <v>8.3332999999999995</v>
      </c>
      <c r="AN208" s="1">
        <v>3</v>
      </c>
      <c r="AO208" t="s">
        <v>81</v>
      </c>
      <c r="AP208" t="s">
        <v>82</v>
      </c>
      <c r="AQ208" t="s">
        <v>83</v>
      </c>
      <c r="AR208" s="3">
        <v>1.48</v>
      </c>
      <c r="AS208" s="4">
        <v>1462</v>
      </c>
      <c r="AT208" s="1">
        <v>987</v>
      </c>
      <c r="AX208" s="3">
        <v>651511.26</v>
      </c>
      <c r="BB208" t="s">
        <v>84</v>
      </c>
      <c r="BD208" s="3">
        <v>1.66</v>
      </c>
      <c r="BE208" s="4">
        <v>1180</v>
      </c>
      <c r="BF208" s="1">
        <v>713</v>
      </c>
      <c r="BG208" s="1">
        <v>192</v>
      </c>
      <c r="BH208" s="1">
        <v>48</v>
      </c>
    </row>
    <row r="209" spans="1:67" x14ac:dyDescent="0.25">
      <c r="A209" t="s">
        <v>1637</v>
      </c>
      <c r="B209" t="s">
        <v>1638</v>
      </c>
      <c r="C209" s="4">
        <f>(AA209*(H209*0.9))*12</f>
        <v>3564129.5999999996</v>
      </c>
      <c r="D209" s="4">
        <f>IF(C209=0,"",(H209*150*12)+C209)</f>
        <v>4044729.5999999996</v>
      </c>
      <c r="E209" s="4">
        <f>IFERROR(D209*0.5,"")</f>
        <v>2022364.7999999998</v>
      </c>
      <c r="F209" s="4">
        <f>IFERROR(E209/0.06,"")</f>
        <v>33706080</v>
      </c>
      <c r="G209" s="4">
        <f>IFERROR(F209/H209,"")</f>
        <v>126240</v>
      </c>
      <c r="H209" s="1">
        <v>267</v>
      </c>
      <c r="I209" s="1">
        <v>1985</v>
      </c>
      <c r="J209" t="s">
        <v>64</v>
      </c>
      <c r="K209" t="s">
        <v>156</v>
      </c>
      <c r="L209" t="s">
        <v>1639</v>
      </c>
      <c r="M209" t="s">
        <v>1640</v>
      </c>
      <c r="N209" t="s">
        <v>1641</v>
      </c>
      <c r="O209" t="s">
        <v>1639</v>
      </c>
      <c r="P209" s="1">
        <v>3</v>
      </c>
      <c r="Q209" t="s">
        <v>91</v>
      </c>
      <c r="R209" t="s">
        <v>70</v>
      </c>
      <c r="S209" t="s">
        <v>71</v>
      </c>
      <c r="T209" t="s">
        <v>118</v>
      </c>
      <c r="U209" t="s">
        <v>72</v>
      </c>
      <c r="V209" t="s">
        <v>427</v>
      </c>
      <c r="W209" t="s">
        <v>74</v>
      </c>
      <c r="X209" t="s">
        <v>1642</v>
      </c>
      <c r="Y209" s="2">
        <v>987</v>
      </c>
      <c r="Z209" s="3">
        <v>1.25</v>
      </c>
      <c r="AA209" s="4">
        <v>1236</v>
      </c>
      <c r="AK209" s="5">
        <v>25.4682</v>
      </c>
      <c r="AM209" s="1">
        <v>2017</v>
      </c>
      <c r="AN209" s="1">
        <v>3</v>
      </c>
      <c r="AO209" t="s">
        <v>81</v>
      </c>
      <c r="AP209" t="s">
        <v>82</v>
      </c>
      <c r="AQ209" t="s">
        <v>83</v>
      </c>
      <c r="AR209" s="3">
        <v>1.25</v>
      </c>
      <c r="AS209" s="4">
        <v>1309</v>
      </c>
      <c r="AT209" s="1">
        <v>1049</v>
      </c>
      <c r="AU209" s="3">
        <v>0.96</v>
      </c>
      <c r="AV209" s="4">
        <v>1657</v>
      </c>
      <c r="AW209" s="1">
        <v>1720</v>
      </c>
      <c r="AX209" s="3">
        <v>588387.46</v>
      </c>
      <c r="BB209" t="s">
        <v>84</v>
      </c>
      <c r="BD209" s="3">
        <v>1.31</v>
      </c>
      <c r="BE209" s="4">
        <v>1109</v>
      </c>
      <c r="BF209" s="1">
        <v>847</v>
      </c>
      <c r="BG209" s="1">
        <v>115</v>
      </c>
      <c r="BH209" s="1">
        <v>142</v>
      </c>
      <c r="BI209" s="1">
        <v>10</v>
      </c>
      <c r="BL209" t="s">
        <v>131</v>
      </c>
    </row>
    <row r="210" spans="1:67" x14ac:dyDescent="0.25">
      <c r="A210" t="s">
        <v>291</v>
      </c>
      <c r="B210" t="s">
        <v>292</v>
      </c>
      <c r="C210" s="4">
        <f>(AA210*(H210*0.9))*12</f>
        <v>1496275.2</v>
      </c>
      <c r="D210" s="4">
        <f>IF(C210=0,"",(H210*150*12)+C210)</f>
        <v>1697875.2</v>
      </c>
      <c r="E210" s="4">
        <f>IFERROR(D210*0.5,"")</f>
        <v>848937.6</v>
      </c>
      <c r="F210" s="4">
        <f>IFERROR(E210/0.06,"")</f>
        <v>14148960</v>
      </c>
      <c r="G210" s="4">
        <f>IFERROR(F210/H210,"")</f>
        <v>126330</v>
      </c>
      <c r="H210" s="1">
        <v>112</v>
      </c>
      <c r="I210" s="1">
        <v>1986</v>
      </c>
      <c r="J210" t="s">
        <v>64</v>
      </c>
      <c r="K210" t="s">
        <v>293</v>
      </c>
      <c r="L210" t="s">
        <v>294</v>
      </c>
      <c r="M210" t="s">
        <v>295</v>
      </c>
      <c r="N210" t="s">
        <v>296</v>
      </c>
      <c r="O210" t="s">
        <v>294</v>
      </c>
      <c r="P210" s="1">
        <v>3</v>
      </c>
      <c r="Q210" t="s">
        <v>69</v>
      </c>
      <c r="R210" t="s">
        <v>70</v>
      </c>
      <c r="S210" t="s">
        <v>71</v>
      </c>
      <c r="U210" t="s">
        <v>72</v>
      </c>
      <c r="V210" t="s">
        <v>73</v>
      </c>
      <c r="W210" t="s">
        <v>74</v>
      </c>
      <c r="X210" t="s">
        <v>297</v>
      </c>
      <c r="Y210" s="2">
        <v>598</v>
      </c>
      <c r="Z210" s="3">
        <v>2.0699999999999998</v>
      </c>
      <c r="AA210" s="4">
        <v>1237</v>
      </c>
      <c r="AK210" s="5">
        <v>17.857099999999999</v>
      </c>
      <c r="AN210" s="1">
        <v>2</v>
      </c>
      <c r="AO210" t="s">
        <v>81</v>
      </c>
      <c r="AP210" t="s">
        <v>82</v>
      </c>
      <c r="AQ210" t="s">
        <v>83</v>
      </c>
      <c r="AR210" s="3">
        <v>1.75</v>
      </c>
      <c r="AS210" s="4">
        <v>1658</v>
      </c>
      <c r="AT210" s="1">
        <v>950</v>
      </c>
      <c r="AX210" s="3">
        <v>0</v>
      </c>
      <c r="BB210" t="s">
        <v>84</v>
      </c>
      <c r="BD210" s="3">
        <v>2.09</v>
      </c>
      <c r="BE210" s="4">
        <v>1222</v>
      </c>
      <c r="BF210" s="1">
        <v>586</v>
      </c>
      <c r="BG210" s="1">
        <v>108</v>
      </c>
      <c r="BH210" s="1">
        <v>4</v>
      </c>
      <c r="BK210" t="s">
        <v>298</v>
      </c>
      <c r="BL210" t="s">
        <v>131</v>
      </c>
    </row>
    <row r="211" spans="1:67" x14ac:dyDescent="0.25">
      <c r="A211" t="s">
        <v>1166</v>
      </c>
      <c r="B211" t="s">
        <v>1167</v>
      </c>
      <c r="C211" s="4">
        <f>(AA211*(H211*0.9))*12</f>
        <v>3313180.8000000003</v>
      </c>
      <c r="D211" s="4">
        <f>IF(C211=0,"",(H211*150*12)+C211)</f>
        <v>3759580.8000000003</v>
      </c>
      <c r="E211" s="4">
        <f>IFERROR(D211*0.5,"")</f>
        <v>1879790.4000000001</v>
      </c>
      <c r="F211" s="4">
        <f>IFERROR(E211/0.06,"")</f>
        <v>31329840.000000004</v>
      </c>
      <c r="G211" s="4">
        <f>IFERROR(F211/H211,"")</f>
        <v>126330.00000000001</v>
      </c>
      <c r="H211" s="1">
        <v>248</v>
      </c>
      <c r="I211" s="1">
        <v>1985</v>
      </c>
      <c r="J211" t="s">
        <v>64</v>
      </c>
      <c r="K211" t="s">
        <v>1168</v>
      </c>
      <c r="L211" t="s">
        <v>1169</v>
      </c>
      <c r="M211" t="s">
        <v>1170</v>
      </c>
      <c r="N211" t="s">
        <v>1171</v>
      </c>
      <c r="O211" t="s">
        <v>1169</v>
      </c>
      <c r="P211" s="1">
        <v>3</v>
      </c>
      <c r="Q211" t="s">
        <v>91</v>
      </c>
      <c r="R211" t="s">
        <v>70</v>
      </c>
      <c r="S211" t="s">
        <v>71</v>
      </c>
      <c r="U211" t="s">
        <v>72</v>
      </c>
      <c r="V211" t="s">
        <v>152</v>
      </c>
      <c r="W211" t="s">
        <v>74</v>
      </c>
      <c r="X211" t="s">
        <v>1172</v>
      </c>
      <c r="Y211" s="2">
        <v>841</v>
      </c>
      <c r="Z211" s="3">
        <v>1.47</v>
      </c>
      <c r="AA211" s="4">
        <v>1237</v>
      </c>
      <c r="AK211" s="5">
        <v>18.145199999999999</v>
      </c>
      <c r="AN211" s="1">
        <v>2</v>
      </c>
      <c r="AO211" t="s">
        <v>81</v>
      </c>
      <c r="AP211" t="s">
        <v>82</v>
      </c>
      <c r="AQ211" t="s">
        <v>83</v>
      </c>
      <c r="AR211" s="3">
        <v>1.33</v>
      </c>
      <c r="AS211" s="4">
        <v>1303</v>
      </c>
      <c r="AT211" s="1">
        <v>979</v>
      </c>
      <c r="AU211" s="3">
        <v>1.43</v>
      </c>
      <c r="AV211" s="4">
        <v>1715</v>
      </c>
      <c r="AW211" s="1">
        <v>1197</v>
      </c>
      <c r="AX211" s="3">
        <v>777300.92</v>
      </c>
      <c r="BB211" t="s">
        <v>84</v>
      </c>
      <c r="BD211" s="3">
        <v>1.72</v>
      </c>
      <c r="BE211" s="4">
        <v>1059</v>
      </c>
      <c r="BF211" s="1">
        <v>614</v>
      </c>
      <c r="BG211" s="1">
        <v>108</v>
      </c>
      <c r="BH211" s="1">
        <v>116</v>
      </c>
      <c r="BI211" s="1">
        <v>24</v>
      </c>
      <c r="BK211" t="s">
        <v>314</v>
      </c>
      <c r="BL211" t="s">
        <v>104</v>
      </c>
    </row>
    <row r="212" spans="1:67" x14ac:dyDescent="0.25">
      <c r="A212" t="s">
        <v>685</v>
      </c>
      <c r="B212" t="s">
        <v>686</v>
      </c>
      <c r="C212" s="4">
        <f>(AA212*(H212*0.9))*12</f>
        <v>3315859.2</v>
      </c>
      <c r="D212" s="4">
        <f>IF(C212=0,"",(H212*150*12)+C212)</f>
        <v>3762259.2</v>
      </c>
      <c r="E212" s="4">
        <f>IFERROR(D212*0.5,"")</f>
        <v>1881129.6</v>
      </c>
      <c r="F212" s="4">
        <f>IFERROR(E212/0.06,"")</f>
        <v>31352160.000000004</v>
      </c>
      <c r="G212" s="4">
        <f>IFERROR(F212/H212,"")</f>
        <v>126420.00000000001</v>
      </c>
      <c r="H212" s="1">
        <v>248</v>
      </c>
      <c r="I212" s="1">
        <v>1985</v>
      </c>
      <c r="J212" t="s">
        <v>64</v>
      </c>
      <c r="K212" t="s">
        <v>264</v>
      </c>
      <c r="L212" t="s">
        <v>687</v>
      </c>
      <c r="M212" t="s">
        <v>688</v>
      </c>
      <c r="O212" t="s">
        <v>687</v>
      </c>
      <c r="P212" s="1">
        <v>3</v>
      </c>
      <c r="Q212" t="s">
        <v>69</v>
      </c>
      <c r="R212" t="s">
        <v>70</v>
      </c>
      <c r="S212" t="s">
        <v>71</v>
      </c>
      <c r="U212" t="s">
        <v>72</v>
      </c>
      <c r="V212" t="s">
        <v>264</v>
      </c>
      <c r="W212" t="s">
        <v>74</v>
      </c>
      <c r="X212" t="s">
        <v>678</v>
      </c>
      <c r="Y212" s="2">
        <v>763</v>
      </c>
      <c r="Z212" s="3">
        <v>1.62</v>
      </c>
      <c r="AA212" s="4">
        <v>1238</v>
      </c>
      <c r="AK212" s="5">
        <v>7.2580999999999998</v>
      </c>
      <c r="AM212" s="1">
        <v>2018</v>
      </c>
      <c r="AN212" s="1">
        <v>2</v>
      </c>
      <c r="AO212" t="s">
        <v>81</v>
      </c>
      <c r="AP212" t="s">
        <v>82</v>
      </c>
      <c r="AQ212" t="s">
        <v>83</v>
      </c>
      <c r="AR212" s="3">
        <v>1.45</v>
      </c>
      <c r="AS212" s="4">
        <v>1496</v>
      </c>
      <c r="AT212" s="1">
        <v>1029</v>
      </c>
      <c r="AX212" s="3">
        <v>0</v>
      </c>
      <c r="BB212" t="s">
        <v>84</v>
      </c>
      <c r="BD212" s="3">
        <v>1.74</v>
      </c>
      <c r="BE212" s="4">
        <v>1124</v>
      </c>
      <c r="BF212" s="1">
        <v>646</v>
      </c>
      <c r="BG212" s="1">
        <v>172</v>
      </c>
      <c r="BH212" s="1">
        <v>76</v>
      </c>
    </row>
    <row r="213" spans="1:67" x14ac:dyDescent="0.25">
      <c r="A213" t="s">
        <v>3809</v>
      </c>
      <c r="B213" t="s">
        <v>3810</v>
      </c>
      <c r="C213" s="4">
        <f>(AA213*(H213*0.9))*12</f>
        <v>5115744</v>
      </c>
      <c r="D213" s="4">
        <f>IF(C213=0,"",(H213*150*12)+C213)</f>
        <v>5803344</v>
      </c>
      <c r="E213" s="4">
        <f>IFERROR(D213*0.5,"")</f>
        <v>2901672</v>
      </c>
      <c r="F213" s="4">
        <f>IFERROR(E213/0.06,"")</f>
        <v>48361200</v>
      </c>
      <c r="G213" s="4">
        <f>IFERROR(F213/H213,"")</f>
        <v>126600</v>
      </c>
      <c r="H213" s="1">
        <v>382</v>
      </c>
      <c r="I213" s="1">
        <v>1995</v>
      </c>
      <c r="J213" t="s">
        <v>64</v>
      </c>
      <c r="K213" t="s">
        <v>725</v>
      </c>
      <c r="L213" t="s">
        <v>3811</v>
      </c>
      <c r="M213" t="s">
        <v>3812</v>
      </c>
      <c r="N213" t="s">
        <v>3813</v>
      </c>
      <c r="O213" t="s">
        <v>3811</v>
      </c>
      <c r="P213" s="1">
        <v>3</v>
      </c>
      <c r="Q213" t="s">
        <v>91</v>
      </c>
      <c r="R213" t="s">
        <v>70</v>
      </c>
      <c r="S213" t="s">
        <v>71</v>
      </c>
      <c r="T213" t="s">
        <v>118</v>
      </c>
      <c r="U213" t="s">
        <v>72</v>
      </c>
      <c r="V213" t="s">
        <v>551</v>
      </c>
      <c r="W213" t="s">
        <v>74</v>
      </c>
      <c r="X213" t="s">
        <v>3814</v>
      </c>
      <c r="Y213" s="2">
        <v>745</v>
      </c>
      <c r="Z213" s="3">
        <v>1.66</v>
      </c>
      <c r="AA213" s="4">
        <v>1240</v>
      </c>
      <c r="AK213" s="5">
        <v>15.9686</v>
      </c>
      <c r="AN213" s="1">
        <v>3</v>
      </c>
      <c r="AO213" t="s">
        <v>81</v>
      </c>
      <c r="AP213" t="s">
        <v>82</v>
      </c>
      <c r="AQ213" t="s">
        <v>83</v>
      </c>
      <c r="AR213" s="3">
        <v>1.66</v>
      </c>
      <c r="AS213" s="4">
        <v>1348</v>
      </c>
      <c r="AT213" s="1">
        <v>810</v>
      </c>
      <c r="AU213" s="3">
        <v>1.58</v>
      </c>
      <c r="AV213" s="4">
        <v>1670</v>
      </c>
      <c r="AW213" s="1">
        <v>1056</v>
      </c>
      <c r="AX213" s="3">
        <v>469042.25</v>
      </c>
      <c r="BB213" t="s">
        <v>84</v>
      </c>
      <c r="BD213" s="3">
        <v>1.7</v>
      </c>
      <c r="BE213" s="4">
        <v>1064</v>
      </c>
      <c r="BF213" s="1">
        <v>626</v>
      </c>
      <c r="BG213" s="1">
        <v>197</v>
      </c>
      <c r="BH213" s="1">
        <v>137</v>
      </c>
      <c r="BI213" s="1">
        <v>48</v>
      </c>
      <c r="BL213" t="s">
        <v>131</v>
      </c>
    </row>
    <row r="214" spans="1:67" x14ac:dyDescent="0.25">
      <c r="A214" t="s">
        <v>1056</v>
      </c>
      <c r="B214" t="s">
        <v>1057</v>
      </c>
      <c r="C214" s="4">
        <f>(AA214*(H214*0.9))*12</f>
        <v>3109449.6</v>
      </c>
      <c r="D214" s="4">
        <f>IF(C214=0,"",(H214*150*12)+C214)</f>
        <v>3527049.6</v>
      </c>
      <c r="E214" s="4">
        <f>IFERROR(D214*0.5,"")</f>
        <v>1763524.8</v>
      </c>
      <c r="F214" s="4">
        <f>IFERROR(E214/0.06,"")</f>
        <v>29392080.000000004</v>
      </c>
      <c r="G214" s="4">
        <f>IFERROR(F214/H214,"")</f>
        <v>126690.00000000001</v>
      </c>
      <c r="H214" s="1">
        <v>232</v>
      </c>
      <c r="I214" s="1">
        <v>1986</v>
      </c>
      <c r="J214" t="s">
        <v>64</v>
      </c>
      <c r="K214" t="s">
        <v>269</v>
      </c>
      <c r="L214" t="s">
        <v>801</v>
      </c>
      <c r="M214" t="s">
        <v>1058</v>
      </c>
      <c r="N214" t="s">
        <v>1059</v>
      </c>
      <c r="O214" t="s">
        <v>801</v>
      </c>
      <c r="P214" s="1">
        <v>2</v>
      </c>
      <c r="Q214" t="s">
        <v>69</v>
      </c>
      <c r="R214" t="s">
        <v>70</v>
      </c>
      <c r="S214" t="s">
        <v>71</v>
      </c>
      <c r="U214" t="s">
        <v>72</v>
      </c>
      <c r="V214" t="s">
        <v>73</v>
      </c>
      <c r="W214" t="s">
        <v>74</v>
      </c>
      <c r="X214" t="s">
        <v>272</v>
      </c>
      <c r="Y214" s="2">
        <v>724</v>
      </c>
      <c r="Z214" s="3">
        <v>1.71</v>
      </c>
      <c r="AA214" s="4">
        <v>1241</v>
      </c>
      <c r="AK214" s="5">
        <v>6.8966000000000003</v>
      </c>
      <c r="AN214" s="1">
        <v>2</v>
      </c>
      <c r="AO214" t="s">
        <v>81</v>
      </c>
      <c r="AP214" t="s">
        <v>82</v>
      </c>
      <c r="AQ214" t="s">
        <v>83</v>
      </c>
      <c r="AR214" s="3">
        <v>1.59</v>
      </c>
      <c r="AS214" s="4">
        <v>1597</v>
      </c>
      <c r="AT214" s="1">
        <v>1007</v>
      </c>
      <c r="AX214" s="3">
        <v>902053.08</v>
      </c>
      <c r="BB214" t="s">
        <v>84</v>
      </c>
      <c r="BD214" s="3">
        <v>1.8</v>
      </c>
      <c r="BE214" s="4">
        <v>1099</v>
      </c>
      <c r="BF214" s="1">
        <v>612</v>
      </c>
      <c r="BG214" s="1">
        <v>166</v>
      </c>
      <c r="BH214" s="1">
        <v>66</v>
      </c>
      <c r="BK214" t="s">
        <v>1060</v>
      </c>
      <c r="BL214" t="s">
        <v>744</v>
      </c>
    </row>
    <row r="215" spans="1:67" x14ac:dyDescent="0.25">
      <c r="A215" t="s">
        <v>387</v>
      </c>
      <c r="B215" t="s">
        <v>388</v>
      </c>
      <c r="C215" s="4">
        <f>(AA215*(H215*0.9))*12</f>
        <v>3219264</v>
      </c>
      <c r="D215" s="4">
        <f>IF(C215=0,"",(H215*150*12)+C215)</f>
        <v>3651264</v>
      </c>
      <c r="E215" s="4">
        <f>IFERROR(D215*0.5,"")</f>
        <v>1825632</v>
      </c>
      <c r="F215" s="4">
        <f>IFERROR(E215/0.06,"")</f>
        <v>30427200</v>
      </c>
      <c r="G215" s="4">
        <f>IFERROR(F215/H215,"")</f>
        <v>126780</v>
      </c>
      <c r="H215" s="1">
        <v>240</v>
      </c>
      <c r="I215" s="1">
        <v>1985</v>
      </c>
      <c r="J215" t="s">
        <v>64</v>
      </c>
      <c r="K215" t="s">
        <v>389</v>
      </c>
      <c r="L215" t="s">
        <v>390</v>
      </c>
      <c r="M215" t="s">
        <v>391</v>
      </c>
      <c r="N215" t="s">
        <v>392</v>
      </c>
      <c r="O215" t="s">
        <v>390</v>
      </c>
      <c r="P215" s="1">
        <v>3</v>
      </c>
      <c r="Q215" t="s">
        <v>91</v>
      </c>
      <c r="R215" t="s">
        <v>70</v>
      </c>
      <c r="S215" t="s">
        <v>71</v>
      </c>
      <c r="U215" t="s">
        <v>72</v>
      </c>
      <c r="V215" t="s">
        <v>393</v>
      </c>
      <c r="W215" t="s">
        <v>74</v>
      </c>
      <c r="X215" t="s">
        <v>394</v>
      </c>
      <c r="Y215" s="2">
        <v>765</v>
      </c>
      <c r="Z215" s="3">
        <v>1.62</v>
      </c>
      <c r="AA215" s="4">
        <v>1242</v>
      </c>
      <c r="AK215" s="5">
        <v>6.6666999999999996</v>
      </c>
      <c r="AN215" s="1">
        <v>2</v>
      </c>
      <c r="AO215" t="s">
        <v>81</v>
      </c>
      <c r="AP215" t="s">
        <v>82</v>
      </c>
      <c r="AQ215" t="s">
        <v>83</v>
      </c>
      <c r="AR215" s="3">
        <v>1.54</v>
      </c>
      <c r="AS215" s="4">
        <v>1380</v>
      </c>
      <c r="AT215" s="1">
        <v>894</v>
      </c>
      <c r="AX215" s="3">
        <v>0</v>
      </c>
      <c r="BB215" t="s">
        <v>84</v>
      </c>
      <c r="BD215" s="3">
        <v>1.74</v>
      </c>
      <c r="BE215" s="4">
        <v>1105</v>
      </c>
      <c r="BF215" s="1">
        <v>637</v>
      </c>
      <c r="BG215" s="1">
        <v>120</v>
      </c>
      <c r="BH215" s="1">
        <v>120</v>
      </c>
    </row>
    <row r="216" spans="1:67" x14ac:dyDescent="0.25">
      <c r="A216" t="s">
        <v>1183</v>
      </c>
      <c r="B216" t="s">
        <v>1184</v>
      </c>
      <c r="C216" s="4">
        <f>(AA216*(H216*0.9))*12</f>
        <v>3863116.8</v>
      </c>
      <c r="D216" s="4">
        <f>IF(C216=0,"",(H216*150*12)+C216)</f>
        <v>4381516.8</v>
      </c>
      <c r="E216" s="4">
        <f>IFERROR(D216*0.5,"")</f>
        <v>2190758.4</v>
      </c>
      <c r="F216" s="4">
        <f>IFERROR(E216/0.06,"")</f>
        <v>36512640</v>
      </c>
      <c r="G216" s="4">
        <f>IFERROR(F216/H216,"")</f>
        <v>126780</v>
      </c>
      <c r="H216" s="1">
        <v>288</v>
      </c>
      <c r="I216" s="1">
        <v>1986</v>
      </c>
      <c r="J216" t="s">
        <v>64</v>
      </c>
      <c r="K216" t="s">
        <v>725</v>
      </c>
      <c r="L216" t="s">
        <v>1185</v>
      </c>
      <c r="M216" t="s">
        <v>1186</v>
      </c>
      <c r="N216" t="s">
        <v>1187</v>
      </c>
      <c r="O216" t="s">
        <v>1185</v>
      </c>
      <c r="P216" s="1">
        <v>3</v>
      </c>
      <c r="Q216" t="s">
        <v>91</v>
      </c>
      <c r="R216" t="s">
        <v>70</v>
      </c>
      <c r="S216" t="s">
        <v>71</v>
      </c>
      <c r="U216" t="s">
        <v>72</v>
      </c>
      <c r="V216" t="s">
        <v>73</v>
      </c>
      <c r="W216" t="s">
        <v>74</v>
      </c>
      <c r="X216" t="s">
        <v>730</v>
      </c>
      <c r="Y216" s="2">
        <v>826</v>
      </c>
      <c r="Z216" s="3">
        <v>1.5</v>
      </c>
      <c r="AA216" s="4">
        <v>1242</v>
      </c>
      <c r="AK216" s="5">
        <v>5.9028</v>
      </c>
      <c r="AN216" s="1">
        <v>3</v>
      </c>
      <c r="AO216" t="s">
        <v>81</v>
      </c>
      <c r="AP216" t="s">
        <v>82</v>
      </c>
      <c r="AQ216" t="s">
        <v>83</v>
      </c>
      <c r="AR216" s="3">
        <v>1.49</v>
      </c>
      <c r="AS216" s="4">
        <v>1471</v>
      </c>
      <c r="AT216" s="1">
        <v>987</v>
      </c>
      <c r="AX216" s="3">
        <v>634145.12</v>
      </c>
      <c r="BB216" t="s">
        <v>84</v>
      </c>
      <c r="BD216" s="3">
        <v>1.51</v>
      </c>
      <c r="BE216" s="4">
        <v>1096</v>
      </c>
      <c r="BF216" s="1">
        <v>724</v>
      </c>
      <c r="BG216" s="1">
        <v>176</v>
      </c>
      <c r="BH216" s="1">
        <v>112</v>
      </c>
      <c r="BK216" t="s">
        <v>980</v>
      </c>
      <c r="BL216" t="s">
        <v>104</v>
      </c>
    </row>
    <row r="217" spans="1:67" x14ac:dyDescent="0.25">
      <c r="A217" t="s">
        <v>1935</v>
      </c>
      <c r="B217" t="s">
        <v>1936</v>
      </c>
      <c r="C217" s="4">
        <f>(AA217*(H217*0.9))*12</f>
        <v>3224448</v>
      </c>
      <c r="D217" s="4">
        <f>IF(C217=0,"",(H217*150*12)+C217)</f>
        <v>3656448</v>
      </c>
      <c r="E217" s="4">
        <f>IFERROR(D217*0.5,"")</f>
        <v>1828224</v>
      </c>
      <c r="F217" s="4">
        <f>IFERROR(E217/0.06,"")</f>
        <v>30470400</v>
      </c>
      <c r="G217" s="4">
        <f>IFERROR(F217/H217,"")</f>
        <v>126960</v>
      </c>
      <c r="H217" s="1">
        <v>240</v>
      </c>
      <c r="I217" s="1">
        <v>1985</v>
      </c>
      <c r="J217" t="s">
        <v>64</v>
      </c>
      <c r="K217" t="s">
        <v>486</v>
      </c>
      <c r="L217" t="s">
        <v>1937</v>
      </c>
      <c r="M217" t="s">
        <v>1938</v>
      </c>
      <c r="N217" t="s">
        <v>1939</v>
      </c>
      <c r="O217" t="s">
        <v>1937</v>
      </c>
      <c r="P217" s="1">
        <v>3</v>
      </c>
      <c r="Q217" t="s">
        <v>91</v>
      </c>
      <c r="R217" t="s">
        <v>70</v>
      </c>
      <c r="S217" t="s">
        <v>71</v>
      </c>
      <c r="U217" t="s">
        <v>72</v>
      </c>
      <c r="V217" t="s">
        <v>73</v>
      </c>
      <c r="W217" t="s">
        <v>74</v>
      </c>
      <c r="X217" t="s">
        <v>743</v>
      </c>
      <c r="Y217" s="2">
        <v>771</v>
      </c>
      <c r="Z217" s="3">
        <v>1.61</v>
      </c>
      <c r="AA217" s="4">
        <v>1244</v>
      </c>
      <c r="AK217" s="5">
        <v>7.5</v>
      </c>
      <c r="AN217" s="1">
        <v>2</v>
      </c>
      <c r="AO217" t="s">
        <v>81</v>
      </c>
      <c r="AP217" t="s">
        <v>82</v>
      </c>
      <c r="AQ217" t="s">
        <v>83</v>
      </c>
      <c r="AR217" s="3">
        <v>1.5</v>
      </c>
      <c r="AS217" s="4">
        <v>1415</v>
      </c>
      <c r="AT217" s="1">
        <v>942</v>
      </c>
      <c r="AX217" s="3">
        <v>605693.14</v>
      </c>
      <c r="BB217" t="s">
        <v>84</v>
      </c>
      <c r="BD217" s="3">
        <v>1.72</v>
      </c>
      <c r="BE217" s="4">
        <v>1130</v>
      </c>
      <c r="BF217" s="1">
        <v>658</v>
      </c>
      <c r="BG217" s="1">
        <v>144</v>
      </c>
      <c r="BH217" s="1">
        <v>96</v>
      </c>
      <c r="BK217" t="s">
        <v>350</v>
      </c>
      <c r="BL217" t="s">
        <v>104</v>
      </c>
    </row>
    <row r="218" spans="1:67" x14ac:dyDescent="0.25">
      <c r="A218" t="s">
        <v>2537</v>
      </c>
      <c r="B218" t="s">
        <v>2538</v>
      </c>
      <c r="C218" s="4">
        <f>(AA218*(H218*0.9))*12</f>
        <v>3148891.1999999997</v>
      </c>
      <c r="D218" s="4">
        <f>IF(C218=0,"",(H218*150*12)+C218)</f>
        <v>3570091.1999999997</v>
      </c>
      <c r="E218" s="4">
        <f>IFERROR(D218*0.5,"")</f>
        <v>1785045.5999999999</v>
      </c>
      <c r="F218" s="4">
        <f>IFERROR(E218/0.06,"")</f>
        <v>29750760</v>
      </c>
      <c r="G218" s="4">
        <f>IFERROR(F218/H218,"")</f>
        <v>127140</v>
      </c>
      <c r="H218" s="1">
        <v>234</v>
      </c>
      <c r="I218" s="1">
        <v>1999</v>
      </c>
      <c r="J218" t="s">
        <v>64</v>
      </c>
      <c r="K218" t="s">
        <v>501</v>
      </c>
      <c r="L218" t="s">
        <v>2539</v>
      </c>
      <c r="M218" t="s">
        <v>2540</v>
      </c>
      <c r="N218" t="s">
        <v>2541</v>
      </c>
      <c r="O218" t="s">
        <v>2539</v>
      </c>
      <c r="P218" s="1">
        <v>3</v>
      </c>
      <c r="Q218" t="s">
        <v>69</v>
      </c>
      <c r="R218" t="s">
        <v>70</v>
      </c>
      <c r="S218" t="s">
        <v>71</v>
      </c>
      <c r="T218" t="s">
        <v>118</v>
      </c>
      <c r="U218" t="s">
        <v>72</v>
      </c>
      <c r="V218" t="s">
        <v>152</v>
      </c>
      <c r="W218" t="s">
        <v>74</v>
      </c>
      <c r="X218" t="s">
        <v>504</v>
      </c>
      <c r="Y218" s="2">
        <v>1013</v>
      </c>
      <c r="Z218" s="3">
        <v>1.23</v>
      </c>
      <c r="AA218" s="4">
        <v>1246</v>
      </c>
      <c r="AK218" s="5">
        <v>11.9658</v>
      </c>
      <c r="AN218" s="1">
        <v>2</v>
      </c>
      <c r="AO218" t="s">
        <v>81</v>
      </c>
      <c r="AP218" t="s">
        <v>82</v>
      </c>
      <c r="AQ218" t="s">
        <v>83</v>
      </c>
      <c r="AR218" s="3">
        <v>1.23</v>
      </c>
      <c r="AS218" s="4">
        <v>1246</v>
      </c>
      <c r="AT218" s="1">
        <v>1014</v>
      </c>
      <c r="AX218" s="3">
        <v>361264.68</v>
      </c>
      <c r="BB218" t="s">
        <v>84</v>
      </c>
      <c r="BH218" s="1">
        <v>234</v>
      </c>
      <c r="BL218" t="s">
        <v>131</v>
      </c>
    </row>
    <row r="219" spans="1:67" x14ac:dyDescent="0.25">
      <c r="A219" t="s">
        <v>3555</v>
      </c>
      <c r="B219" t="s">
        <v>3556</v>
      </c>
      <c r="C219" s="4">
        <f>(AA219*(H219*0.9))*12</f>
        <v>4952102.4000000004</v>
      </c>
      <c r="D219" s="4">
        <f>IF(C219=0,"",(H219*150*12)+C219)</f>
        <v>5614502.4000000004</v>
      </c>
      <c r="E219" s="4">
        <f>IFERROR(D219*0.5,"")</f>
        <v>2807251.2</v>
      </c>
      <c r="F219" s="4">
        <f>IFERROR(E219/0.06,"")</f>
        <v>46787520.000000007</v>
      </c>
      <c r="G219" s="4">
        <f>IFERROR(F219/H219,"")</f>
        <v>127140.00000000001</v>
      </c>
      <c r="H219" s="1">
        <v>368</v>
      </c>
      <c r="I219" s="1">
        <v>1996</v>
      </c>
      <c r="J219" t="s">
        <v>64</v>
      </c>
      <c r="K219" t="s">
        <v>140</v>
      </c>
      <c r="L219" t="s">
        <v>3557</v>
      </c>
      <c r="M219" t="s">
        <v>3558</v>
      </c>
      <c r="N219" t="s">
        <v>3559</v>
      </c>
      <c r="O219" t="s">
        <v>3557</v>
      </c>
      <c r="P219" s="1">
        <v>3</v>
      </c>
      <c r="Q219" t="s">
        <v>91</v>
      </c>
      <c r="R219" t="s">
        <v>70</v>
      </c>
      <c r="S219" t="s">
        <v>71</v>
      </c>
      <c r="U219" t="s">
        <v>72</v>
      </c>
      <c r="V219" t="s">
        <v>140</v>
      </c>
      <c r="W219" t="s">
        <v>74</v>
      </c>
      <c r="X219" t="s">
        <v>1050</v>
      </c>
      <c r="Y219" s="2">
        <v>728</v>
      </c>
      <c r="Z219" s="3">
        <v>1.71</v>
      </c>
      <c r="AA219" s="4">
        <v>1246</v>
      </c>
      <c r="AK219" s="5">
        <v>3.8043</v>
      </c>
      <c r="AM219" s="1">
        <v>2012</v>
      </c>
      <c r="AN219" s="1">
        <v>2</v>
      </c>
      <c r="AO219" t="s">
        <v>81</v>
      </c>
      <c r="AP219" t="s">
        <v>82</v>
      </c>
      <c r="AQ219" t="s">
        <v>83</v>
      </c>
      <c r="AR219" s="3">
        <v>1.73</v>
      </c>
      <c r="AS219" s="4">
        <v>1338</v>
      </c>
      <c r="AT219" s="1">
        <v>775</v>
      </c>
      <c r="AU219" s="3">
        <v>1.53</v>
      </c>
      <c r="AV219" s="4">
        <v>1558</v>
      </c>
      <c r="AW219" s="1">
        <v>1019</v>
      </c>
      <c r="AX219" s="3">
        <v>795053.27</v>
      </c>
      <c r="BB219" t="s">
        <v>84</v>
      </c>
      <c r="BD219" s="3">
        <v>1.77</v>
      </c>
      <c r="BE219" s="4">
        <v>1076</v>
      </c>
      <c r="BF219" s="1">
        <v>608</v>
      </c>
      <c r="BG219" s="1">
        <v>163</v>
      </c>
      <c r="BH219" s="1">
        <v>164</v>
      </c>
      <c r="BI219" s="1">
        <v>41</v>
      </c>
      <c r="BL219" t="s">
        <v>744</v>
      </c>
    </row>
    <row r="220" spans="1:67" x14ac:dyDescent="0.25">
      <c r="A220" t="s">
        <v>623</v>
      </c>
      <c r="B220" t="s">
        <v>624</v>
      </c>
      <c r="C220" s="4">
        <f>(AA220*(H220*0.9))*12</f>
        <v>3178353.5999999996</v>
      </c>
      <c r="D220" s="4">
        <f>IF(C220=0,"",(H220*150*12)+C220)</f>
        <v>3603153.5999999996</v>
      </c>
      <c r="E220" s="4">
        <f>IFERROR(D220*0.5,"")</f>
        <v>1801576.7999999998</v>
      </c>
      <c r="F220" s="4">
        <f>IFERROR(E220/0.06,"")</f>
        <v>30026279.999999996</v>
      </c>
      <c r="G220" s="4">
        <f>IFERROR(F220/H220,"")</f>
        <v>127229.99999999999</v>
      </c>
      <c r="H220" s="1">
        <v>236</v>
      </c>
      <c r="I220" s="1">
        <v>1987</v>
      </c>
      <c r="J220" t="s">
        <v>64</v>
      </c>
      <c r="K220" t="s">
        <v>625</v>
      </c>
      <c r="L220" t="s">
        <v>626</v>
      </c>
      <c r="M220" t="s">
        <v>627</v>
      </c>
      <c r="N220" t="s">
        <v>628</v>
      </c>
      <c r="O220" t="s">
        <v>626</v>
      </c>
      <c r="P220" s="1">
        <v>3</v>
      </c>
      <c r="Q220" t="s">
        <v>91</v>
      </c>
      <c r="R220" t="s">
        <v>70</v>
      </c>
      <c r="S220" t="s">
        <v>71</v>
      </c>
      <c r="U220" t="s">
        <v>72</v>
      </c>
      <c r="V220" t="s">
        <v>73</v>
      </c>
      <c r="W220" t="s">
        <v>74</v>
      </c>
      <c r="X220" t="s">
        <v>629</v>
      </c>
      <c r="Y220" s="2">
        <v>859</v>
      </c>
      <c r="Z220" s="3">
        <v>1.45</v>
      </c>
      <c r="AA220" s="4">
        <v>1247</v>
      </c>
      <c r="AK220" s="5">
        <v>7.2034000000000002</v>
      </c>
      <c r="AM220" s="1">
        <v>1994</v>
      </c>
      <c r="AN220" s="1">
        <v>2</v>
      </c>
      <c r="AO220" t="s">
        <v>81</v>
      </c>
      <c r="AP220" t="s">
        <v>82</v>
      </c>
      <c r="AQ220" t="s">
        <v>83</v>
      </c>
      <c r="AR220" s="3">
        <v>1.42</v>
      </c>
      <c r="AS220" s="4">
        <v>1448</v>
      </c>
      <c r="AT220" s="1">
        <v>1018</v>
      </c>
      <c r="AX220" s="3">
        <v>592282.96</v>
      </c>
      <c r="BB220" t="s">
        <v>84</v>
      </c>
      <c r="BD220" s="3">
        <v>1.47</v>
      </c>
      <c r="BE220" s="4">
        <v>1136</v>
      </c>
      <c r="BF220" s="1">
        <v>772</v>
      </c>
      <c r="BG220" s="1">
        <v>152</v>
      </c>
      <c r="BH220" s="1">
        <v>84</v>
      </c>
      <c r="BK220" t="s">
        <v>174</v>
      </c>
      <c r="BL220" t="s">
        <v>104</v>
      </c>
    </row>
    <row r="221" spans="1:67" x14ac:dyDescent="0.25">
      <c r="A221" t="s">
        <v>4069</v>
      </c>
      <c r="B221" t="s">
        <v>4070</v>
      </c>
      <c r="C221" s="4">
        <f>(AA221*(H221*0.9))*12</f>
        <v>2736115.2</v>
      </c>
      <c r="D221" s="4">
        <f>IF(C221=0,"",(H221*150*12)+C221)</f>
        <v>3101515.2</v>
      </c>
      <c r="E221" s="4">
        <f>IFERROR(D221*0.5,"")</f>
        <v>1550757.6</v>
      </c>
      <c r="F221" s="4">
        <f>IFERROR(E221/0.06,"")</f>
        <v>25845960.000000004</v>
      </c>
      <c r="G221" s="4">
        <f>IFERROR(F221/H221,"")</f>
        <v>127320.00000000001</v>
      </c>
      <c r="H221" s="1">
        <v>203</v>
      </c>
      <c r="I221" s="1">
        <v>1994</v>
      </c>
      <c r="J221" t="s">
        <v>64</v>
      </c>
      <c r="K221" t="s">
        <v>734</v>
      </c>
      <c r="L221" t="s">
        <v>2786</v>
      </c>
      <c r="M221" t="s">
        <v>4071</v>
      </c>
      <c r="N221" t="s">
        <v>4072</v>
      </c>
      <c r="O221" t="s">
        <v>2786</v>
      </c>
      <c r="P221" s="1">
        <v>3</v>
      </c>
      <c r="Q221" t="s">
        <v>91</v>
      </c>
      <c r="R221" t="s">
        <v>70</v>
      </c>
      <c r="S221" t="s">
        <v>71</v>
      </c>
      <c r="U221" t="s">
        <v>72</v>
      </c>
      <c r="V221" t="s">
        <v>73</v>
      </c>
      <c r="W221" t="s">
        <v>74</v>
      </c>
      <c r="X221" t="s">
        <v>4073</v>
      </c>
      <c r="Y221" s="2">
        <v>744</v>
      </c>
      <c r="Z221" s="3">
        <v>1.68</v>
      </c>
      <c r="AA221" s="4">
        <v>1248</v>
      </c>
      <c r="AN221" s="1">
        <v>3</v>
      </c>
      <c r="AO221" t="s">
        <v>81</v>
      </c>
      <c r="AP221" t="s">
        <v>82</v>
      </c>
      <c r="AQ221" t="s">
        <v>83</v>
      </c>
      <c r="AR221" s="3">
        <v>1.42</v>
      </c>
      <c r="AS221" s="4">
        <v>1448</v>
      </c>
      <c r="AT221" s="1">
        <v>1019</v>
      </c>
      <c r="AX221" s="3">
        <v>338471.15</v>
      </c>
      <c r="BB221" t="s">
        <v>84</v>
      </c>
      <c r="BD221" s="3">
        <v>1.81</v>
      </c>
      <c r="BE221" s="4">
        <v>1181</v>
      </c>
      <c r="BF221" s="1">
        <v>653</v>
      </c>
      <c r="BG221" s="1">
        <v>152</v>
      </c>
      <c r="BH221" s="1">
        <v>51</v>
      </c>
      <c r="BL221" t="s">
        <v>131</v>
      </c>
    </row>
    <row r="222" spans="1:67" x14ac:dyDescent="0.25">
      <c r="A222" t="s">
        <v>2256</v>
      </c>
      <c r="B222" t="s">
        <v>2257</v>
      </c>
      <c r="C222" s="4">
        <f>(AA222*(H222*0.9))*12</f>
        <v>2048716.8000000003</v>
      </c>
      <c r="D222" s="4">
        <f>IF(C222=0,"",(H222*150*12)+C222)</f>
        <v>2322316.8000000003</v>
      </c>
      <c r="E222" s="4">
        <f>IFERROR(D222*0.5,"")</f>
        <v>1161158.4000000001</v>
      </c>
      <c r="F222" s="4">
        <f>IFERROR(E222/0.06,"")</f>
        <v>19352640.000000004</v>
      </c>
      <c r="G222" s="4">
        <f>IFERROR(F222/H222,"")</f>
        <v>127320.00000000003</v>
      </c>
      <c r="H222" s="1">
        <v>152</v>
      </c>
      <c r="I222" s="1">
        <v>2000</v>
      </c>
      <c r="J222" t="s">
        <v>64</v>
      </c>
      <c r="K222" t="s">
        <v>2253</v>
      </c>
      <c r="L222" t="s">
        <v>546</v>
      </c>
      <c r="M222" t="s">
        <v>2258</v>
      </c>
      <c r="N222" t="s">
        <v>546</v>
      </c>
      <c r="O222" t="s">
        <v>546</v>
      </c>
      <c r="P222" s="1">
        <v>2</v>
      </c>
      <c r="Q222" t="s">
        <v>69</v>
      </c>
      <c r="R222" t="s">
        <v>70</v>
      </c>
      <c r="S222" t="s">
        <v>71</v>
      </c>
      <c r="T222" t="s">
        <v>118</v>
      </c>
      <c r="U222" t="s">
        <v>72</v>
      </c>
      <c r="V222" t="s">
        <v>73</v>
      </c>
      <c r="W222" t="s">
        <v>74</v>
      </c>
      <c r="X222" t="s">
        <v>2259</v>
      </c>
      <c r="Y222" s="2">
        <v>1090</v>
      </c>
      <c r="Z222" s="3">
        <v>1.1499999999999999</v>
      </c>
      <c r="AA222" s="4">
        <v>1248</v>
      </c>
      <c r="AK222" s="5">
        <v>3.9474</v>
      </c>
      <c r="AN222" s="1">
        <v>2</v>
      </c>
      <c r="AO222" t="s">
        <v>81</v>
      </c>
      <c r="AP222" t="s">
        <v>82</v>
      </c>
      <c r="AQ222" t="s">
        <v>83</v>
      </c>
      <c r="AR222" s="3">
        <v>1.2</v>
      </c>
      <c r="AS222" s="4">
        <v>1122</v>
      </c>
      <c r="AT222" s="1">
        <v>938</v>
      </c>
      <c r="AU222" s="3">
        <v>1.1299999999999999</v>
      </c>
      <c r="AV222" s="4">
        <v>1295</v>
      </c>
      <c r="AW222" s="1">
        <v>1151</v>
      </c>
      <c r="BB222" t="s">
        <v>84</v>
      </c>
      <c r="BD222" s="3">
        <v>1.34</v>
      </c>
      <c r="BE222" s="4">
        <v>935</v>
      </c>
      <c r="BF222" s="1">
        <v>698</v>
      </c>
      <c r="BG222" s="1">
        <v>12</v>
      </c>
      <c r="BH222" s="1">
        <v>55</v>
      </c>
      <c r="BI222" s="1">
        <v>45</v>
      </c>
      <c r="BJ222" s="1">
        <v>35</v>
      </c>
      <c r="BM222" s="3">
        <v>1.0900000000000001</v>
      </c>
      <c r="BN222" s="4">
        <v>1445</v>
      </c>
      <c r="BO222" s="1">
        <v>1328</v>
      </c>
    </row>
    <row r="223" spans="1:67" x14ac:dyDescent="0.25">
      <c r="A223" t="s">
        <v>1514</v>
      </c>
      <c r="B223" t="s">
        <v>1515</v>
      </c>
      <c r="C223" s="4">
        <f>(AA223*(H223*0.9))*12</f>
        <v>3965824.8000000003</v>
      </c>
      <c r="D223" s="4">
        <f>IF(C223=0,"",(H223*150*12)+C223)</f>
        <v>4495024.8000000007</v>
      </c>
      <c r="E223" s="4">
        <f>IFERROR(D223*0.5,"")</f>
        <v>2247512.4000000004</v>
      </c>
      <c r="F223" s="4">
        <f>IFERROR(E223/0.06,"")</f>
        <v>37458540.000000007</v>
      </c>
      <c r="G223" s="4">
        <f>IFERROR(F223/H223,"")</f>
        <v>127410.00000000003</v>
      </c>
      <c r="H223" s="1">
        <v>294</v>
      </c>
      <c r="I223" s="1">
        <v>1985</v>
      </c>
      <c r="J223" t="s">
        <v>64</v>
      </c>
      <c r="K223" t="s">
        <v>140</v>
      </c>
      <c r="L223" t="s">
        <v>1376</v>
      </c>
      <c r="M223" t="s">
        <v>1516</v>
      </c>
      <c r="N223" t="s">
        <v>1378</v>
      </c>
      <c r="O223" t="s">
        <v>1376</v>
      </c>
      <c r="P223" s="1">
        <v>3</v>
      </c>
      <c r="Q223" t="s">
        <v>91</v>
      </c>
      <c r="R223" t="s">
        <v>70</v>
      </c>
      <c r="S223" t="s">
        <v>71</v>
      </c>
      <c r="T223" t="s">
        <v>128</v>
      </c>
      <c r="U223" t="s">
        <v>72</v>
      </c>
      <c r="V223" t="s">
        <v>140</v>
      </c>
      <c r="W223" t="s">
        <v>74</v>
      </c>
      <c r="X223" t="s">
        <v>1351</v>
      </c>
      <c r="Y223" s="2">
        <v>811</v>
      </c>
      <c r="Z223" s="3">
        <v>1.54</v>
      </c>
      <c r="AA223" s="4">
        <v>1249</v>
      </c>
      <c r="AK223" s="5">
        <v>8.5033999999999992</v>
      </c>
      <c r="AN223" s="1">
        <v>2</v>
      </c>
      <c r="AO223" t="s">
        <v>81</v>
      </c>
      <c r="AP223" t="s">
        <v>82</v>
      </c>
      <c r="AQ223" t="s">
        <v>83</v>
      </c>
      <c r="AR223" s="3">
        <v>1.46</v>
      </c>
      <c r="AS223" s="4">
        <v>1545</v>
      </c>
      <c r="AT223" s="1">
        <v>1062</v>
      </c>
      <c r="AX223" s="3">
        <v>257281.98</v>
      </c>
      <c r="BB223" t="s">
        <v>84</v>
      </c>
      <c r="BD223" s="3">
        <v>1.61</v>
      </c>
      <c r="BE223" s="4">
        <v>1087</v>
      </c>
      <c r="BF223" s="1">
        <v>674</v>
      </c>
      <c r="BG223" s="1">
        <v>190</v>
      </c>
      <c r="BH223" s="1">
        <v>104</v>
      </c>
      <c r="BK223" t="s">
        <v>1517</v>
      </c>
      <c r="BL223" t="s">
        <v>131</v>
      </c>
    </row>
    <row r="224" spans="1:67" x14ac:dyDescent="0.25">
      <c r="A224" t="s">
        <v>1072</v>
      </c>
      <c r="B224" t="s">
        <v>1073</v>
      </c>
      <c r="C224" s="4">
        <f>(AA224*(H224*0.9))*12</f>
        <v>3564000</v>
      </c>
      <c r="D224" s="4">
        <f>IF(C224=0,"",(H224*150*12)+C224)</f>
        <v>4039200</v>
      </c>
      <c r="E224" s="4">
        <f>IFERROR(D224*0.5,"")</f>
        <v>2019600</v>
      </c>
      <c r="F224" s="4">
        <f>IFERROR(E224/0.06,"")</f>
        <v>33660000</v>
      </c>
      <c r="G224" s="4">
        <f>IFERROR(F224/H224,"")</f>
        <v>127500</v>
      </c>
      <c r="H224" s="1">
        <v>264</v>
      </c>
      <c r="I224" s="1">
        <v>1985</v>
      </c>
      <c r="J224" t="s">
        <v>64</v>
      </c>
      <c r="K224" t="s">
        <v>725</v>
      </c>
      <c r="L224" t="s">
        <v>199</v>
      </c>
      <c r="M224" t="s">
        <v>1074</v>
      </c>
      <c r="N224" t="s">
        <v>1075</v>
      </c>
      <c r="O224" t="s">
        <v>199</v>
      </c>
      <c r="P224" s="1">
        <v>3</v>
      </c>
      <c r="Q224" t="s">
        <v>91</v>
      </c>
      <c r="R224" t="s">
        <v>70</v>
      </c>
      <c r="S224" t="s">
        <v>71</v>
      </c>
      <c r="U224" t="s">
        <v>72</v>
      </c>
      <c r="V224" t="s">
        <v>73</v>
      </c>
      <c r="W224" t="s">
        <v>74</v>
      </c>
      <c r="X224" t="s">
        <v>730</v>
      </c>
      <c r="Y224" s="2">
        <v>781</v>
      </c>
      <c r="Z224" s="3">
        <v>1.6</v>
      </c>
      <c r="AA224" s="4">
        <v>1250</v>
      </c>
      <c r="AK224" s="5">
        <v>9.8484999999999996</v>
      </c>
      <c r="AM224" s="1">
        <v>2018</v>
      </c>
      <c r="AN224" s="1">
        <v>2</v>
      </c>
      <c r="AO224" t="s">
        <v>81</v>
      </c>
      <c r="AP224" t="s">
        <v>82</v>
      </c>
      <c r="AQ224" t="s">
        <v>83</v>
      </c>
      <c r="AR224" s="3">
        <v>1.53</v>
      </c>
      <c r="AS224" s="4">
        <v>1475</v>
      </c>
      <c r="AT224" s="1">
        <v>962</v>
      </c>
      <c r="AX224" s="3">
        <v>656659.15</v>
      </c>
      <c r="BB224" t="s">
        <v>84</v>
      </c>
      <c r="BD224" s="3">
        <v>1.65</v>
      </c>
      <c r="BE224" s="4">
        <v>1138</v>
      </c>
      <c r="BF224" s="1">
        <v>691</v>
      </c>
      <c r="BG224" s="1">
        <v>176</v>
      </c>
      <c r="BH224" s="1">
        <v>88</v>
      </c>
      <c r="BK224" t="s">
        <v>1076</v>
      </c>
      <c r="BL224" t="s">
        <v>131</v>
      </c>
    </row>
    <row r="225" spans="1:67" x14ac:dyDescent="0.25">
      <c r="A225" t="s">
        <v>1173</v>
      </c>
      <c r="B225" t="s">
        <v>1174</v>
      </c>
      <c r="C225" s="4">
        <f>(AA225*(H225*0.9))*12</f>
        <v>5035500</v>
      </c>
      <c r="D225" s="4">
        <f>IF(C225=0,"",(H225*150*12)+C225)</f>
        <v>5706900</v>
      </c>
      <c r="E225" s="4">
        <f>IFERROR(D225*0.5,"")</f>
        <v>2853450</v>
      </c>
      <c r="F225" s="4">
        <f>IFERROR(E225/0.06,"")</f>
        <v>47557500</v>
      </c>
      <c r="G225" s="4">
        <f>IFERROR(F225/H225,"")</f>
        <v>127500</v>
      </c>
      <c r="H225" s="1">
        <v>373</v>
      </c>
      <c r="I225" s="1">
        <v>1986</v>
      </c>
      <c r="J225" t="s">
        <v>64</v>
      </c>
      <c r="K225" t="s">
        <v>995</v>
      </c>
      <c r="L225" t="s">
        <v>1028</v>
      </c>
      <c r="M225" t="s">
        <v>1175</v>
      </c>
      <c r="N225" t="s">
        <v>1176</v>
      </c>
      <c r="O225" t="s">
        <v>1028</v>
      </c>
      <c r="P225" s="1">
        <v>4</v>
      </c>
      <c r="Q225" t="s">
        <v>91</v>
      </c>
      <c r="R225" t="s">
        <v>70</v>
      </c>
      <c r="S225" t="s">
        <v>71</v>
      </c>
      <c r="U225" t="s">
        <v>72</v>
      </c>
      <c r="V225" t="s">
        <v>73</v>
      </c>
      <c r="W225" t="s">
        <v>74</v>
      </c>
      <c r="X225" t="s">
        <v>137</v>
      </c>
      <c r="Y225" s="2">
        <v>760</v>
      </c>
      <c r="Z225" s="3">
        <v>1.64</v>
      </c>
      <c r="AA225" s="4">
        <v>1250</v>
      </c>
      <c r="AK225" s="5">
        <v>19.302900000000001</v>
      </c>
      <c r="AM225" s="1">
        <v>2007</v>
      </c>
      <c r="AN225" s="1">
        <v>3</v>
      </c>
      <c r="AO225" t="s">
        <v>81</v>
      </c>
      <c r="AP225" t="s">
        <v>82</v>
      </c>
      <c r="AQ225" t="s">
        <v>83</v>
      </c>
      <c r="AR225" s="3">
        <v>1.56</v>
      </c>
      <c r="AS225" s="4">
        <v>1533</v>
      </c>
      <c r="AT225" s="1">
        <v>982</v>
      </c>
      <c r="AU225" s="3">
        <v>1.1000000000000001</v>
      </c>
      <c r="AV225" s="4">
        <v>1706</v>
      </c>
      <c r="AW225" s="1">
        <v>1548</v>
      </c>
      <c r="AX225" s="3">
        <v>1144553.06</v>
      </c>
      <c r="BB225" t="s">
        <v>84</v>
      </c>
      <c r="BD225" s="3">
        <v>1.69</v>
      </c>
      <c r="BE225" s="4">
        <v>1150</v>
      </c>
      <c r="BF225" s="1">
        <v>680</v>
      </c>
      <c r="BG225" s="1">
        <v>276</v>
      </c>
      <c r="BH225" s="1">
        <v>96</v>
      </c>
      <c r="BI225" s="1">
        <v>1</v>
      </c>
      <c r="BL225" t="s">
        <v>131</v>
      </c>
    </row>
    <row r="226" spans="1:67" x14ac:dyDescent="0.25">
      <c r="A226" t="s">
        <v>2868</v>
      </c>
      <c r="B226" t="s">
        <v>2869</v>
      </c>
      <c r="C226" s="4">
        <f>(AA226*(H226*0.9))*12</f>
        <v>2970000</v>
      </c>
      <c r="D226" s="4">
        <f>IF(C226=0,"",(H226*150*12)+C226)</f>
        <v>3366000</v>
      </c>
      <c r="E226" s="4">
        <f>IFERROR(D226*0.5,"")</f>
        <v>1683000</v>
      </c>
      <c r="F226" s="4">
        <f>IFERROR(E226/0.06,"")</f>
        <v>28050000</v>
      </c>
      <c r="G226" s="4">
        <f>IFERROR(F226/H226,"")</f>
        <v>127500</v>
      </c>
      <c r="H226" s="1">
        <v>220</v>
      </c>
      <c r="I226" s="1">
        <v>1996</v>
      </c>
      <c r="J226" t="s">
        <v>64</v>
      </c>
      <c r="K226" t="s">
        <v>134</v>
      </c>
      <c r="L226" t="s">
        <v>546</v>
      </c>
      <c r="M226" t="s">
        <v>2870</v>
      </c>
      <c r="N226" t="s">
        <v>2871</v>
      </c>
      <c r="O226" t="s">
        <v>546</v>
      </c>
      <c r="P226" s="1">
        <v>4</v>
      </c>
      <c r="Q226" t="s">
        <v>91</v>
      </c>
      <c r="R226" t="s">
        <v>70</v>
      </c>
      <c r="S226" t="s">
        <v>71</v>
      </c>
      <c r="T226" t="s">
        <v>118</v>
      </c>
      <c r="U226" t="s">
        <v>72</v>
      </c>
      <c r="V226" t="s">
        <v>73</v>
      </c>
      <c r="W226" t="s">
        <v>74</v>
      </c>
      <c r="X226" t="s">
        <v>2872</v>
      </c>
      <c r="Y226" s="2">
        <v>772</v>
      </c>
      <c r="Z226" s="3">
        <v>1.62</v>
      </c>
      <c r="AA226" s="4">
        <v>1250</v>
      </c>
      <c r="AK226" s="5">
        <v>14.545500000000001</v>
      </c>
      <c r="AN226" s="1">
        <v>4</v>
      </c>
      <c r="AO226" t="s">
        <v>81</v>
      </c>
      <c r="AP226" t="s">
        <v>82</v>
      </c>
      <c r="AQ226" t="s">
        <v>83</v>
      </c>
      <c r="AR226" s="3">
        <v>1.54</v>
      </c>
      <c r="AS226" s="4">
        <v>1379</v>
      </c>
      <c r="AT226" s="1">
        <v>897</v>
      </c>
      <c r="AX226" s="3">
        <v>374879.2</v>
      </c>
      <c r="BB226" t="s">
        <v>84</v>
      </c>
      <c r="BD226" s="3">
        <v>1.73</v>
      </c>
      <c r="BE226" s="4">
        <v>1124</v>
      </c>
      <c r="BF226" s="1">
        <v>650</v>
      </c>
      <c r="BG226" s="1">
        <v>111</v>
      </c>
      <c r="BH226" s="1">
        <v>109</v>
      </c>
      <c r="BL226" t="s">
        <v>643</v>
      </c>
    </row>
    <row r="227" spans="1:67" x14ac:dyDescent="0.25">
      <c r="A227" t="s">
        <v>3303</v>
      </c>
      <c r="B227" t="s">
        <v>3304</v>
      </c>
      <c r="C227" s="4">
        <f>(AA227*(H227*0.9))*12</f>
        <v>1957996.7999999998</v>
      </c>
      <c r="D227" s="4">
        <f>IF(C227=0,"",(H227*150*12)+C227)</f>
        <v>2217196.7999999998</v>
      </c>
      <c r="E227" s="4">
        <f>IFERROR(D227*0.5,"")</f>
        <v>1108598.3999999999</v>
      </c>
      <c r="F227" s="4">
        <f>IFERROR(E227/0.06,"")</f>
        <v>18476640</v>
      </c>
      <c r="G227" s="4">
        <f>IFERROR(F227/H227,"")</f>
        <v>128310</v>
      </c>
      <c r="H227" s="1">
        <v>144</v>
      </c>
      <c r="I227" s="1">
        <v>1999</v>
      </c>
      <c r="J227" t="s">
        <v>64</v>
      </c>
      <c r="K227" t="s">
        <v>439</v>
      </c>
      <c r="L227" t="s">
        <v>3305</v>
      </c>
      <c r="M227" t="s">
        <v>3306</v>
      </c>
      <c r="N227" t="s">
        <v>3307</v>
      </c>
      <c r="O227" t="s">
        <v>3305</v>
      </c>
      <c r="P227" s="1">
        <v>3</v>
      </c>
      <c r="Q227" t="s">
        <v>91</v>
      </c>
      <c r="R227" t="s">
        <v>70</v>
      </c>
      <c r="S227" t="s">
        <v>71</v>
      </c>
      <c r="T227" t="s">
        <v>118</v>
      </c>
      <c r="U227" t="s">
        <v>72</v>
      </c>
      <c r="V227" t="s">
        <v>442</v>
      </c>
      <c r="W227" t="s">
        <v>74</v>
      </c>
      <c r="X227" t="s">
        <v>3308</v>
      </c>
      <c r="Y227" s="2">
        <v>958</v>
      </c>
      <c r="Z227" s="3">
        <v>1.31</v>
      </c>
      <c r="AA227" s="4">
        <v>1259</v>
      </c>
      <c r="AK227" s="5">
        <v>5.5556000000000001</v>
      </c>
      <c r="AN227" s="1">
        <v>2</v>
      </c>
      <c r="AO227" t="s">
        <v>81</v>
      </c>
      <c r="AP227" t="s">
        <v>82</v>
      </c>
      <c r="AQ227" t="s">
        <v>83</v>
      </c>
      <c r="AR227" s="3">
        <v>1.34</v>
      </c>
      <c r="AS227" s="4">
        <v>1248</v>
      </c>
      <c r="AT227" s="1">
        <v>930</v>
      </c>
      <c r="AU227" s="3">
        <v>1.2</v>
      </c>
      <c r="AV227" s="4">
        <v>1433</v>
      </c>
      <c r="AW227" s="1">
        <v>1192</v>
      </c>
      <c r="AX227" s="3">
        <v>114129.60000000001</v>
      </c>
      <c r="BB227" t="s">
        <v>84</v>
      </c>
      <c r="BD227" s="3">
        <v>1.49</v>
      </c>
      <c r="BE227" s="4">
        <v>1045</v>
      </c>
      <c r="BF227" s="1">
        <v>700</v>
      </c>
      <c r="BG227" s="1">
        <v>32</v>
      </c>
      <c r="BH227" s="1">
        <v>68</v>
      </c>
      <c r="BI227" s="1">
        <v>44</v>
      </c>
    </row>
    <row r="228" spans="1:67" x14ac:dyDescent="0.25">
      <c r="A228" t="s">
        <v>817</v>
      </c>
      <c r="B228" t="s">
        <v>818</v>
      </c>
      <c r="C228" s="4">
        <f>(AA228*(H228*0.9))*12</f>
        <v>2286144.0000000005</v>
      </c>
      <c r="D228" s="4">
        <f>IF(C228=0,"",(H228*150*12)+C228)</f>
        <v>2588544.0000000005</v>
      </c>
      <c r="E228" s="4">
        <f>IFERROR(D228*0.5,"")</f>
        <v>1294272.0000000002</v>
      </c>
      <c r="F228" s="4">
        <f>IFERROR(E228/0.06,"")</f>
        <v>21571200.000000004</v>
      </c>
      <c r="G228" s="4">
        <f>IFERROR(F228/H228,"")</f>
        <v>128400.00000000003</v>
      </c>
      <c r="H228" s="1">
        <v>168</v>
      </c>
      <c r="I228" s="1">
        <v>1986</v>
      </c>
      <c r="J228" t="s">
        <v>64</v>
      </c>
      <c r="K228" t="s">
        <v>177</v>
      </c>
      <c r="L228" t="s">
        <v>575</v>
      </c>
      <c r="M228" t="s">
        <v>819</v>
      </c>
      <c r="N228" t="s">
        <v>820</v>
      </c>
      <c r="O228" t="s">
        <v>575</v>
      </c>
      <c r="P228" s="1">
        <v>3</v>
      </c>
      <c r="Q228" t="s">
        <v>91</v>
      </c>
      <c r="R228" t="s">
        <v>70</v>
      </c>
      <c r="S228" t="s">
        <v>71</v>
      </c>
      <c r="U228" t="s">
        <v>72</v>
      </c>
      <c r="V228" t="s">
        <v>181</v>
      </c>
      <c r="W228" t="s">
        <v>74</v>
      </c>
      <c r="X228" t="s">
        <v>182</v>
      </c>
      <c r="Y228" s="2">
        <v>739</v>
      </c>
      <c r="Z228" s="3">
        <v>1.7</v>
      </c>
      <c r="AA228" s="4">
        <v>1260</v>
      </c>
      <c r="AK228" s="5">
        <v>7.1429</v>
      </c>
      <c r="AM228" s="1">
        <v>2008</v>
      </c>
      <c r="AN228" s="1">
        <v>2</v>
      </c>
      <c r="AO228" t="s">
        <v>81</v>
      </c>
      <c r="AP228" t="s">
        <v>82</v>
      </c>
      <c r="AQ228" t="s">
        <v>83</v>
      </c>
      <c r="AR228" s="3">
        <v>1.6</v>
      </c>
      <c r="AS228" s="4">
        <v>1600</v>
      </c>
      <c r="AT228" s="1">
        <v>1000</v>
      </c>
      <c r="AU228" s="3">
        <v>1.51</v>
      </c>
      <c r="AV228" s="4">
        <v>1890</v>
      </c>
      <c r="AW228" s="1">
        <v>1250</v>
      </c>
      <c r="AX228" s="3">
        <v>391328.11</v>
      </c>
      <c r="AY228" s="3">
        <v>1.99</v>
      </c>
      <c r="AZ228" s="4">
        <v>1097</v>
      </c>
      <c r="BA228" s="6">
        <v>550</v>
      </c>
      <c r="BB228" t="s">
        <v>84</v>
      </c>
      <c r="BD228" s="3">
        <v>1.66</v>
      </c>
      <c r="BE228" s="4">
        <v>1215</v>
      </c>
      <c r="BF228" s="1">
        <v>732</v>
      </c>
      <c r="BG228" s="1">
        <v>97</v>
      </c>
      <c r="BH228" s="1">
        <v>30</v>
      </c>
      <c r="BI228" s="1">
        <v>1</v>
      </c>
      <c r="BK228" t="s">
        <v>712</v>
      </c>
      <c r="BL228" t="s">
        <v>104</v>
      </c>
    </row>
    <row r="229" spans="1:67" x14ac:dyDescent="0.25">
      <c r="A229" t="s">
        <v>1215</v>
      </c>
      <c r="B229" t="s">
        <v>1216</v>
      </c>
      <c r="C229" s="4">
        <f>(AA229*(H229*0.9))*12</f>
        <v>2614809.6000000001</v>
      </c>
      <c r="D229" s="4">
        <f>IF(C229=0,"",(H229*150*12)+C229)</f>
        <v>2960409.6</v>
      </c>
      <c r="E229" s="4">
        <f>IFERROR(D229*0.5,"")</f>
        <v>1480204.8</v>
      </c>
      <c r="F229" s="4">
        <f>IFERROR(E229/0.06,"")</f>
        <v>24670080</v>
      </c>
      <c r="G229" s="4">
        <f>IFERROR(F229/H229,"")</f>
        <v>128490</v>
      </c>
      <c r="H229" s="1">
        <v>192</v>
      </c>
      <c r="I229" s="1">
        <v>1985</v>
      </c>
      <c r="J229" t="s">
        <v>64</v>
      </c>
      <c r="K229" t="s">
        <v>97</v>
      </c>
      <c r="L229" t="s">
        <v>747</v>
      </c>
      <c r="M229" t="s">
        <v>1217</v>
      </c>
      <c r="N229" t="s">
        <v>1218</v>
      </c>
      <c r="O229" t="s">
        <v>747</v>
      </c>
      <c r="P229" s="1">
        <v>4</v>
      </c>
      <c r="Q229" t="s">
        <v>91</v>
      </c>
      <c r="R229" t="s">
        <v>70</v>
      </c>
      <c r="S229" t="s">
        <v>71</v>
      </c>
      <c r="T229" t="s">
        <v>118</v>
      </c>
      <c r="U229" t="s">
        <v>72</v>
      </c>
      <c r="V229" t="s">
        <v>73</v>
      </c>
      <c r="W229" t="s">
        <v>74</v>
      </c>
      <c r="X229" t="s">
        <v>1219</v>
      </c>
      <c r="Y229" s="2">
        <v>814</v>
      </c>
      <c r="Z229" s="3">
        <v>1.55</v>
      </c>
      <c r="AA229" s="4">
        <v>1261</v>
      </c>
      <c r="AK229" s="5">
        <v>7.2916999999999996</v>
      </c>
      <c r="AM229" s="1">
        <v>2012</v>
      </c>
      <c r="AN229" s="1">
        <v>2</v>
      </c>
      <c r="AO229" t="s">
        <v>81</v>
      </c>
      <c r="AP229" t="s">
        <v>82</v>
      </c>
      <c r="AQ229" t="s">
        <v>83</v>
      </c>
      <c r="AR229" s="3">
        <v>1.48</v>
      </c>
      <c r="AS229" s="4">
        <v>1344</v>
      </c>
      <c r="AT229" s="1">
        <v>906</v>
      </c>
      <c r="AX229" s="3">
        <v>0</v>
      </c>
      <c r="BB229" t="s">
        <v>84</v>
      </c>
      <c r="BD229" s="3">
        <v>1.74</v>
      </c>
      <c r="BE229" s="4">
        <v>1097</v>
      </c>
      <c r="BF229" s="1">
        <v>631</v>
      </c>
      <c r="BG229" s="1">
        <v>64</v>
      </c>
      <c r="BH229" s="1">
        <v>128</v>
      </c>
    </row>
    <row r="230" spans="1:67" x14ac:dyDescent="0.25">
      <c r="A230" t="s">
        <v>3500</v>
      </c>
      <c r="B230" t="s">
        <v>3501</v>
      </c>
      <c r="C230" s="4">
        <f>(AA230*(H230*0.9))*12</f>
        <v>953316</v>
      </c>
      <c r="D230" s="4">
        <f>IF(C230=0,"",(H230*150*12)+C230)</f>
        <v>1079316</v>
      </c>
      <c r="E230" s="4">
        <f>IFERROR(D230*0.5,"")</f>
        <v>539658</v>
      </c>
      <c r="F230" s="4">
        <f>IFERROR(E230/0.06,"")</f>
        <v>8994300</v>
      </c>
      <c r="G230" s="4">
        <f>IFERROR(F230/H230,"")</f>
        <v>128490</v>
      </c>
      <c r="H230" s="1">
        <v>70</v>
      </c>
      <c r="I230" s="1">
        <v>1997</v>
      </c>
      <c r="J230" t="s">
        <v>64</v>
      </c>
      <c r="K230" t="s">
        <v>65</v>
      </c>
      <c r="L230" t="s">
        <v>2923</v>
      </c>
      <c r="M230" t="s">
        <v>3502</v>
      </c>
      <c r="N230" t="s">
        <v>2925</v>
      </c>
      <c r="O230" t="s">
        <v>2923</v>
      </c>
      <c r="P230" s="1">
        <v>4</v>
      </c>
      <c r="Q230" t="s">
        <v>91</v>
      </c>
      <c r="R230" t="s">
        <v>70</v>
      </c>
      <c r="S230" t="s">
        <v>71</v>
      </c>
      <c r="T230" t="s">
        <v>118</v>
      </c>
      <c r="U230" t="s">
        <v>72</v>
      </c>
      <c r="V230" t="s">
        <v>73</v>
      </c>
      <c r="W230" t="s">
        <v>74</v>
      </c>
      <c r="X230" t="s">
        <v>3503</v>
      </c>
      <c r="Y230" s="2">
        <v>840</v>
      </c>
      <c r="Z230" s="3">
        <v>1.5</v>
      </c>
      <c r="AA230" s="4">
        <v>1261</v>
      </c>
      <c r="AK230" s="5">
        <v>2.8571</v>
      </c>
      <c r="AN230" s="1">
        <v>3</v>
      </c>
      <c r="AO230" t="s">
        <v>81</v>
      </c>
      <c r="AP230" t="s">
        <v>82</v>
      </c>
      <c r="AQ230" t="s">
        <v>83</v>
      </c>
      <c r="AR230" s="3">
        <v>1.36</v>
      </c>
      <c r="AS230" s="4">
        <v>1221</v>
      </c>
      <c r="AT230" s="1">
        <v>899</v>
      </c>
      <c r="AU230" s="3">
        <v>1.08</v>
      </c>
      <c r="AV230" s="4">
        <v>1303</v>
      </c>
      <c r="AW230" s="1">
        <v>1207</v>
      </c>
      <c r="AX230" s="3">
        <v>114356.83</v>
      </c>
      <c r="BB230" t="s">
        <v>84</v>
      </c>
      <c r="BD230" s="3">
        <v>1.99</v>
      </c>
      <c r="BE230" s="4">
        <v>1257</v>
      </c>
      <c r="BF230" s="1">
        <v>632</v>
      </c>
      <c r="BG230" s="1">
        <v>36</v>
      </c>
      <c r="BH230" s="1">
        <v>16</v>
      </c>
      <c r="BI230" s="1">
        <v>18</v>
      </c>
    </row>
    <row r="231" spans="1:67" x14ac:dyDescent="0.25">
      <c r="A231" t="s">
        <v>4263</v>
      </c>
      <c r="B231" t="s">
        <v>4264</v>
      </c>
      <c r="C231" s="4">
        <f>(AA231*(H231*0.9))*12</f>
        <v>1635552</v>
      </c>
      <c r="D231" s="4">
        <f>IF(C231=0,"",(H231*150*12)+C231)</f>
        <v>1851552</v>
      </c>
      <c r="E231" s="4">
        <f>IFERROR(D231*0.5,"")</f>
        <v>925776</v>
      </c>
      <c r="F231" s="4">
        <f>IFERROR(E231/0.06,"")</f>
        <v>15429600</v>
      </c>
      <c r="G231" s="4">
        <f>IFERROR(F231/H231,"")</f>
        <v>128580</v>
      </c>
      <c r="H231" s="1">
        <v>120</v>
      </c>
      <c r="I231" s="1">
        <v>1999</v>
      </c>
      <c r="J231" t="s">
        <v>64</v>
      </c>
      <c r="K231" t="s">
        <v>439</v>
      </c>
      <c r="L231" t="s">
        <v>929</v>
      </c>
      <c r="M231" t="s">
        <v>4265</v>
      </c>
      <c r="N231" t="s">
        <v>4266</v>
      </c>
      <c r="O231" t="s">
        <v>929</v>
      </c>
      <c r="P231" s="1">
        <v>4</v>
      </c>
      <c r="Q231" t="s">
        <v>729</v>
      </c>
      <c r="R231" t="s">
        <v>70</v>
      </c>
      <c r="S231" t="s">
        <v>71</v>
      </c>
      <c r="U231" t="s">
        <v>72</v>
      </c>
      <c r="V231" t="s">
        <v>442</v>
      </c>
      <c r="W231" t="s">
        <v>74</v>
      </c>
      <c r="X231" t="s">
        <v>443</v>
      </c>
      <c r="Y231" s="2">
        <v>866</v>
      </c>
      <c r="Z231" s="3">
        <v>1.46</v>
      </c>
      <c r="AA231" s="4">
        <v>1262</v>
      </c>
      <c r="AK231" s="5">
        <v>3.3332999999999999</v>
      </c>
      <c r="AN231" s="1">
        <v>2</v>
      </c>
      <c r="AO231" t="s">
        <v>81</v>
      </c>
      <c r="AP231" t="s">
        <v>82</v>
      </c>
      <c r="AQ231" t="s">
        <v>83</v>
      </c>
      <c r="AR231" s="3">
        <v>1.37</v>
      </c>
      <c r="AS231" s="4">
        <v>1266</v>
      </c>
      <c r="AT231" s="1">
        <v>925</v>
      </c>
      <c r="AU231" s="3">
        <v>1.34</v>
      </c>
      <c r="AV231" s="4">
        <v>1525</v>
      </c>
      <c r="AW231" s="1">
        <v>1140</v>
      </c>
      <c r="AX231" s="3">
        <v>98714.8</v>
      </c>
      <c r="BB231" t="s">
        <v>84</v>
      </c>
      <c r="BD231" s="3">
        <v>1.64</v>
      </c>
      <c r="BE231" s="4">
        <v>1214</v>
      </c>
      <c r="BF231" s="1">
        <v>742</v>
      </c>
      <c r="BG231" s="1">
        <v>48</v>
      </c>
      <c r="BH231" s="1">
        <v>64</v>
      </c>
      <c r="BI231" s="1">
        <v>8</v>
      </c>
      <c r="BL231" t="s">
        <v>365</v>
      </c>
    </row>
    <row r="232" spans="1:67" x14ac:dyDescent="0.25">
      <c r="A232" t="s">
        <v>2986</v>
      </c>
      <c r="B232" t="s">
        <v>2987</v>
      </c>
      <c r="C232" s="4">
        <f>(AA232*(H232*0.9))*12</f>
        <v>4583174.4000000004</v>
      </c>
      <c r="D232" s="4">
        <f>IF(C232=0,"",(H232*150*12)+C232)</f>
        <v>5187974.4000000004</v>
      </c>
      <c r="E232" s="4">
        <f>IFERROR(D232*0.5,"")</f>
        <v>2593987.2000000002</v>
      </c>
      <c r="F232" s="4">
        <f>IFERROR(E232/0.06,"")</f>
        <v>43233120.000000007</v>
      </c>
      <c r="G232" s="4">
        <f>IFERROR(F232/H232,"")</f>
        <v>128670.00000000003</v>
      </c>
      <c r="H232" s="1">
        <v>336</v>
      </c>
      <c r="I232" s="1">
        <v>1998</v>
      </c>
      <c r="J232" t="s">
        <v>64</v>
      </c>
      <c r="K232" t="s">
        <v>198</v>
      </c>
      <c r="L232" t="s">
        <v>2988</v>
      </c>
      <c r="M232" t="s">
        <v>2989</v>
      </c>
      <c r="N232" t="s">
        <v>2990</v>
      </c>
      <c r="O232" t="s">
        <v>2988</v>
      </c>
      <c r="P232" s="1">
        <v>4</v>
      </c>
      <c r="Q232" t="s">
        <v>729</v>
      </c>
      <c r="R232" t="s">
        <v>70</v>
      </c>
      <c r="S232" t="s">
        <v>71</v>
      </c>
      <c r="U232" t="s">
        <v>72</v>
      </c>
      <c r="V232" t="s">
        <v>531</v>
      </c>
      <c r="W232" t="s">
        <v>74</v>
      </c>
      <c r="X232" t="s">
        <v>2034</v>
      </c>
      <c r="Y232" s="2">
        <v>763</v>
      </c>
      <c r="Z232" s="3">
        <v>1.65</v>
      </c>
      <c r="AA232" s="4">
        <v>1263</v>
      </c>
      <c r="AK232" s="5">
        <v>13.392899999999999</v>
      </c>
      <c r="AM232" s="1">
        <v>2015</v>
      </c>
      <c r="AN232" s="1">
        <v>3</v>
      </c>
      <c r="AO232" t="s">
        <v>81</v>
      </c>
      <c r="AP232" t="s">
        <v>82</v>
      </c>
      <c r="AQ232" t="s">
        <v>83</v>
      </c>
      <c r="AR232" s="3">
        <v>1.61</v>
      </c>
      <c r="AS232" s="4">
        <v>1478</v>
      </c>
      <c r="AT232" s="1">
        <v>920</v>
      </c>
      <c r="AU232" s="3">
        <v>1.43</v>
      </c>
      <c r="AV232" s="4">
        <v>1699</v>
      </c>
      <c r="AW232" s="1">
        <v>1185</v>
      </c>
      <c r="AX232" s="3">
        <v>523307.4</v>
      </c>
      <c r="BB232" t="s">
        <v>84</v>
      </c>
      <c r="BD232" s="3">
        <v>1.81</v>
      </c>
      <c r="BE232" s="4">
        <v>1046</v>
      </c>
      <c r="BF232" s="1">
        <v>576</v>
      </c>
      <c r="BG232" s="1">
        <v>196</v>
      </c>
      <c r="BH232" s="1">
        <v>84</v>
      </c>
      <c r="BI232" s="1">
        <v>56</v>
      </c>
      <c r="BK232" t="s">
        <v>2991</v>
      </c>
      <c r="BL232" t="s">
        <v>104</v>
      </c>
    </row>
    <row r="233" spans="1:67" x14ac:dyDescent="0.25">
      <c r="A233" t="s">
        <v>4040</v>
      </c>
      <c r="B233" t="s">
        <v>4041</v>
      </c>
      <c r="C233" s="4">
        <f>(AA233*(H233*0.9))*12</f>
        <v>3764750.4000000004</v>
      </c>
      <c r="D233" s="4">
        <f>IF(C233=0,"",(H233*150*12)+C233)</f>
        <v>4261550.4000000004</v>
      </c>
      <c r="E233" s="4">
        <f>IFERROR(D233*0.5,"")</f>
        <v>2130775.2000000002</v>
      </c>
      <c r="F233" s="4">
        <f>IFERROR(E233/0.06,"")</f>
        <v>35512920.000000007</v>
      </c>
      <c r="G233" s="4">
        <f>IFERROR(F233/H233,"")</f>
        <v>128670.00000000003</v>
      </c>
      <c r="H233" s="1">
        <v>276</v>
      </c>
      <c r="I233" s="1">
        <v>1998</v>
      </c>
      <c r="J233" t="s">
        <v>64</v>
      </c>
      <c r="K233" t="s">
        <v>725</v>
      </c>
      <c r="L233" t="s">
        <v>4042</v>
      </c>
      <c r="M233" t="s">
        <v>4043</v>
      </c>
      <c r="N233" t="s">
        <v>4044</v>
      </c>
      <c r="O233" t="s">
        <v>4042</v>
      </c>
      <c r="P233" s="1">
        <v>3</v>
      </c>
      <c r="Q233" t="s">
        <v>91</v>
      </c>
      <c r="R233" t="s">
        <v>70</v>
      </c>
      <c r="S233" t="s">
        <v>71</v>
      </c>
      <c r="U233" t="s">
        <v>72</v>
      </c>
      <c r="V233" t="s">
        <v>73</v>
      </c>
      <c r="W233" t="s">
        <v>74</v>
      </c>
      <c r="X233" t="s">
        <v>4045</v>
      </c>
      <c r="Y233" s="2">
        <v>770</v>
      </c>
      <c r="Z233" s="3">
        <v>1.64</v>
      </c>
      <c r="AA233" s="4">
        <v>1263</v>
      </c>
      <c r="AK233" s="5">
        <v>19.2029</v>
      </c>
      <c r="AM233" s="1">
        <v>2018</v>
      </c>
      <c r="AN233" s="1">
        <v>3</v>
      </c>
      <c r="AO233" t="s">
        <v>81</v>
      </c>
      <c r="AP233" t="s">
        <v>82</v>
      </c>
      <c r="AQ233" t="s">
        <v>83</v>
      </c>
      <c r="AR233" s="3">
        <v>1.51</v>
      </c>
      <c r="AS233" s="4">
        <v>1392</v>
      </c>
      <c r="AT233" s="1">
        <v>920</v>
      </c>
      <c r="AU233" s="3">
        <v>1.42</v>
      </c>
      <c r="AV233" s="4">
        <v>1682</v>
      </c>
      <c r="AW233" s="1">
        <v>1185</v>
      </c>
      <c r="AX233" s="3">
        <v>774857.8</v>
      </c>
      <c r="BB233" t="s">
        <v>84</v>
      </c>
      <c r="BD233" s="3">
        <v>1.87</v>
      </c>
      <c r="BE233" s="4">
        <v>1075</v>
      </c>
      <c r="BF233" s="1">
        <v>573</v>
      </c>
      <c r="BG233" s="1">
        <v>156</v>
      </c>
      <c r="BH233" s="1">
        <v>72</v>
      </c>
      <c r="BI233" s="1">
        <v>48</v>
      </c>
      <c r="BK233" t="s">
        <v>3623</v>
      </c>
      <c r="BL233" t="s">
        <v>104</v>
      </c>
    </row>
    <row r="234" spans="1:67" x14ac:dyDescent="0.25">
      <c r="A234" t="s">
        <v>1974</v>
      </c>
      <c r="B234" t="s">
        <v>1975</v>
      </c>
      <c r="C234" s="4">
        <f>(AA234*(H234*0.9))*12</f>
        <v>3385497.6000000006</v>
      </c>
      <c r="D234" s="4">
        <f>IF(C234=0,"",(H234*150*12)+C234)</f>
        <v>3831897.6000000006</v>
      </c>
      <c r="E234" s="4">
        <f>IFERROR(D234*0.5,"")</f>
        <v>1915948.8000000003</v>
      </c>
      <c r="F234" s="4">
        <f>IFERROR(E234/0.06,"")</f>
        <v>31932480.000000007</v>
      </c>
      <c r="G234" s="4">
        <f>IFERROR(F234/H234,"")</f>
        <v>128760.00000000003</v>
      </c>
      <c r="H234" s="1">
        <v>248</v>
      </c>
      <c r="I234" s="1">
        <v>1986</v>
      </c>
      <c r="J234" t="s">
        <v>64</v>
      </c>
      <c r="K234" t="s">
        <v>409</v>
      </c>
      <c r="L234" t="s">
        <v>1976</v>
      </c>
      <c r="M234" t="s">
        <v>1977</v>
      </c>
      <c r="N234" t="s">
        <v>1978</v>
      </c>
      <c r="O234" t="s">
        <v>1976</v>
      </c>
      <c r="P234" s="1">
        <v>3</v>
      </c>
      <c r="Q234" t="s">
        <v>91</v>
      </c>
      <c r="R234" t="s">
        <v>70</v>
      </c>
      <c r="S234" t="s">
        <v>71</v>
      </c>
      <c r="U234" t="s">
        <v>72</v>
      </c>
      <c r="V234" t="s">
        <v>110</v>
      </c>
      <c r="W234" t="s">
        <v>74</v>
      </c>
      <c r="X234" t="s">
        <v>412</v>
      </c>
      <c r="Y234" s="2">
        <v>765</v>
      </c>
      <c r="Z234" s="3">
        <v>1.65</v>
      </c>
      <c r="AA234" s="4">
        <v>1264</v>
      </c>
      <c r="AK234" s="5">
        <v>8.8710000000000004</v>
      </c>
      <c r="AN234" s="1">
        <v>3</v>
      </c>
      <c r="AO234" t="s">
        <v>81</v>
      </c>
      <c r="AP234" t="s">
        <v>82</v>
      </c>
      <c r="AQ234" t="s">
        <v>83</v>
      </c>
      <c r="AR234" s="3">
        <v>1.67</v>
      </c>
      <c r="AS234" s="4">
        <v>1727</v>
      </c>
      <c r="AT234" s="1">
        <v>1034</v>
      </c>
      <c r="AX234" s="3">
        <v>760082.18</v>
      </c>
      <c r="BB234" t="s">
        <v>84</v>
      </c>
      <c r="BD234" s="3">
        <v>1.64</v>
      </c>
      <c r="BE234" s="4">
        <v>1102</v>
      </c>
      <c r="BF234" s="1">
        <v>673</v>
      </c>
      <c r="BG234" s="1">
        <v>184</v>
      </c>
      <c r="BH234" s="1">
        <v>64</v>
      </c>
      <c r="BK234" t="s">
        <v>1979</v>
      </c>
      <c r="BL234" t="s">
        <v>365</v>
      </c>
    </row>
    <row r="235" spans="1:67" x14ac:dyDescent="0.25">
      <c r="A235" t="s">
        <v>366</v>
      </c>
      <c r="B235" t="s">
        <v>367</v>
      </c>
      <c r="C235" s="4">
        <f>(AA235*(H235*0.9))*12</f>
        <v>6098068.8000000007</v>
      </c>
      <c r="D235" s="4">
        <f>IF(C235=0,"",(H235*150*12)+C235)</f>
        <v>6900868.8000000007</v>
      </c>
      <c r="E235" s="4">
        <f>IFERROR(D235*0.5,"")</f>
        <v>3450434.4000000004</v>
      </c>
      <c r="F235" s="4">
        <f>IFERROR(E235/0.06,"")</f>
        <v>57507240.000000007</v>
      </c>
      <c r="G235" s="4">
        <f>IFERROR(F235/H235,"")</f>
        <v>128940.00000000001</v>
      </c>
      <c r="H235" s="1">
        <v>446</v>
      </c>
      <c r="I235" s="1">
        <v>1985</v>
      </c>
      <c r="J235" t="s">
        <v>64</v>
      </c>
      <c r="K235" t="s">
        <v>259</v>
      </c>
      <c r="L235" t="s">
        <v>368</v>
      </c>
      <c r="M235" t="s">
        <v>369</v>
      </c>
      <c r="N235" t="s">
        <v>370</v>
      </c>
      <c r="O235" t="s">
        <v>368</v>
      </c>
      <c r="P235" s="1">
        <v>4</v>
      </c>
      <c r="Q235" t="s">
        <v>91</v>
      </c>
      <c r="R235" t="s">
        <v>70</v>
      </c>
      <c r="S235" t="s">
        <v>71</v>
      </c>
      <c r="U235" t="s">
        <v>72</v>
      </c>
      <c r="V235" t="s">
        <v>152</v>
      </c>
      <c r="W235" t="s">
        <v>74</v>
      </c>
      <c r="X235" t="s">
        <v>371</v>
      </c>
      <c r="Y235" s="2">
        <v>859</v>
      </c>
      <c r="Z235" s="3">
        <v>1.47</v>
      </c>
      <c r="AA235" s="4">
        <v>1266</v>
      </c>
      <c r="AK235" s="5">
        <v>10.3139</v>
      </c>
      <c r="AM235" s="1">
        <v>2016</v>
      </c>
      <c r="AN235" s="1">
        <v>2</v>
      </c>
      <c r="AO235" t="s">
        <v>81</v>
      </c>
      <c r="AP235" t="s">
        <v>82</v>
      </c>
      <c r="AQ235" t="s">
        <v>83</v>
      </c>
      <c r="AR235" s="3">
        <v>1.36</v>
      </c>
      <c r="AS235" s="4">
        <v>1338</v>
      </c>
      <c r="AT235" s="1">
        <v>981</v>
      </c>
      <c r="AU235" s="3">
        <v>1.48</v>
      </c>
      <c r="AV235" s="4">
        <v>1978</v>
      </c>
      <c r="AW235" s="1">
        <v>1333</v>
      </c>
      <c r="AX235" s="3">
        <v>0</v>
      </c>
      <c r="BB235" t="s">
        <v>84</v>
      </c>
      <c r="BD235" s="3">
        <v>1.59</v>
      </c>
      <c r="BE235" s="4">
        <v>1126</v>
      </c>
      <c r="BF235" s="1">
        <v>710</v>
      </c>
      <c r="BG235" s="1">
        <v>236</v>
      </c>
      <c r="BH235" s="1">
        <v>182</v>
      </c>
      <c r="BI235" s="1">
        <v>28</v>
      </c>
      <c r="BK235" t="s">
        <v>372</v>
      </c>
      <c r="BL235" t="s">
        <v>104</v>
      </c>
    </row>
    <row r="236" spans="1:67" x14ac:dyDescent="0.25">
      <c r="A236" t="s">
        <v>475</v>
      </c>
      <c r="B236" t="s">
        <v>476</v>
      </c>
      <c r="C236" s="4">
        <f>(AA236*(H236*0.9))*12</f>
        <v>3721939.2</v>
      </c>
      <c r="D236" s="4">
        <f>IF(C236=0,"",(H236*150*12)+C236)</f>
        <v>4211539.2</v>
      </c>
      <c r="E236" s="4">
        <f>IFERROR(D236*0.5,"")</f>
        <v>2105769.6</v>
      </c>
      <c r="F236" s="4">
        <f>IFERROR(E236/0.06,"")</f>
        <v>35096160</v>
      </c>
      <c r="G236" s="4">
        <f>IFERROR(F236/H236,"")</f>
        <v>129030</v>
      </c>
      <c r="H236" s="1">
        <v>272</v>
      </c>
      <c r="I236" s="1">
        <v>1985</v>
      </c>
      <c r="J236" t="s">
        <v>64</v>
      </c>
      <c r="K236" t="s">
        <v>477</v>
      </c>
      <c r="L236" t="s">
        <v>478</v>
      </c>
      <c r="M236" t="s">
        <v>479</v>
      </c>
      <c r="O236" t="s">
        <v>478</v>
      </c>
      <c r="P236" s="1">
        <v>3</v>
      </c>
      <c r="Q236" t="s">
        <v>69</v>
      </c>
      <c r="R236" t="s">
        <v>70</v>
      </c>
      <c r="S236" t="s">
        <v>71</v>
      </c>
      <c r="U236" t="s">
        <v>72</v>
      </c>
      <c r="V236" t="s">
        <v>110</v>
      </c>
      <c r="W236" t="s">
        <v>74</v>
      </c>
      <c r="X236" t="s">
        <v>480</v>
      </c>
      <c r="Y236" s="2">
        <v>787</v>
      </c>
      <c r="Z236" s="3">
        <v>1.61</v>
      </c>
      <c r="AA236" s="4">
        <v>1267</v>
      </c>
      <c r="AK236" s="5">
        <v>10.661799999999999</v>
      </c>
      <c r="AN236" s="1">
        <v>2</v>
      </c>
      <c r="AO236" t="s">
        <v>81</v>
      </c>
      <c r="AP236" t="s">
        <v>82</v>
      </c>
      <c r="AQ236" t="s">
        <v>83</v>
      </c>
      <c r="AR236" s="3">
        <v>1.5</v>
      </c>
      <c r="AS236" s="4">
        <v>1379</v>
      </c>
      <c r="AT236" s="1">
        <v>921</v>
      </c>
      <c r="AU236" s="3">
        <v>1.59</v>
      </c>
      <c r="AV236" s="4">
        <v>1716</v>
      </c>
      <c r="AW236" s="1">
        <v>1082</v>
      </c>
      <c r="AX236" s="3">
        <v>0</v>
      </c>
      <c r="BB236" t="s">
        <v>84</v>
      </c>
      <c r="BD236" s="3">
        <v>1.74</v>
      </c>
      <c r="BE236" s="4">
        <v>1131</v>
      </c>
      <c r="BF236" s="1">
        <v>650</v>
      </c>
      <c r="BG236" s="1">
        <v>144</v>
      </c>
      <c r="BH236" s="1">
        <v>112</v>
      </c>
      <c r="BI236" s="1">
        <v>16</v>
      </c>
      <c r="BL236" t="s">
        <v>131</v>
      </c>
    </row>
    <row r="237" spans="1:67" x14ac:dyDescent="0.25">
      <c r="A237" t="s">
        <v>1052</v>
      </c>
      <c r="B237" t="s">
        <v>1053</v>
      </c>
      <c r="C237" s="4">
        <f>(AA237*(H237*0.9))*12</f>
        <v>3450988.8000000003</v>
      </c>
      <c r="D237" s="4">
        <f>IF(C237=0,"",(H237*150*12)+C237)</f>
        <v>3904588.8000000003</v>
      </c>
      <c r="E237" s="4">
        <f>IFERROR(D237*0.5,"")</f>
        <v>1952294.4000000001</v>
      </c>
      <c r="F237" s="4">
        <f>IFERROR(E237/0.06,"")</f>
        <v>32538240.000000004</v>
      </c>
      <c r="G237" s="4">
        <f>IFERROR(F237/H237,"")</f>
        <v>129120.00000000001</v>
      </c>
      <c r="H237" s="1">
        <v>252</v>
      </c>
      <c r="I237" s="1">
        <v>1985</v>
      </c>
      <c r="J237" t="s">
        <v>64</v>
      </c>
      <c r="K237" t="s">
        <v>156</v>
      </c>
      <c r="L237" t="s">
        <v>552</v>
      </c>
      <c r="M237" t="s">
        <v>1054</v>
      </c>
      <c r="N237" t="s">
        <v>1055</v>
      </c>
      <c r="O237" t="s">
        <v>552</v>
      </c>
      <c r="P237" s="1">
        <v>3</v>
      </c>
      <c r="Q237" t="s">
        <v>69</v>
      </c>
      <c r="R237" t="s">
        <v>70</v>
      </c>
      <c r="S237" t="s">
        <v>71</v>
      </c>
      <c r="U237" t="s">
        <v>72</v>
      </c>
      <c r="V237" t="s">
        <v>73</v>
      </c>
      <c r="W237" t="s">
        <v>74</v>
      </c>
      <c r="X237" t="s">
        <v>342</v>
      </c>
      <c r="Y237" s="2">
        <v>695</v>
      </c>
      <c r="Z237" s="3">
        <v>1.82</v>
      </c>
      <c r="AA237" s="4">
        <v>1268</v>
      </c>
      <c r="AK237" s="5">
        <v>9.1270000000000007</v>
      </c>
      <c r="AN237" s="1">
        <v>3</v>
      </c>
      <c r="AO237" t="s">
        <v>81</v>
      </c>
      <c r="AP237" t="s">
        <v>82</v>
      </c>
      <c r="AQ237" t="s">
        <v>83</v>
      </c>
      <c r="AR237" s="3">
        <v>1.7</v>
      </c>
      <c r="AS237" s="4">
        <v>1653</v>
      </c>
      <c r="AT237" s="1">
        <v>973</v>
      </c>
      <c r="AX237" s="3">
        <v>714650.85</v>
      </c>
      <c r="BB237" t="s">
        <v>84</v>
      </c>
      <c r="BD237" s="3">
        <v>1.88</v>
      </c>
      <c r="BE237" s="4">
        <v>1161</v>
      </c>
      <c r="BF237" s="1">
        <v>619</v>
      </c>
      <c r="BG237" s="1">
        <v>197</v>
      </c>
      <c r="BH237" s="1">
        <v>55</v>
      </c>
    </row>
    <row r="238" spans="1:67" x14ac:dyDescent="0.25">
      <c r="A238" t="s">
        <v>788</v>
      </c>
      <c r="B238" t="s">
        <v>789</v>
      </c>
      <c r="C238" s="4">
        <f>(AA238*(H238*0.9))*12</f>
        <v>4015623.5999999996</v>
      </c>
      <c r="D238" s="4">
        <f>IF(C238=0,"",(H238*150*12)+C238)</f>
        <v>4543023.5999999996</v>
      </c>
      <c r="E238" s="4">
        <f>IFERROR(D238*0.5,"")</f>
        <v>2271511.7999999998</v>
      </c>
      <c r="F238" s="4">
        <f>IFERROR(E238/0.06,"")</f>
        <v>37858530</v>
      </c>
      <c r="G238" s="4">
        <f>IFERROR(F238/H238,"")</f>
        <v>129210</v>
      </c>
      <c r="H238" s="1">
        <v>293</v>
      </c>
      <c r="I238" s="1">
        <v>1987</v>
      </c>
      <c r="J238" t="s">
        <v>64</v>
      </c>
      <c r="K238" t="s">
        <v>156</v>
      </c>
      <c r="L238" t="s">
        <v>790</v>
      </c>
      <c r="M238" t="s">
        <v>791</v>
      </c>
      <c r="N238" t="s">
        <v>792</v>
      </c>
      <c r="O238" t="s">
        <v>790</v>
      </c>
      <c r="P238" s="1">
        <v>4</v>
      </c>
      <c r="Q238" t="s">
        <v>91</v>
      </c>
      <c r="R238" t="s">
        <v>70</v>
      </c>
      <c r="S238" t="s">
        <v>71</v>
      </c>
      <c r="U238" t="s">
        <v>72</v>
      </c>
      <c r="V238" t="s">
        <v>73</v>
      </c>
      <c r="W238" t="s">
        <v>74</v>
      </c>
      <c r="X238" t="s">
        <v>342</v>
      </c>
      <c r="Y238" s="2">
        <v>620</v>
      </c>
      <c r="Z238" s="3">
        <v>2.0499999999999998</v>
      </c>
      <c r="AA238" s="4">
        <v>1269</v>
      </c>
      <c r="AK238" s="5">
        <v>7.5084999999999997</v>
      </c>
      <c r="AM238" s="1">
        <v>2019</v>
      </c>
      <c r="AN238" s="1">
        <v>3</v>
      </c>
      <c r="AO238" t="s">
        <v>81</v>
      </c>
      <c r="AP238" t="s">
        <v>82</v>
      </c>
      <c r="AQ238" t="s">
        <v>83</v>
      </c>
      <c r="AR238" s="3">
        <v>1.83</v>
      </c>
      <c r="AS238" s="4">
        <v>1518</v>
      </c>
      <c r="AT238" s="1">
        <v>830</v>
      </c>
      <c r="AX238" s="3">
        <v>521762.17</v>
      </c>
      <c r="BB238" t="s">
        <v>84</v>
      </c>
      <c r="BD238" s="3">
        <v>2.15</v>
      </c>
      <c r="BE238" s="4">
        <v>1188</v>
      </c>
      <c r="BF238" s="1">
        <v>552</v>
      </c>
      <c r="BG238" s="1">
        <v>221</v>
      </c>
      <c r="BH238" s="1">
        <v>72</v>
      </c>
    </row>
    <row r="239" spans="1:67" x14ac:dyDescent="0.25">
      <c r="A239" t="s">
        <v>2740</v>
      </c>
      <c r="B239" t="s">
        <v>2741</v>
      </c>
      <c r="C239" s="4">
        <f>(AA239*(H239*0.9))*12</f>
        <v>904543.2</v>
      </c>
      <c r="D239" s="4">
        <f>IF(C239=0,"",(H239*150*12)+C239)</f>
        <v>1023343.2</v>
      </c>
      <c r="E239" s="4">
        <f>IFERROR(D239*0.5,"")</f>
        <v>511671.6</v>
      </c>
      <c r="F239" s="4">
        <f>IFERROR(E239/0.06,"")</f>
        <v>8527860</v>
      </c>
      <c r="G239" s="4">
        <f>IFERROR(F239/H239,"")</f>
        <v>129210</v>
      </c>
      <c r="H239" s="1">
        <v>66</v>
      </c>
      <c r="I239" s="1">
        <v>1997</v>
      </c>
      <c r="J239" t="s">
        <v>64</v>
      </c>
      <c r="K239" t="s">
        <v>114</v>
      </c>
      <c r="L239" t="s">
        <v>2742</v>
      </c>
      <c r="M239" t="s">
        <v>2743</v>
      </c>
      <c r="N239" t="s">
        <v>2744</v>
      </c>
      <c r="O239" t="s">
        <v>2742</v>
      </c>
      <c r="P239" s="1">
        <v>2</v>
      </c>
      <c r="Q239" t="s">
        <v>69</v>
      </c>
      <c r="R239" t="s">
        <v>70</v>
      </c>
      <c r="S239" t="s">
        <v>71</v>
      </c>
      <c r="T239" t="s">
        <v>118</v>
      </c>
      <c r="U239" t="s">
        <v>72</v>
      </c>
      <c r="V239" t="s">
        <v>917</v>
      </c>
      <c r="W239" t="s">
        <v>74</v>
      </c>
      <c r="X239" t="s">
        <v>918</v>
      </c>
      <c r="Y239" s="2">
        <v>1341</v>
      </c>
      <c r="Z239" s="3">
        <v>0.95</v>
      </c>
      <c r="AA239" s="4">
        <v>1269</v>
      </c>
      <c r="AK239" s="5">
        <v>4.5454999999999997</v>
      </c>
      <c r="AN239" s="1">
        <v>1</v>
      </c>
      <c r="AO239" t="s">
        <v>81</v>
      </c>
      <c r="AP239" t="s">
        <v>82</v>
      </c>
      <c r="AQ239" t="s">
        <v>83</v>
      </c>
      <c r="AX239" s="3">
        <v>1079.2</v>
      </c>
      <c r="BB239" t="s">
        <v>84</v>
      </c>
      <c r="BJ239" s="1">
        <v>66</v>
      </c>
      <c r="BM239" s="3">
        <v>0.95</v>
      </c>
      <c r="BN239" s="4">
        <v>1269</v>
      </c>
      <c r="BO239" s="1">
        <v>1341</v>
      </c>
    </row>
    <row r="240" spans="1:67" x14ac:dyDescent="0.25">
      <c r="A240" t="s">
        <v>3318</v>
      </c>
      <c r="B240" t="s">
        <v>3319</v>
      </c>
      <c r="C240" s="4">
        <f>(AA240*(H240*0.9))*12</f>
        <v>986774.39999999991</v>
      </c>
      <c r="D240" s="4">
        <f>IF(C240=0,"",(H240*150*12)+C240)</f>
        <v>1116374.3999999999</v>
      </c>
      <c r="E240" s="4">
        <f>IFERROR(D240*0.5,"")</f>
        <v>558187.19999999995</v>
      </c>
      <c r="F240" s="4">
        <f>IFERROR(E240/0.06,"")</f>
        <v>9303120</v>
      </c>
      <c r="G240" s="4">
        <f>IFERROR(F240/H240,"")</f>
        <v>129210</v>
      </c>
      <c r="H240" s="1">
        <v>72</v>
      </c>
      <c r="I240" s="1">
        <v>1999</v>
      </c>
      <c r="J240" t="s">
        <v>64</v>
      </c>
      <c r="K240" t="s">
        <v>943</v>
      </c>
      <c r="L240" t="s">
        <v>3320</v>
      </c>
      <c r="M240" t="s">
        <v>3321</v>
      </c>
      <c r="N240" t="s">
        <v>3322</v>
      </c>
      <c r="O240" t="s">
        <v>3320</v>
      </c>
      <c r="P240" s="1">
        <v>3</v>
      </c>
      <c r="Q240" t="s">
        <v>91</v>
      </c>
      <c r="R240" t="s">
        <v>70</v>
      </c>
      <c r="S240" t="s">
        <v>71</v>
      </c>
      <c r="T240" t="s">
        <v>118</v>
      </c>
      <c r="U240" t="s">
        <v>72</v>
      </c>
      <c r="V240" t="s">
        <v>3323</v>
      </c>
      <c r="W240" t="s">
        <v>74</v>
      </c>
      <c r="X240" t="s">
        <v>3324</v>
      </c>
      <c r="Y240" s="2">
        <v>982</v>
      </c>
      <c r="Z240" s="3">
        <v>1.29</v>
      </c>
      <c r="AA240" s="4">
        <v>1269</v>
      </c>
      <c r="AK240" s="5">
        <v>5.5556000000000001</v>
      </c>
      <c r="AN240" s="1">
        <v>1</v>
      </c>
      <c r="AO240" t="s">
        <v>81</v>
      </c>
      <c r="AP240" t="s">
        <v>82</v>
      </c>
      <c r="AQ240" t="s">
        <v>83</v>
      </c>
      <c r="AR240" s="3">
        <v>1.3</v>
      </c>
      <c r="AS240" s="4">
        <v>1296</v>
      </c>
      <c r="AT240" s="1">
        <v>996</v>
      </c>
      <c r="AU240" s="3">
        <v>1.1299999999999999</v>
      </c>
      <c r="AV240" s="4">
        <v>1296</v>
      </c>
      <c r="AW240" s="1">
        <v>1149</v>
      </c>
      <c r="AX240" s="3">
        <v>52200.44</v>
      </c>
      <c r="BB240" t="s">
        <v>84</v>
      </c>
      <c r="BD240" s="3">
        <v>1.57</v>
      </c>
      <c r="BE240" s="4">
        <v>1188</v>
      </c>
      <c r="BF240" s="1">
        <v>755</v>
      </c>
      <c r="BG240" s="1">
        <v>18</v>
      </c>
      <c r="BH240" s="1">
        <v>32</v>
      </c>
      <c r="BI240" s="1">
        <v>22</v>
      </c>
      <c r="BK240" t="s">
        <v>579</v>
      </c>
      <c r="BL240" t="s">
        <v>104</v>
      </c>
    </row>
    <row r="241" spans="1:67" x14ac:dyDescent="0.25">
      <c r="A241" t="s">
        <v>4139</v>
      </c>
      <c r="B241" t="s">
        <v>4140</v>
      </c>
      <c r="C241" s="4">
        <f>(AA241*(H241*0.9))*12</f>
        <v>4029328.8000000003</v>
      </c>
      <c r="D241" s="4">
        <f>IF(C241=0,"",(H241*150*12)+C241)</f>
        <v>4558528.8000000007</v>
      </c>
      <c r="E241" s="4">
        <f>IFERROR(D241*0.5,"")</f>
        <v>2279264.4000000004</v>
      </c>
      <c r="F241" s="4">
        <f>IFERROR(E241/0.06,"")</f>
        <v>37987740.000000007</v>
      </c>
      <c r="G241" s="4">
        <f>IFERROR(F241/H241,"")</f>
        <v>129210.00000000003</v>
      </c>
      <c r="H241" s="1">
        <v>294</v>
      </c>
      <c r="I241" s="1">
        <v>1994</v>
      </c>
      <c r="J241" t="s">
        <v>64</v>
      </c>
      <c r="K241" t="s">
        <v>269</v>
      </c>
      <c r="L241" t="s">
        <v>4141</v>
      </c>
      <c r="M241" t="s">
        <v>4142</v>
      </c>
      <c r="N241" t="s">
        <v>4143</v>
      </c>
      <c r="O241" t="s">
        <v>4141</v>
      </c>
      <c r="P241" s="1">
        <v>3</v>
      </c>
      <c r="Q241" t="s">
        <v>91</v>
      </c>
      <c r="R241" t="s">
        <v>70</v>
      </c>
      <c r="S241" t="s">
        <v>71</v>
      </c>
      <c r="U241" t="s">
        <v>72</v>
      </c>
      <c r="V241" t="s">
        <v>73</v>
      </c>
      <c r="W241" t="s">
        <v>74</v>
      </c>
      <c r="X241" t="s">
        <v>4144</v>
      </c>
      <c r="Y241" s="2">
        <v>868</v>
      </c>
      <c r="Z241" s="3">
        <v>1.46</v>
      </c>
      <c r="AA241" s="4">
        <v>1269</v>
      </c>
      <c r="AK241" s="5">
        <v>9.1837</v>
      </c>
      <c r="AN241" s="1">
        <v>2</v>
      </c>
      <c r="AO241" t="s">
        <v>81</v>
      </c>
      <c r="AP241" t="s">
        <v>82</v>
      </c>
      <c r="AQ241" t="s">
        <v>83</v>
      </c>
      <c r="AR241" s="3">
        <v>1.41</v>
      </c>
      <c r="AS241" s="4">
        <v>1436</v>
      </c>
      <c r="AT241" s="1">
        <v>1022</v>
      </c>
      <c r="AU241" s="3">
        <v>1.34</v>
      </c>
      <c r="AV241" s="4">
        <v>2007</v>
      </c>
      <c r="AW241" s="1">
        <v>1495</v>
      </c>
      <c r="AX241" s="3">
        <v>1014703.62</v>
      </c>
      <c r="BB241" t="s">
        <v>84</v>
      </c>
      <c r="BD241" s="3">
        <v>1.53</v>
      </c>
      <c r="BE241" s="4">
        <v>1093</v>
      </c>
      <c r="BF241" s="1">
        <v>715</v>
      </c>
      <c r="BG241" s="1">
        <v>190</v>
      </c>
      <c r="BH241" s="1">
        <v>76</v>
      </c>
      <c r="BI241" s="1">
        <v>28</v>
      </c>
      <c r="BK241" t="s">
        <v>322</v>
      </c>
      <c r="BL241" t="s">
        <v>104</v>
      </c>
    </row>
    <row r="242" spans="1:67" x14ac:dyDescent="0.25">
      <c r="A242" t="s">
        <v>1817</v>
      </c>
      <c r="B242" t="s">
        <v>1818</v>
      </c>
      <c r="C242" s="4">
        <f>(AA242*(H242*0.9))*12</f>
        <v>836676</v>
      </c>
      <c r="D242" s="4">
        <f>IF(C242=0,"",(H242*150*12)+C242)</f>
        <v>946476</v>
      </c>
      <c r="E242" s="4">
        <f>IFERROR(D242*0.5,"")</f>
        <v>473238</v>
      </c>
      <c r="F242" s="4">
        <f>IFERROR(E242/0.06,"")</f>
        <v>7887300</v>
      </c>
      <c r="G242" s="4">
        <f>IFERROR(F242/H242,"")</f>
        <v>129300</v>
      </c>
      <c r="H242" s="1">
        <v>61</v>
      </c>
      <c r="I242" s="1">
        <v>1986</v>
      </c>
      <c r="J242" t="s">
        <v>64</v>
      </c>
      <c r="K242" t="s">
        <v>148</v>
      </c>
      <c r="L242" t="s">
        <v>1819</v>
      </c>
      <c r="M242" t="s">
        <v>1820</v>
      </c>
      <c r="N242" t="s">
        <v>1821</v>
      </c>
      <c r="O242" t="s">
        <v>1819</v>
      </c>
      <c r="P242" s="1">
        <v>2</v>
      </c>
      <c r="Q242" t="s">
        <v>69</v>
      </c>
      <c r="R242" t="s">
        <v>70</v>
      </c>
      <c r="S242" t="s">
        <v>71</v>
      </c>
      <c r="U242" t="s">
        <v>72</v>
      </c>
      <c r="V242" t="s">
        <v>152</v>
      </c>
      <c r="W242" t="s">
        <v>74</v>
      </c>
      <c r="X242" t="s">
        <v>1822</v>
      </c>
      <c r="Y242" s="2">
        <v>875</v>
      </c>
      <c r="Z242" s="3">
        <v>1.45</v>
      </c>
      <c r="AA242" s="4">
        <v>1270</v>
      </c>
      <c r="AN242" s="1">
        <v>2</v>
      </c>
      <c r="AO242" t="s">
        <v>81</v>
      </c>
      <c r="AP242" t="s">
        <v>82</v>
      </c>
      <c r="AQ242" t="s">
        <v>83</v>
      </c>
      <c r="AR242" s="3">
        <v>1.37</v>
      </c>
      <c r="AS242" s="4">
        <v>1347</v>
      </c>
      <c r="AT242" s="1">
        <v>983</v>
      </c>
      <c r="AU242" s="3">
        <v>1.43</v>
      </c>
      <c r="AV242" s="4">
        <v>1575</v>
      </c>
      <c r="AW242" s="1">
        <v>1100</v>
      </c>
      <c r="AX242" s="3">
        <v>123413.4</v>
      </c>
      <c r="BB242" t="s">
        <v>84</v>
      </c>
      <c r="BD242" s="3">
        <v>1.67</v>
      </c>
      <c r="BE242" s="4">
        <v>1000</v>
      </c>
      <c r="BF242" s="1">
        <v>598</v>
      </c>
      <c r="BG242" s="1">
        <v>20</v>
      </c>
      <c r="BH242" s="1">
        <v>31</v>
      </c>
      <c r="BI242" s="1">
        <v>10</v>
      </c>
      <c r="BL242" t="s">
        <v>744</v>
      </c>
    </row>
    <row r="243" spans="1:67" x14ac:dyDescent="0.25">
      <c r="A243" t="s">
        <v>1903</v>
      </c>
      <c r="B243" t="s">
        <v>1904</v>
      </c>
      <c r="C243" s="4">
        <f>(AA243*(H243*0.9))*12</f>
        <v>2057400</v>
      </c>
      <c r="D243" s="4">
        <f>IF(C243=0,"",(H243*150*12)+C243)</f>
        <v>2327400</v>
      </c>
      <c r="E243" s="4">
        <f>IFERROR(D243*0.5,"")</f>
        <v>1163700</v>
      </c>
      <c r="F243" s="4">
        <f>IFERROR(E243/0.06,"")</f>
        <v>19395000</v>
      </c>
      <c r="G243" s="4">
        <f>IFERROR(F243/H243,"")</f>
        <v>129300</v>
      </c>
      <c r="H243" s="1">
        <v>150</v>
      </c>
      <c r="I243" s="1">
        <v>1985</v>
      </c>
      <c r="J243" t="s">
        <v>64</v>
      </c>
      <c r="K243" t="s">
        <v>123</v>
      </c>
      <c r="L243" t="s">
        <v>763</v>
      </c>
      <c r="M243" t="s">
        <v>1905</v>
      </c>
      <c r="N243" t="s">
        <v>1906</v>
      </c>
      <c r="O243" t="s">
        <v>763</v>
      </c>
      <c r="P243" s="1">
        <v>3</v>
      </c>
      <c r="Q243" t="s">
        <v>91</v>
      </c>
      <c r="R243" t="s">
        <v>70</v>
      </c>
      <c r="S243" t="s">
        <v>71</v>
      </c>
      <c r="U243" t="s">
        <v>72</v>
      </c>
      <c r="V243" t="s">
        <v>129</v>
      </c>
      <c r="W243" t="s">
        <v>74</v>
      </c>
      <c r="X243" t="s">
        <v>1907</v>
      </c>
      <c r="Y243" s="2">
        <v>799</v>
      </c>
      <c r="Z243" s="3">
        <v>1.59</v>
      </c>
      <c r="AA243" s="4">
        <v>1270</v>
      </c>
      <c r="AK243" s="5">
        <v>7.3333000000000004</v>
      </c>
      <c r="AL243" s="1">
        <v>3</v>
      </c>
      <c r="AM243" s="1">
        <v>2014</v>
      </c>
      <c r="AN243" s="1">
        <v>2</v>
      </c>
      <c r="AO243" t="s">
        <v>81</v>
      </c>
      <c r="AP243" t="s">
        <v>82</v>
      </c>
      <c r="AQ243" t="s">
        <v>83</v>
      </c>
      <c r="AR243" s="3">
        <v>1.54</v>
      </c>
      <c r="AS243" s="4">
        <v>1431</v>
      </c>
      <c r="AT243" s="1">
        <v>929</v>
      </c>
      <c r="AX243" s="3">
        <v>350805.11</v>
      </c>
      <c r="BB243" t="s">
        <v>84</v>
      </c>
      <c r="BD243" s="3">
        <v>1.63</v>
      </c>
      <c r="BE243" s="4">
        <v>1150</v>
      </c>
      <c r="BF243" s="1">
        <v>704</v>
      </c>
      <c r="BG243" s="1">
        <v>86</v>
      </c>
      <c r="BH243" s="1">
        <v>64</v>
      </c>
    </row>
    <row r="244" spans="1:67" x14ac:dyDescent="0.25">
      <c r="A244" t="s">
        <v>2347</v>
      </c>
      <c r="B244" t="s">
        <v>2348</v>
      </c>
      <c r="C244" s="4">
        <f>(AA244*(H244*0.9))*12</f>
        <v>3568968</v>
      </c>
      <c r="D244" s="4">
        <f>IF(C244=0,"",(H244*150*12)+C244)</f>
        <v>4036968</v>
      </c>
      <c r="E244" s="4">
        <f>IFERROR(D244*0.5,"")</f>
        <v>2018484</v>
      </c>
      <c r="F244" s="4">
        <f>IFERROR(E244/0.06,"")</f>
        <v>33641400</v>
      </c>
      <c r="G244" s="4">
        <f>IFERROR(F244/H244,"")</f>
        <v>129390</v>
      </c>
      <c r="H244" s="1">
        <v>260</v>
      </c>
      <c r="I244" s="1">
        <v>1997</v>
      </c>
      <c r="J244" t="s">
        <v>64</v>
      </c>
      <c r="K244" t="s">
        <v>660</v>
      </c>
      <c r="L244" t="s">
        <v>2349</v>
      </c>
      <c r="M244" t="s">
        <v>2350</v>
      </c>
      <c r="N244" t="s">
        <v>2351</v>
      </c>
      <c r="O244" t="s">
        <v>2349</v>
      </c>
      <c r="P244" s="1">
        <v>3</v>
      </c>
      <c r="Q244" t="s">
        <v>91</v>
      </c>
      <c r="R244" t="s">
        <v>70</v>
      </c>
      <c r="S244" t="s">
        <v>71</v>
      </c>
      <c r="U244" t="s">
        <v>72</v>
      </c>
      <c r="V244" t="s">
        <v>664</v>
      </c>
      <c r="W244" t="s">
        <v>74</v>
      </c>
      <c r="X244" t="s">
        <v>2352</v>
      </c>
      <c r="Y244" s="2">
        <v>873</v>
      </c>
      <c r="Z244" s="3">
        <v>1.46</v>
      </c>
      <c r="AA244" s="4">
        <v>1271</v>
      </c>
      <c r="AK244" s="5">
        <v>7.3076999999999996</v>
      </c>
      <c r="AN244" s="1">
        <v>2</v>
      </c>
      <c r="AO244" t="s">
        <v>81</v>
      </c>
      <c r="AP244" t="s">
        <v>82</v>
      </c>
      <c r="AQ244" t="s">
        <v>83</v>
      </c>
      <c r="AR244" s="3">
        <v>1.45</v>
      </c>
      <c r="AS244" s="4">
        <v>1346</v>
      </c>
      <c r="AT244" s="1">
        <v>929</v>
      </c>
      <c r="AX244" s="3">
        <v>633340.79</v>
      </c>
      <c r="BB244" t="s">
        <v>84</v>
      </c>
      <c r="BD244" s="3">
        <v>1.48</v>
      </c>
      <c r="BE244" s="4">
        <v>1042</v>
      </c>
      <c r="BF244" s="1">
        <v>702</v>
      </c>
      <c r="BG244" s="1">
        <v>64</v>
      </c>
      <c r="BH244" s="1">
        <v>196</v>
      </c>
      <c r="BK244" t="s">
        <v>322</v>
      </c>
      <c r="BL244" t="s">
        <v>104</v>
      </c>
    </row>
    <row r="245" spans="1:67" x14ac:dyDescent="0.25">
      <c r="A245" t="s">
        <v>857</v>
      </c>
      <c r="B245" t="s">
        <v>858</v>
      </c>
      <c r="C245" s="4">
        <f>(AA245*(H245*0.9))*12</f>
        <v>1538611.2</v>
      </c>
      <c r="D245" s="4">
        <f>IF(C245=0,"",(H245*150*12)+C245)</f>
        <v>1740211.2</v>
      </c>
      <c r="E245" s="4">
        <f>IFERROR(D245*0.5,"")</f>
        <v>870105.59999999998</v>
      </c>
      <c r="F245" s="4">
        <f>IFERROR(E245/0.06,"")</f>
        <v>14501760</v>
      </c>
      <c r="G245" s="4">
        <f>IFERROR(F245/H245,"")</f>
        <v>129480</v>
      </c>
      <c r="H245" s="1">
        <v>112</v>
      </c>
      <c r="I245" s="1">
        <v>1987</v>
      </c>
      <c r="J245" t="s">
        <v>64</v>
      </c>
      <c r="K245" t="s">
        <v>156</v>
      </c>
      <c r="L245" t="s">
        <v>859</v>
      </c>
      <c r="M245" t="s">
        <v>860</v>
      </c>
      <c r="N245" t="s">
        <v>861</v>
      </c>
      <c r="O245" t="s">
        <v>859</v>
      </c>
      <c r="P245" s="1">
        <v>3</v>
      </c>
      <c r="Q245" t="s">
        <v>69</v>
      </c>
      <c r="R245" t="s">
        <v>70</v>
      </c>
      <c r="S245" t="s">
        <v>71</v>
      </c>
      <c r="U245" t="s">
        <v>72</v>
      </c>
      <c r="V245" t="s">
        <v>862</v>
      </c>
      <c r="W245" t="s">
        <v>74</v>
      </c>
      <c r="X245" t="s">
        <v>863</v>
      </c>
      <c r="Y245" s="2">
        <v>803</v>
      </c>
      <c r="Z245" s="3">
        <v>1.58</v>
      </c>
      <c r="AA245" s="4">
        <v>1272</v>
      </c>
      <c r="AK245" s="5">
        <v>8.9285999999999994</v>
      </c>
      <c r="AN245" s="1">
        <v>2</v>
      </c>
      <c r="AO245" t="s">
        <v>81</v>
      </c>
      <c r="AP245" t="s">
        <v>82</v>
      </c>
      <c r="AQ245" t="s">
        <v>83</v>
      </c>
      <c r="AR245" s="3">
        <v>1.55</v>
      </c>
      <c r="AS245" s="4">
        <v>1315</v>
      </c>
      <c r="AT245" s="1">
        <v>850</v>
      </c>
      <c r="AU245" s="3">
        <v>1.48</v>
      </c>
      <c r="AV245" s="4">
        <v>1404</v>
      </c>
      <c r="AW245" s="1">
        <v>950</v>
      </c>
      <c r="AX245" s="3">
        <v>235332.52</v>
      </c>
      <c r="AY245" s="3">
        <v>1.94</v>
      </c>
      <c r="AZ245" s="4">
        <v>1021</v>
      </c>
      <c r="BA245" s="6">
        <v>525</v>
      </c>
      <c r="BB245" t="s">
        <v>84</v>
      </c>
      <c r="BD245" s="3">
        <v>1.74</v>
      </c>
      <c r="BE245" s="4">
        <v>1134</v>
      </c>
      <c r="BF245" s="1">
        <v>650</v>
      </c>
      <c r="BG245" s="1">
        <v>16</v>
      </c>
      <c r="BH245" s="1">
        <v>48</v>
      </c>
      <c r="BI245" s="1">
        <v>32</v>
      </c>
      <c r="BK245" t="s">
        <v>261</v>
      </c>
      <c r="BL245" t="s">
        <v>104</v>
      </c>
    </row>
    <row r="246" spans="1:67" x14ac:dyDescent="0.25">
      <c r="A246" t="s">
        <v>4281</v>
      </c>
      <c r="B246" t="s">
        <v>4282</v>
      </c>
      <c r="C246" s="4">
        <f>(AA246*(H246*0.9))*12</f>
        <v>1154865.6000000001</v>
      </c>
      <c r="D246" s="4">
        <f>IF(C246=0,"",(H246*150*12)+C246)</f>
        <v>1306065.6000000001</v>
      </c>
      <c r="E246" s="4">
        <f>IFERROR(D246*0.5,"")</f>
        <v>653032.80000000005</v>
      </c>
      <c r="F246" s="4">
        <f>IFERROR(E246/0.06,"")</f>
        <v>10883880.000000002</v>
      </c>
      <c r="G246" s="4">
        <f>IFERROR(F246/H246,"")</f>
        <v>129570.00000000003</v>
      </c>
      <c r="H246" s="1">
        <v>84</v>
      </c>
      <c r="I246" s="1">
        <v>1996</v>
      </c>
      <c r="J246" t="s">
        <v>64</v>
      </c>
      <c r="K246" t="s">
        <v>114</v>
      </c>
      <c r="L246" t="s">
        <v>4283</v>
      </c>
      <c r="M246" t="s">
        <v>4284</v>
      </c>
      <c r="N246" t="s">
        <v>4285</v>
      </c>
      <c r="O246" t="s">
        <v>4283</v>
      </c>
      <c r="P246" s="1">
        <v>3</v>
      </c>
      <c r="Q246" t="s">
        <v>69</v>
      </c>
      <c r="R246" t="s">
        <v>70</v>
      </c>
      <c r="S246" t="s">
        <v>71</v>
      </c>
      <c r="U246" t="s">
        <v>72</v>
      </c>
      <c r="V246" t="s">
        <v>917</v>
      </c>
      <c r="W246" t="s">
        <v>74</v>
      </c>
      <c r="X246" t="s">
        <v>4286</v>
      </c>
      <c r="Y246" s="2">
        <v>644</v>
      </c>
      <c r="Z246" s="3">
        <v>1.98</v>
      </c>
      <c r="AA246" s="4">
        <v>1273</v>
      </c>
      <c r="AK246" s="5">
        <v>15.4762</v>
      </c>
      <c r="AN246" s="1">
        <v>2</v>
      </c>
      <c r="AO246" t="s">
        <v>81</v>
      </c>
      <c r="AP246" t="s">
        <v>82</v>
      </c>
      <c r="AQ246" t="s">
        <v>83</v>
      </c>
      <c r="AR246" s="3">
        <v>1.8</v>
      </c>
      <c r="AS246" s="4">
        <v>1487</v>
      </c>
      <c r="AT246" s="1">
        <v>825</v>
      </c>
      <c r="AX246" s="3">
        <v>163642.59</v>
      </c>
      <c r="BB246" t="s">
        <v>84</v>
      </c>
      <c r="BD246" s="3">
        <v>2.1</v>
      </c>
      <c r="BE246" s="4">
        <v>1167</v>
      </c>
      <c r="BF246" s="1">
        <v>555</v>
      </c>
      <c r="BG246" s="1">
        <v>56</v>
      </c>
      <c r="BH246" s="1">
        <v>28</v>
      </c>
      <c r="BL246" t="s">
        <v>131</v>
      </c>
    </row>
    <row r="247" spans="1:67" x14ac:dyDescent="0.25">
      <c r="A247" t="s">
        <v>1347</v>
      </c>
      <c r="B247" t="s">
        <v>1348</v>
      </c>
      <c r="C247" s="4">
        <f>(AA247*(H247*0.9))*12</f>
        <v>5356530</v>
      </c>
      <c r="D247" s="4">
        <f>IF(C247=0,"",(H247*150*12)+C247)</f>
        <v>6056730</v>
      </c>
      <c r="E247" s="4">
        <f>IFERROR(D247*0.5,"")</f>
        <v>3028365</v>
      </c>
      <c r="F247" s="4">
        <f>IFERROR(E247/0.06,"")</f>
        <v>50472750</v>
      </c>
      <c r="G247" s="4">
        <f>IFERROR(F247/H247,"")</f>
        <v>129750</v>
      </c>
      <c r="H247" s="1">
        <v>389</v>
      </c>
      <c r="I247" s="1">
        <v>1986</v>
      </c>
      <c r="J247" t="s">
        <v>64</v>
      </c>
      <c r="K247" t="s">
        <v>140</v>
      </c>
      <c r="L247" t="s">
        <v>478</v>
      </c>
      <c r="M247" t="s">
        <v>1349</v>
      </c>
      <c r="N247" t="s">
        <v>1350</v>
      </c>
      <c r="O247" t="s">
        <v>478</v>
      </c>
      <c r="P247" s="1">
        <v>3</v>
      </c>
      <c r="Q247" t="s">
        <v>69</v>
      </c>
      <c r="R247" t="s">
        <v>70</v>
      </c>
      <c r="S247" t="s">
        <v>71</v>
      </c>
      <c r="T247" t="s">
        <v>128</v>
      </c>
      <c r="U247" t="s">
        <v>72</v>
      </c>
      <c r="V247" t="s">
        <v>140</v>
      </c>
      <c r="W247" t="s">
        <v>74</v>
      </c>
      <c r="X247" t="s">
        <v>1351</v>
      </c>
      <c r="Y247" s="2">
        <v>833</v>
      </c>
      <c r="Z247" s="3">
        <v>1.53</v>
      </c>
      <c r="AA247" s="4">
        <v>1275</v>
      </c>
      <c r="AK247" s="5">
        <v>11.3111</v>
      </c>
      <c r="AN247" s="1">
        <v>2</v>
      </c>
      <c r="AO247" t="s">
        <v>81</v>
      </c>
      <c r="AP247" t="s">
        <v>82</v>
      </c>
      <c r="AQ247" t="s">
        <v>83</v>
      </c>
      <c r="AR247" s="3">
        <v>1.55</v>
      </c>
      <c r="AS247" s="4">
        <v>1620</v>
      </c>
      <c r="AT247" s="1">
        <v>1046</v>
      </c>
      <c r="AX247" s="3">
        <v>0</v>
      </c>
      <c r="BB247" t="s">
        <v>84</v>
      </c>
      <c r="BD247" s="3">
        <v>1.51</v>
      </c>
      <c r="BE247" s="4">
        <v>1084</v>
      </c>
      <c r="BF247" s="1">
        <v>716</v>
      </c>
      <c r="BG247" s="1">
        <v>250</v>
      </c>
      <c r="BH247" s="1">
        <v>139</v>
      </c>
    </row>
    <row r="248" spans="1:67" x14ac:dyDescent="0.25">
      <c r="A248" t="s">
        <v>1643</v>
      </c>
      <c r="B248" t="s">
        <v>1644</v>
      </c>
      <c r="C248" s="4">
        <f>(AA248*(H248*0.9))*12</f>
        <v>5618160</v>
      </c>
      <c r="D248" s="4">
        <f>IF(C248=0,"",(H248*150*12)+C248)</f>
        <v>6352560</v>
      </c>
      <c r="E248" s="4">
        <f>IFERROR(D248*0.5,"")</f>
        <v>3176280</v>
      </c>
      <c r="F248" s="4">
        <f>IFERROR(E248/0.06,"")</f>
        <v>52938000</v>
      </c>
      <c r="G248" s="4">
        <f>IFERROR(F248/H248,"")</f>
        <v>129750</v>
      </c>
      <c r="H248" s="1">
        <v>408</v>
      </c>
      <c r="I248" s="1">
        <v>1985</v>
      </c>
      <c r="J248" t="s">
        <v>64</v>
      </c>
      <c r="K248" t="s">
        <v>514</v>
      </c>
      <c r="L248" t="s">
        <v>1645</v>
      </c>
      <c r="M248" t="s">
        <v>1646</v>
      </c>
      <c r="N248" t="s">
        <v>1647</v>
      </c>
      <c r="O248" t="s">
        <v>1645</v>
      </c>
      <c r="P248" s="1">
        <v>3</v>
      </c>
      <c r="Q248" t="s">
        <v>91</v>
      </c>
      <c r="R248" t="s">
        <v>70</v>
      </c>
      <c r="S248" t="s">
        <v>71</v>
      </c>
      <c r="U248" t="s">
        <v>72</v>
      </c>
      <c r="V248" t="s">
        <v>264</v>
      </c>
      <c r="W248" t="s">
        <v>74</v>
      </c>
      <c r="X248" t="s">
        <v>1594</v>
      </c>
      <c r="Y248" s="2">
        <v>820</v>
      </c>
      <c r="Z248" s="3">
        <v>1.55</v>
      </c>
      <c r="AA248" s="4">
        <v>1275</v>
      </c>
      <c r="AK248" s="5">
        <v>11.519600000000001</v>
      </c>
      <c r="AN248" s="1">
        <v>3</v>
      </c>
      <c r="AO248" t="s">
        <v>81</v>
      </c>
      <c r="AP248" t="s">
        <v>82</v>
      </c>
      <c r="AQ248" t="s">
        <v>83</v>
      </c>
      <c r="AR248" s="3">
        <v>1.51</v>
      </c>
      <c r="AS248" s="4">
        <v>1494</v>
      </c>
      <c r="AT248" s="1">
        <v>990</v>
      </c>
      <c r="AU248" s="3">
        <v>1.54</v>
      </c>
      <c r="AV248" s="4">
        <v>2169</v>
      </c>
      <c r="AW248" s="1">
        <v>1405</v>
      </c>
      <c r="AX248" s="3">
        <v>1431940.6</v>
      </c>
      <c r="BB248" t="s">
        <v>84</v>
      </c>
      <c r="BD248" s="3">
        <v>1.6</v>
      </c>
      <c r="BE248" s="4">
        <v>1103</v>
      </c>
      <c r="BF248" s="1">
        <v>692</v>
      </c>
      <c r="BG248" s="1">
        <v>246</v>
      </c>
      <c r="BH248" s="1">
        <v>152</v>
      </c>
      <c r="BI248" s="1">
        <v>10</v>
      </c>
      <c r="BK248" t="s">
        <v>285</v>
      </c>
      <c r="BL248" t="s">
        <v>104</v>
      </c>
    </row>
    <row r="249" spans="1:67" x14ac:dyDescent="0.25">
      <c r="A249" t="s">
        <v>1404</v>
      </c>
      <c r="B249" t="s">
        <v>1405</v>
      </c>
      <c r="C249" s="4">
        <f>(AA249*(H249*0.9))*12</f>
        <v>2870899.2</v>
      </c>
      <c r="D249" s="4">
        <f>IF(C249=0,"",(H249*150*12)+C249)</f>
        <v>3245299.2</v>
      </c>
      <c r="E249" s="4">
        <f>IFERROR(D249*0.5,"")</f>
        <v>1622649.6</v>
      </c>
      <c r="F249" s="4">
        <f>IFERROR(E249/0.06,"")</f>
        <v>27044160.000000004</v>
      </c>
      <c r="G249" s="4">
        <f>IFERROR(F249/H249,"")</f>
        <v>130020.00000000001</v>
      </c>
      <c r="H249" s="1">
        <v>208</v>
      </c>
      <c r="I249" s="1">
        <v>1985</v>
      </c>
      <c r="J249" t="s">
        <v>64</v>
      </c>
      <c r="K249" t="s">
        <v>409</v>
      </c>
      <c r="L249" t="s">
        <v>882</v>
      </c>
      <c r="M249" t="s">
        <v>1406</v>
      </c>
      <c r="N249" t="s">
        <v>1407</v>
      </c>
      <c r="O249" t="s">
        <v>882</v>
      </c>
      <c r="P249" s="1">
        <v>3</v>
      </c>
      <c r="Q249" t="s">
        <v>91</v>
      </c>
      <c r="R249" t="s">
        <v>70</v>
      </c>
      <c r="S249" t="s">
        <v>71</v>
      </c>
      <c r="U249" t="s">
        <v>72</v>
      </c>
      <c r="V249" t="s">
        <v>110</v>
      </c>
      <c r="W249" t="s">
        <v>74</v>
      </c>
      <c r="X249" t="s">
        <v>1408</v>
      </c>
      <c r="Y249" s="2">
        <v>681</v>
      </c>
      <c r="Z249" s="3">
        <v>1.88</v>
      </c>
      <c r="AA249" s="4">
        <v>1278</v>
      </c>
      <c r="AK249" s="5">
        <v>5.7691999999999997</v>
      </c>
      <c r="AN249" s="1">
        <v>2</v>
      </c>
      <c r="AO249" t="s">
        <v>81</v>
      </c>
      <c r="AP249" t="s">
        <v>82</v>
      </c>
      <c r="AQ249" t="s">
        <v>83</v>
      </c>
      <c r="AR249" s="3">
        <v>1.68</v>
      </c>
      <c r="AS249" s="4">
        <v>1518</v>
      </c>
      <c r="AT249" s="1">
        <v>905</v>
      </c>
      <c r="AX249" s="3">
        <v>587921.02</v>
      </c>
      <c r="BB249" t="s">
        <v>84</v>
      </c>
      <c r="BD249" s="3">
        <v>1.97</v>
      </c>
      <c r="BE249" s="4">
        <v>1207</v>
      </c>
      <c r="BF249" s="1">
        <v>614</v>
      </c>
      <c r="BG249" s="1">
        <v>160</v>
      </c>
      <c r="BH249" s="1">
        <v>48</v>
      </c>
    </row>
    <row r="250" spans="1:67" x14ac:dyDescent="0.25">
      <c r="A250" t="s">
        <v>3214</v>
      </c>
      <c r="B250" t="s">
        <v>3215</v>
      </c>
      <c r="C250" s="4">
        <f>(AA250*(H250*0.9))*12</f>
        <v>842605.2</v>
      </c>
      <c r="D250" s="4">
        <f>IF(C250=0,"",(H250*150*12)+C250)</f>
        <v>952405.2</v>
      </c>
      <c r="E250" s="4">
        <f>IFERROR(D250*0.5,"")</f>
        <v>476202.6</v>
      </c>
      <c r="F250" s="4">
        <f>IFERROR(E250/0.06,"")</f>
        <v>7936710</v>
      </c>
      <c r="G250" s="4">
        <f>IFERROR(F250/H250,"")</f>
        <v>130110</v>
      </c>
      <c r="H250" s="1">
        <v>61</v>
      </c>
      <c r="I250" s="1">
        <v>1997</v>
      </c>
      <c r="J250" t="s">
        <v>64</v>
      </c>
      <c r="K250" t="s">
        <v>114</v>
      </c>
      <c r="L250" t="s">
        <v>3216</v>
      </c>
      <c r="M250" t="s">
        <v>3217</v>
      </c>
      <c r="N250" t="s">
        <v>3218</v>
      </c>
      <c r="O250" t="s">
        <v>3216</v>
      </c>
      <c r="P250" s="1">
        <v>2</v>
      </c>
      <c r="Q250" t="s">
        <v>69</v>
      </c>
      <c r="R250" t="s">
        <v>70</v>
      </c>
      <c r="S250" t="s">
        <v>71</v>
      </c>
      <c r="T250" t="s">
        <v>118</v>
      </c>
      <c r="U250" t="s">
        <v>72</v>
      </c>
      <c r="V250" t="s">
        <v>356</v>
      </c>
      <c r="W250" t="s">
        <v>74</v>
      </c>
      <c r="X250" t="s">
        <v>357</v>
      </c>
      <c r="Y250" s="2">
        <v>1341</v>
      </c>
      <c r="Z250" s="3">
        <v>0.95</v>
      </c>
      <c r="AA250" s="4">
        <v>1279</v>
      </c>
      <c r="AK250" s="5">
        <v>1.6393</v>
      </c>
      <c r="AN250" s="1">
        <v>1</v>
      </c>
      <c r="AO250" t="s">
        <v>81</v>
      </c>
      <c r="AP250" t="s">
        <v>82</v>
      </c>
      <c r="AQ250" t="s">
        <v>83</v>
      </c>
      <c r="AX250" s="3">
        <v>1036.57</v>
      </c>
      <c r="BB250" t="s">
        <v>84</v>
      </c>
      <c r="BJ250" s="1">
        <v>61</v>
      </c>
      <c r="BM250" s="3">
        <v>0.95</v>
      </c>
      <c r="BN250" s="4">
        <v>1279</v>
      </c>
      <c r="BO250" s="1">
        <v>1341</v>
      </c>
    </row>
    <row r="251" spans="1:67" x14ac:dyDescent="0.25">
      <c r="A251" t="s">
        <v>4237</v>
      </c>
      <c r="B251" t="s">
        <v>4238</v>
      </c>
      <c r="C251" s="4">
        <f>(AA251*(H251*0.9))*12</f>
        <v>6557695.1999999993</v>
      </c>
      <c r="D251" s="4">
        <f>IF(C251=0,"",(H251*150*12)+C251)</f>
        <v>7410895.1999999993</v>
      </c>
      <c r="E251" s="4">
        <f>IFERROR(D251*0.5,"")</f>
        <v>3705447.5999999996</v>
      </c>
      <c r="F251" s="4">
        <f>IFERROR(E251/0.06,"")</f>
        <v>61757459.999999993</v>
      </c>
      <c r="G251" s="4">
        <f>IFERROR(F251/H251,"")</f>
        <v>130289.99999999999</v>
      </c>
      <c r="H251" s="1">
        <v>474</v>
      </c>
      <c r="I251" s="1">
        <v>1991</v>
      </c>
      <c r="J251" t="s">
        <v>64</v>
      </c>
      <c r="K251" t="s">
        <v>140</v>
      </c>
      <c r="L251" t="s">
        <v>4239</v>
      </c>
      <c r="M251" t="s">
        <v>4240</v>
      </c>
      <c r="N251" t="s">
        <v>4241</v>
      </c>
      <c r="O251" t="s">
        <v>4239</v>
      </c>
      <c r="P251" s="1">
        <v>3</v>
      </c>
      <c r="Q251" t="s">
        <v>91</v>
      </c>
      <c r="R251" t="s">
        <v>70</v>
      </c>
      <c r="S251" t="s">
        <v>71</v>
      </c>
      <c r="U251" t="s">
        <v>72</v>
      </c>
      <c r="V251" t="s">
        <v>140</v>
      </c>
      <c r="W251" t="s">
        <v>74</v>
      </c>
      <c r="X251" t="s">
        <v>1351</v>
      </c>
      <c r="Y251" s="2">
        <v>885</v>
      </c>
      <c r="Z251" s="3">
        <v>1.45</v>
      </c>
      <c r="AA251" s="4">
        <v>1281</v>
      </c>
      <c r="AK251" s="5">
        <v>10.548500000000001</v>
      </c>
      <c r="AM251" s="1">
        <v>2015</v>
      </c>
      <c r="AN251" s="1">
        <v>2</v>
      </c>
      <c r="AO251" t="s">
        <v>81</v>
      </c>
      <c r="AP251" t="s">
        <v>82</v>
      </c>
      <c r="AQ251" t="s">
        <v>83</v>
      </c>
      <c r="AR251" s="3">
        <v>1.35</v>
      </c>
      <c r="AS251" s="4">
        <v>1339</v>
      </c>
      <c r="AT251" s="1">
        <v>991</v>
      </c>
      <c r="AU251" s="3">
        <v>1.71</v>
      </c>
      <c r="AV251" s="4">
        <v>2008</v>
      </c>
      <c r="AW251" s="1">
        <v>1173</v>
      </c>
      <c r="AX251" s="3">
        <v>1287726.31</v>
      </c>
      <c r="BB251" t="s">
        <v>84</v>
      </c>
      <c r="BD251" s="3">
        <v>1.58</v>
      </c>
      <c r="BE251" s="4">
        <v>1062</v>
      </c>
      <c r="BF251" s="1">
        <v>674</v>
      </c>
      <c r="BG251" s="1">
        <v>176</v>
      </c>
      <c r="BH251" s="1">
        <v>266</v>
      </c>
      <c r="BI251" s="1">
        <v>32</v>
      </c>
      <c r="BL251" t="s">
        <v>131</v>
      </c>
    </row>
    <row r="252" spans="1:67" x14ac:dyDescent="0.25">
      <c r="A252" t="s">
        <v>3686</v>
      </c>
      <c r="B252" t="s">
        <v>3687</v>
      </c>
      <c r="C252" s="4">
        <f>(AA252*(H252*0.9))*12</f>
        <v>4842180</v>
      </c>
      <c r="D252" s="4">
        <f>IF(C252=0,"",(H252*150*12)+C252)</f>
        <v>5472180</v>
      </c>
      <c r="E252" s="4">
        <f>IFERROR(D252*0.5,"")</f>
        <v>2736090</v>
      </c>
      <c r="F252" s="4">
        <f>IFERROR(E252/0.06,"")</f>
        <v>45601500</v>
      </c>
      <c r="G252" s="4">
        <f>IFERROR(F252/H252,"")</f>
        <v>130290</v>
      </c>
      <c r="H252" s="1">
        <v>350</v>
      </c>
      <c r="I252" s="1">
        <v>1997</v>
      </c>
      <c r="J252" t="s">
        <v>64</v>
      </c>
      <c r="K252" t="s">
        <v>269</v>
      </c>
      <c r="L252" t="s">
        <v>2786</v>
      </c>
      <c r="M252" t="s">
        <v>3688</v>
      </c>
      <c r="N252" t="s">
        <v>3689</v>
      </c>
      <c r="O252" t="s">
        <v>2786</v>
      </c>
      <c r="P252" s="1">
        <v>3</v>
      </c>
      <c r="Q252" t="s">
        <v>91</v>
      </c>
      <c r="R252" t="s">
        <v>70</v>
      </c>
      <c r="S252" t="s">
        <v>71</v>
      </c>
      <c r="U252" t="s">
        <v>72</v>
      </c>
      <c r="V252" t="s">
        <v>73</v>
      </c>
      <c r="W252" t="s">
        <v>74</v>
      </c>
      <c r="X252" t="s">
        <v>1551</v>
      </c>
      <c r="Y252" s="2">
        <v>922</v>
      </c>
      <c r="Z252" s="3">
        <v>1.39</v>
      </c>
      <c r="AA252" s="4">
        <v>1281</v>
      </c>
      <c r="AK252" s="5">
        <v>2.8571</v>
      </c>
      <c r="AN252" s="1">
        <v>3</v>
      </c>
      <c r="AO252" t="s">
        <v>81</v>
      </c>
      <c r="AP252" t="s">
        <v>82</v>
      </c>
      <c r="AQ252" t="s">
        <v>83</v>
      </c>
      <c r="AR252" s="3">
        <v>1.32</v>
      </c>
      <c r="AS252" s="4">
        <v>1462</v>
      </c>
      <c r="AT252" s="1">
        <v>1105</v>
      </c>
      <c r="AX252" s="3">
        <v>1117515</v>
      </c>
      <c r="BB252" t="s">
        <v>84</v>
      </c>
      <c r="BD252" s="3">
        <v>1.47</v>
      </c>
      <c r="BE252" s="4">
        <v>1122</v>
      </c>
      <c r="BF252" s="1">
        <v>762</v>
      </c>
      <c r="BG252" s="1">
        <v>186</v>
      </c>
      <c r="BH252" s="1">
        <v>164</v>
      </c>
    </row>
    <row r="253" spans="1:67" x14ac:dyDescent="0.25">
      <c r="A253" t="s">
        <v>1524</v>
      </c>
      <c r="B253" t="s">
        <v>1525</v>
      </c>
      <c r="C253" s="4">
        <f>(AA253*(H253*0.9))*12</f>
        <v>3710620.8000000003</v>
      </c>
      <c r="D253" s="4">
        <f>IF(C253=0,"",(H253*150*12)+C253)</f>
        <v>4193020.8000000003</v>
      </c>
      <c r="E253" s="4">
        <f>IFERROR(D253*0.5,"")</f>
        <v>2096510.4000000001</v>
      </c>
      <c r="F253" s="4">
        <f>IFERROR(E253/0.06,"")</f>
        <v>34941840</v>
      </c>
      <c r="G253" s="4">
        <f>IFERROR(F253/H253,"")</f>
        <v>130380</v>
      </c>
      <c r="H253" s="1">
        <v>268</v>
      </c>
      <c r="I253" s="1">
        <v>1990</v>
      </c>
      <c r="J253" t="s">
        <v>64</v>
      </c>
      <c r="K253" t="s">
        <v>140</v>
      </c>
      <c r="L253" t="s">
        <v>1526</v>
      </c>
      <c r="M253" t="s">
        <v>1527</v>
      </c>
      <c r="N253" t="s">
        <v>1528</v>
      </c>
      <c r="O253" t="s">
        <v>1526</v>
      </c>
      <c r="P253" s="1">
        <v>3</v>
      </c>
      <c r="Q253" t="s">
        <v>91</v>
      </c>
      <c r="R253" t="s">
        <v>70</v>
      </c>
      <c r="S253" t="s">
        <v>71</v>
      </c>
      <c r="U253" t="s">
        <v>72</v>
      </c>
      <c r="V253" t="s">
        <v>140</v>
      </c>
      <c r="W253" t="s">
        <v>74</v>
      </c>
      <c r="X253" t="s">
        <v>1529</v>
      </c>
      <c r="Y253" s="2">
        <v>713</v>
      </c>
      <c r="Z253" s="3">
        <v>1.8</v>
      </c>
      <c r="AA253" s="4">
        <v>1282</v>
      </c>
      <c r="AK253" s="5">
        <v>5.5970000000000004</v>
      </c>
      <c r="AN253" s="1">
        <v>2</v>
      </c>
      <c r="AO253" t="s">
        <v>81</v>
      </c>
      <c r="AP253" t="s">
        <v>82</v>
      </c>
      <c r="AQ253" t="s">
        <v>83</v>
      </c>
      <c r="AR253" s="3">
        <v>1.81</v>
      </c>
      <c r="AS253" s="4">
        <v>1658</v>
      </c>
      <c r="AT253" s="1">
        <v>917</v>
      </c>
      <c r="AX253" s="3">
        <v>469621.07</v>
      </c>
      <c r="BB253" t="s">
        <v>84</v>
      </c>
      <c r="BD253" s="3">
        <v>1.79</v>
      </c>
      <c r="BE253" s="4">
        <v>1123</v>
      </c>
      <c r="BF253" s="1">
        <v>627</v>
      </c>
      <c r="BG253" s="1">
        <v>188</v>
      </c>
      <c r="BH253" s="1">
        <v>80</v>
      </c>
      <c r="BK253" t="s">
        <v>980</v>
      </c>
      <c r="BL253" t="s">
        <v>131</v>
      </c>
    </row>
    <row r="254" spans="1:67" x14ac:dyDescent="0.25">
      <c r="A254" t="s">
        <v>1524</v>
      </c>
      <c r="B254" t="s">
        <v>1525</v>
      </c>
      <c r="C254" s="4">
        <f>(AA254*(H254*0.9))*12</f>
        <v>3710620.8000000003</v>
      </c>
      <c r="D254" s="4">
        <f>IF(C254=0,"",(H254*150*12)+C254)</f>
        <v>4193020.8000000003</v>
      </c>
      <c r="E254" s="4">
        <f>IFERROR(D254*0.5,"")</f>
        <v>2096510.4000000001</v>
      </c>
      <c r="F254" s="4">
        <f>IFERROR(E254/0.06,"")</f>
        <v>34941840</v>
      </c>
      <c r="G254" s="4">
        <f>IFERROR(F254/H254,"")</f>
        <v>130380</v>
      </c>
      <c r="H254" s="1">
        <v>268</v>
      </c>
      <c r="I254" s="1">
        <v>1990</v>
      </c>
      <c r="J254" t="s">
        <v>64</v>
      </c>
      <c r="K254" t="s">
        <v>140</v>
      </c>
      <c r="L254" t="s">
        <v>1526</v>
      </c>
      <c r="M254" t="s">
        <v>1527</v>
      </c>
      <c r="N254" t="s">
        <v>1528</v>
      </c>
      <c r="O254" t="s">
        <v>1526</v>
      </c>
      <c r="P254" s="1">
        <v>3</v>
      </c>
      <c r="Q254" t="s">
        <v>91</v>
      </c>
      <c r="R254" t="s">
        <v>70</v>
      </c>
      <c r="S254" t="s">
        <v>71</v>
      </c>
      <c r="U254" t="s">
        <v>72</v>
      </c>
      <c r="V254" t="s">
        <v>140</v>
      </c>
      <c r="W254" t="s">
        <v>74</v>
      </c>
      <c r="X254" t="s">
        <v>1529</v>
      </c>
      <c r="Y254" s="2">
        <v>713</v>
      </c>
      <c r="Z254" s="3">
        <v>1.8</v>
      </c>
      <c r="AA254" s="4">
        <v>1282</v>
      </c>
      <c r="AK254" s="5">
        <v>5.5970000000000004</v>
      </c>
      <c r="AN254" s="1">
        <v>2</v>
      </c>
      <c r="AO254" t="s">
        <v>81</v>
      </c>
      <c r="AP254" t="s">
        <v>82</v>
      </c>
      <c r="AQ254" t="s">
        <v>83</v>
      </c>
      <c r="AR254" s="3">
        <v>1.81</v>
      </c>
      <c r="AS254" s="4">
        <v>1658</v>
      </c>
      <c r="AT254" s="1">
        <v>917</v>
      </c>
      <c r="AX254" s="3">
        <v>469621.07</v>
      </c>
      <c r="BB254" t="s">
        <v>84</v>
      </c>
      <c r="BD254" s="3">
        <v>1.79</v>
      </c>
      <c r="BE254" s="4">
        <v>1123</v>
      </c>
      <c r="BF254" s="1">
        <v>627</v>
      </c>
      <c r="BG254" s="1">
        <v>188</v>
      </c>
      <c r="BH254" s="1">
        <v>80</v>
      </c>
      <c r="BK254" t="s">
        <v>980</v>
      </c>
      <c r="BL254" t="s">
        <v>131</v>
      </c>
    </row>
    <row r="255" spans="1:67" x14ac:dyDescent="0.25">
      <c r="A255" t="s">
        <v>1486</v>
      </c>
      <c r="B255" t="s">
        <v>1487</v>
      </c>
      <c r="C255" s="4">
        <f>(AA255*(H255*0.9))*12</f>
        <v>4437504</v>
      </c>
      <c r="D255" s="4">
        <f>IF(C255=0,"",(H255*150*12)+C255)</f>
        <v>5013504</v>
      </c>
      <c r="E255" s="4">
        <f>IFERROR(D255*0.5,"")</f>
        <v>2506752</v>
      </c>
      <c r="F255" s="4">
        <f>IFERROR(E255/0.06,"")</f>
        <v>41779200</v>
      </c>
      <c r="G255" s="4">
        <f>IFERROR(F255/H255,"")</f>
        <v>130560</v>
      </c>
      <c r="H255" s="1">
        <v>320</v>
      </c>
      <c r="I255" s="1">
        <v>1985</v>
      </c>
      <c r="J255" t="s">
        <v>64</v>
      </c>
      <c r="K255" t="s">
        <v>725</v>
      </c>
      <c r="L255" t="s">
        <v>1488</v>
      </c>
      <c r="M255" t="s">
        <v>1489</v>
      </c>
      <c r="N255" t="s">
        <v>1490</v>
      </c>
      <c r="O255" t="s">
        <v>1488</v>
      </c>
      <c r="P255" s="1">
        <v>3</v>
      </c>
      <c r="Q255" t="s">
        <v>69</v>
      </c>
      <c r="R255" t="s">
        <v>70</v>
      </c>
      <c r="S255" t="s">
        <v>71</v>
      </c>
      <c r="T255" t="s">
        <v>128</v>
      </c>
      <c r="U255" t="s">
        <v>72</v>
      </c>
      <c r="V255" t="s">
        <v>73</v>
      </c>
      <c r="W255" t="s">
        <v>74</v>
      </c>
      <c r="X255" t="s">
        <v>730</v>
      </c>
      <c r="Y255" s="2">
        <v>714</v>
      </c>
      <c r="Z255" s="3">
        <v>1.8</v>
      </c>
      <c r="AA255" s="4">
        <v>1284</v>
      </c>
      <c r="AK255" s="5">
        <v>46.875</v>
      </c>
      <c r="AN255" s="1">
        <v>2</v>
      </c>
      <c r="AO255" t="s">
        <v>81</v>
      </c>
      <c r="AP255" t="s">
        <v>82</v>
      </c>
      <c r="AQ255" t="s">
        <v>83</v>
      </c>
      <c r="AR255" s="3">
        <v>1.48</v>
      </c>
      <c r="AS255" s="4">
        <v>1442</v>
      </c>
      <c r="AT255" s="1">
        <v>973</v>
      </c>
      <c r="AX255" s="3">
        <v>458658.83</v>
      </c>
      <c r="BB255" t="s">
        <v>84</v>
      </c>
      <c r="BD255" s="3">
        <v>1.96</v>
      </c>
      <c r="BE255" s="4">
        <v>1231</v>
      </c>
      <c r="BF255" s="1">
        <v>628</v>
      </c>
      <c r="BG255" s="1">
        <v>240</v>
      </c>
      <c r="BH255" s="1">
        <v>80</v>
      </c>
      <c r="BL255" t="s">
        <v>131</v>
      </c>
    </row>
    <row r="256" spans="1:67" x14ac:dyDescent="0.25">
      <c r="A256" t="s">
        <v>2135</v>
      </c>
      <c r="B256" t="s">
        <v>2136</v>
      </c>
      <c r="C256" s="4">
        <f>(AA256*(H256*0.9))*12</f>
        <v>3466800</v>
      </c>
      <c r="D256" s="4">
        <f>IF(C256=0,"",(H256*150*12)+C256)</f>
        <v>3916800</v>
      </c>
      <c r="E256" s="4">
        <f>IFERROR(D256*0.5,"")</f>
        <v>1958400</v>
      </c>
      <c r="F256" s="4">
        <f>IFERROR(E256/0.06,"")</f>
        <v>32640000</v>
      </c>
      <c r="G256" s="4">
        <f>IFERROR(F256/H256,"")</f>
        <v>130560</v>
      </c>
      <c r="H256" s="1">
        <v>250</v>
      </c>
      <c r="I256" s="1">
        <v>1996</v>
      </c>
      <c r="J256" t="s">
        <v>64</v>
      </c>
      <c r="K256" t="s">
        <v>177</v>
      </c>
      <c r="L256" t="s">
        <v>2137</v>
      </c>
      <c r="M256" t="s">
        <v>2138</v>
      </c>
      <c r="N256" t="s">
        <v>2139</v>
      </c>
      <c r="O256" t="s">
        <v>2137</v>
      </c>
      <c r="P256" s="1">
        <v>3</v>
      </c>
      <c r="Q256" t="s">
        <v>69</v>
      </c>
      <c r="R256" t="s">
        <v>70</v>
      </c>
      <c r="S256" t="s">
        <v>71</v>
      </c>
      <c r="T256" t="s">
        <v>118</v>
      </c>
      <c r="U256" t="s">
        <v>72</v>
      </c>
      <c r="V256" t="s">
        <v>172</v>
      </c>
      <c r="W256" t="s">
        <v>74</v>
      </c>
      <c r="X256" t="s">
        <v>189</v>
      </c>
      <c r="Y256" s="2">
        <v>820</v>
      </c>
      <c r="Z256" s="3">
        <v>1.56</v>
      </c>
      <c r="AA256" s="4">
        <v>1284</v>
      </c>
      <c r="AK256" s="5">
        <v>7.6</v>
      </c>
      <c r="AN256" s="1">
        <v>2</v>
      </c>
      <c r="AO256" t="s">
        <v>81</v>
      </c>
      <c r="AP256" t="s">
        <v>82</v>
      </c>
      <c r="AQ256" t="s">
        <v>83</v>
      </c>
      <c r="AR256" s="3">
        <v>1.48</v>
      </c>
      <c r="AS256" s="4">
        <v>1358</v>
      </c>
      <c r="AT256" s="1">
        <v>916</v>
      </c>
      <c r="AU256" s="3">
        <v>1.37</v>
      </c>
      <c r="AV256" s="4">
        <v>1561</v>
      </c>
      <c r="AW256" s="1">
        <v>1139</v>
      </c>
      <c r="AX256" s="3">
        <v>0</v>
      </c>
      <c r="BB256" t="s">
        <v>84</v>
      </c>
      <c r="BD256" s="3">
        <v>1.77</v>
      </c>
      <c r="BE256" s="4">
        <v>1135</v>
      </c>
      <c r="BF256" s="1">
        <v>640</v>
      </c>
      <c r="BG256" s="1">
        <v>112</v>
      </c>
      <c r="BH256" s="1">
        <v>106</v>
      </c>
      <c r="BI256" s="1">
        <v>32</v>
      </c>
    </row>
    <row r="257" spans="1:64" x14ac:dyDescent="0.25">
      <c r="A257" t="s">
        <v>3079</v>
      </c>
      <c r="B257" t="s">
        <v>3080</v>
      </c>
      <c r="C257" s="4">
        <f>(AA257*(H257*0.9))*12</f>
        <v>2664576.0000000005</v>
      </c>
      <c r="D257" s="4">
        <f>IF(C257=0,"",(H257*150*12)+C257)</f>
        <v>3010176.0000000005</v>
      </c>
      <c r="E257" s="4">
        <f>IFERROR(D257*0.5,"")</f>
        <v>1505088.0000000002</v>
      </c>
      <c r="F257" s="4">
        <f>IFERROR(E257/0.06,"")</f>
        <v>25084800.000000004</v>
      </c>
      <c r="G257" s="4">
        <f>IFERROR(F257/H257,"")</f>
        <v>130650.00000000001</v>
      </c>
      <c r="H257" s="1">
        <v>192</v>
      </c>
      <c r="I257" s="1">
        <v>2000</v>
      </c>
      <c r="J257" t="s">
        <v>64</v>
      </c>
      <c r="K257" t="s">
        <v>3081</v>
      </c>
      <c r="L257" t="s">
        <v>3082</v>
      </c>
      <c r="M257" t="s">
        <v>3083</v>
      </c>
      <c r="N257" t="s">
        <v>3084</v>
      </c>
      <c r="O257" t="s">
        <v>3082</v>
      </c>
      <c r="P257" s="1">
        <v>3</v>
      </c>
      <c r="Q257" t="s">
        <v>91</v>
      </c>
      <c r="R257" t="s">
        <v>70</v>
      </c>
      <c r="S257" t="s">
        <v>71</v>
      </c>
      <c r="T257" t="s">
        <v>118</v>
      </c>
      <c r="U257" t="s">
        <v>72</v>
      </c>
      <c r="V257" t="s">
        <v>152</v>
      </c>
      <c r="W257" t="s">
        <v>74</v>
      </c>
      <c r="X257" t="s">
        <v>3085</v>
      </c>
      <c r="Y257" s="2">
        <v>853</v>
      </c>
      <c r="Z257" s="3">
        <v>1.51</v>
      </c>
      <c r="AA257" s="4">
        <v>1285</v>
      </c>
      <c r="AK257" s="5">
        <v>4.1666999999999996</v>
      </c>
      <c r="AN257" s="1">
        <v>4</v>
      </c>
      <c r="AO257" t="s">
        <v>81</v>
      </c>
      <c r="AP257" t="s">
        <v>82</v>
      </c>
      <c r="AQ257" t="s">
        <v>83</v>
      </c>
      <c r="AR257" s="3">
        <v>1.44</v>
      </c>
      <c r="AS257" s="4">
        <v>1362</v>
      </c>
      <c r="AT257" s="1">
        <v>946</v>
      </c>
      <c r="AU257" s="3">
        <v>1.34</v>
      </c>
      <c r="AV257" s="4">
        <v>1658</v>
      </c>
      <c r="AW257" s="1">
        <v>1238</v>
      </c>
      <c r="AX257" s="3">
        <v>238820.69</v>
      </c>
      <c r="AY257" s="3">
        <v>1.71</v>
      </c>
      <c r="AZ257" s="4">
        <v>1430</v>
      </c>
      <c r="BA257" s="6">
        <v>835</v>
      </c>
      <c r="BB257" t="s">
        <v>84</v>
      </c>
      <c r="BD257" s="3">
        <v>1.57</v>
      </c>
      <c r="BE257" s="4">
        <v>1154</v>
      </c>
      <c r="BF257" s="1">
        <v>735</v>
      </c>
      <c r="BG257" s="1">
        <v>96</v>
      </c>
      <c r="BH257" s="1">
        <v>67</v>
      </c>
      <c r="BI257" s="1">
        <v>14</v>
      </c>
      <c r="BK257" t="s">
        <v>3086</v>
      </c>
    </row>
    <row r="258" spans="1:64" x14ac:dyDescent="0.25">
      <c r="A258" t="s">
        <v>751</v>
      </c>
      <c r="B258" t="s">
        <v>752</v>
      </c>
      <c r="C258" s="4">
        <f>(AA258*(H258*0.9))*12</f>
        <v>916660.79999999993</v>
      </c>
      <c r="D258" s="4">
        <f>IF(C258=0,"",(H258*150*12)+C258)</f>
        <v>1035460.7999999999</v>
      </c>
      <c r="E258" s="4">
        <f>IFERROR(D258*0.5,"")</f>
        <v>517730.39999999997</v>
      </c>
      <c r="F258" s="4">
        <f>IFERROR(E258/0.06,"")</f>
        <v>8628840</v>
      </c>
      <c r="G258" s="4">
        <f>IFERROR(F258/H258,"")</f>
        <v>130740</v>
      </c>
      <c r="H258" s="1">
        <v>66</v>
      </c>
      <c r="I258" s="1">
        <v>1985</v>
      </c>
      <c r="J258" t="s">
        <v>64</v>
      </c>
      <c r="K258" t="s">
        <v>65</v>
      </c>
      <c r="L258" t="s">
        <v>66</v>
      </c>
      <c r="M258" t="s">
        <v>753</v>
      </c>
      <c r="N258" t="s">
        <v>68</v>
      </c>
      <c r="O258" t="s">
        <v>66</v>
      </c>
      <c r="P258" s="1">
        <v>3</v>
      </c>
      <c r="Q258" t="s">
        <v>69</v>
      </c>
      <c r="R258" t="s">
        <v>70</v>
      </c>
      <c r="S258" t="s">
        <v>71</v>
      </c>
      <c r="U258" t="s">
        <v>72</v>
      </c>
      <c r="V258" t="s">
        <v>73</v>
      </c>
      <c r="W258" t="s">
        <v>74</v>
      </c>
      <c r="X258" t="s">
        <v>75</v>
      </c>
      <c r="Y258" s="2">
        <v>515</v>
      </c>
      <c r="Z258" s="3">
        <v>2.5</v>
      </c>
      <c r="AA258" s="4">
        <v>1286</v>
      </c>
      <c r="AK258" s="5">
        <v>24.2424</v>
      </c>
      <c r="AN258" s="1">
        <v>3</v>
      </c>
      <c r="AO258" t="s">
        <v>81</v>
      </c>
      <c r="AP258" t="s">
        <v>82</v>
      </c>
      <c r="AQ258" t="s">
        <v>83</v>
      </c>
      <c r="AX258" s="3">
        <v>161695.93</v>
      </c>
      <c r="BB258" t="s">
        <v>84</v>
      </c>
      <c r="BD258" s="3">
        <v>2.5</v>
      </c>
      <c r="BE258" s="4">
        <v>1286</v>
      </c>
      <c r="BF258" s="1">
        <v>515</v>
      </c>
      <c r="BG258" s="1">
        <v>66</v>
      </c>
    </row>
    <row r="259" spans="1:64" x14ac:dyDescent="0.25">
      <c r="A259" t="s">
        <v>3103</v>
      </c>
      <c r="B259" t="s">
        <v>3104</v>
      </c>
      <c r="C259" s="4">
        <f>(AA259*(H259*0.9))*12</f>
        <v>2722204.8</v>
      </c>
      <c r="D259" s="4">
        <f>IF(C259=0,"",(H259*150*12)+C259)</f>
        <v>3075004.8</v>
      </c>
      <c r="E259" s="4">
        <f>IFERROR(D259*0.5,"")</f>
        <v>1537502.4</v>
      </c>
      <c r="F259" s="4">
        <f>IFERROR(E259/0.06,"")</f>
        <v>25625040</v>
      </c>
      <c r="G259" s="4">
        <f>IFERROR(F259/H259,"")</f>
        <v>130740</v>
      </c>
      <c r="H259" s="1">
        <v>196</v>
      </c>
      <c r="I259" s="1">
        <v>2000</v>
      </c>
      <c r="J259" t="s">
        <v>64</v>
      </c>
      <c r="K259" t="s">
        <v>156</v>
      </c>
      <c r="L259" t="s">
        <v>3105</v>
      </c>
      <c r="M259" t="s">
        <v>3106</v>
      </c>
      <c r="N259" t="s">
        <v>3107</v>
      </c>
      <c r="O259" t="s">
        <v>3105</v>
      </c>
      <c r="P259" s="1">
        <v>3</v>
      </c>
      <c r="Q259" t="s">
        <v>91</v>
      </c>
      <c r="R259" t="s">
        <v>70</v>
      </c>
      <c r="S259" t="s">
        <v>71</v>
      </c>
      <c r="T259" t="s">
        <v>118</v>
      </c>
      <c r="U259" t="s">
        <v>72</v>
      </c>
      <c r="V259" t="s">
        <v>73</v>
      </c>
      <c r="W259" t="s">
        <v>74</v>
      </c>
      <c r="X259" t="s">
        <v>461</v>
      </c>
      <c r="Y259" s="2">
        <v>859</v>
      </c>
      <c r="Z259" s="3">
        <v>1.5</v>
      </c>
      <c r="AA259" s="4">
        <v>1286</v>
      </c>
      <c r="AK259" s="5">
        <v>19.387799999999999</v>
      </c>
      <c r="AN259" s="1">
        <v>2</v>
      </c>
      <c r="AO259" t="s">
        <v>81</v>
      </c>
      <c r="AP259" t="s">
        <v>82</v>
      </c>
      <c r="AQ259" t="s">
        <v>83</v>
      </c>
      <c r="AR259" s="3">
        <v>1.49</v>
      </c>
      <c r="AS259" s="4">
        <v>1425</v>
      </c>
      <c r="AT259" s="1">
        <v>955</v>
      </c>
      <c r="AU259" s="3">
        <v>1.1399999999999999</v>
      </c>
      <c r="AV259" s="4">
        <v>1373</v>
      </c>
      <c r="AW259" s="1">
        <v>1200</v>
      </c>
      <c r="AX259" s="3">
        <v>301729.06</v>
      </c>
      <c r="BB259" t="s">
        <v>84</v>
      </c>
      <c r="BD259" s="3">
        <v>1.72</v>
      </c>
      <c r="BE259" s="4">
        <v>1191</v>
      </c>
      <c r="BF259" s="1">
        <v>694</v>
      </c>
      <c r="BG259" s="1">
        <v>108</v>
      </c>
      <c r="BH259" s="1">
        <v>49</v>
      </c>
      <c r="BI259" s="1">
        <v>39</v>
      </c>
    </row>
    <row r="260" spans="1:64" x14ac:dyDescent="0.25">
      <c r="A260" t="s">
        <v>1615</v>
      </c>
      <c r="B260" t="s">
        <v>1616</v>
      </c>
      <c r="C260" s="4">
        <f>(AA260*(H260*0.9))*12</f>
        <v>3280305.5999999996</v>
      </c>
      <c r="D260" s="4">
        <f>IF(C260=0,"",(H260*150*12)+C260)</f>
        <v>3705105.5999999996</v>
      </c>
      <c r="E260" s="4">
        <f>IFERROR(D260*0.5,"")</f>
        <v>1852552.7999999998</v>
      </c>
      <c r="F260" s="4">
        <f>IFERROR(E260/0.06,"")</f>
        <v>30875879.999999996</v>
      </c>
      <c r="G260" s="4">
        <f>IFERROR(F260/H260,"")</f>
        <v>130829.99999999999</v>
      </c>
      <c r="H260" s="1">
        <v>236</v>
      </c>
      <c r="I260" s="1">
        <v>1987</v>
      </c>
      <c r="J260" t="s">
        <v>64</v>
      </c>
      <c r="K260" t="s">
        <v>734</v>
      </c>
      <c r="L260" t="s">
        <v>1617</v>
      </c>
      <c r="M260" t="s">
        <v>1618</v>
      </c>
      <c r="N260" t="s">
        <v>1619</v>
      </c>
      <c r="O260" t="s">
        <v>1617</v>
      </c>
      <c r="P260" s="1">
        <v>3</v>
      </c>
      <c r="Q260" t="s">
        <v>91</v>
      </c>
      <c r="R260" t="s">
        <v>70</v>
      </c>
      <c r="S260" t="s">
        <v>71</v>
      </c>
      <c r="U260" t="s">
        <v>72</v>
      </c>
      <c r="V260" t="s">
        <v>73</v>
      </c>
      <c r="W260" t="s">
        <v>74</v>
      </c>
      <c r="X260" t="s">
        <v>730</v>
      </c>
      <c r="Y260" s="2">
        <v>869</v>
      </c>
      <c r="Z260" s="3">
        <v>1.48</v>
      </c>
      <c r="AA260" s="4">
        <v>1287</v>
      </c>
      <c r="AK260" s="5">
        <v>15.254200000000001</v>
      </c>
      <c r="AM260" s="1">
        <v>2003</v>
      </c>
      <c r="AN260" s="1">
        <v>3</v>
      </c>
      <c r="AO260" t="s">
        <v>81</v>
      </c>
      <c r="AP260" t="s">
        <v>82</v>
      </c>
      <c r="AQ260" t="s">
        <v>83</v>
      </c>
      <c r="AR260" s="3">
        <v>1.44</v>
      </c>
      <c r="AS260" s="4">
        <v>1500</v>
      </c>
      <c r="AT260" s="1">
        <v>1042</v>
      </c>
      <c r="AX260" s="3">
        <v>511917.38</v>
      </c>
      <c r="BB260" t="s">
        <v>84</v>
      </c>
      <c r="BD260" s="3">
        <v>1.51</v>
      </c>
      <c r="BE260" s="4">
        <v>1186</v>
      </c>
      <c r="BF260" s="1">
        <v>788</v>
      </c>
      <c r="BG260" s="1">
        <v>160</v>
      </c>
      <c r="BH260" s="1">
        <v>76</v>
      </c>
      <c r="BK260" t="s">
        <v>1513</v>
      </c>
      <c r="BL260" t="s">
        <v>131</v>
      </c>
    </row>
    <row r="261" spans="1:64" x14ac:dyDescent="0.25">
      <c r="A261" t="s">
        <v>1409</v>
      </c>
      <c r="B261" t="s">
        <v>1410</v>
      </c>
      <c r="C261" s="4">
        <f>(AA261*(H261*0.9))*12</f>
        <v>2140538.4</v>
      </c>
      <c r="D261" s="4">
        <f>IF(C261=0,"",(H261*150*12)+C261)</f>
        <v>2417738.4</v>
      </c>
      <c r="E261" s="4">
        <f>IFERROR(D261*0.5,"")</f>
        <v>1208869.2</v>
      </c>
      <c r="F261" s="4">
        <f>IFERROR(E261/0.06,"")</f>
        <v>20147820</v>
      </c>
      <c r="G261" s="4">
        <f>IFERROR(F261/H261,"")</f>
        <v>130830</v>
      </c>
      <c r="H261" s="1">
        <v>154</v>
      </c>
      <c r="I261" s="1">
        <v>1985</v>
      </c>
      <c r="J261" t="s">
        <v>64</v>
      </c>
      <c r="K261" t="s">
        <v>110</v>
      </c>
      <c r="L261" t="s">
        <v>1411</v>
      </c>
      <c r="M261" t="s">
        <v>1412</v>
      </c>
      <c r="N261" t="s">
        <v>1413</v>
      </c>
      <c r="O261" t="s">
        <v>1411</v>
      </c>
      <c r="P261" s="1">
        <v>3</v>
      </c>
      <c r="Q261" t="s">
        <v>91</v>
      </c>
      <c r="R261" t="s">
        <v>70</v>
      </c>
      <c r="S261" t="s">
        <v>71</v>
      </c>
      <c r="U261" t="s">
        <v>72</v>
      </c>
      <c r="V261" t="s">
        <v>531</v>
      </c>
      <c r="W261" t="s">
        <v>74</v>
      </c>
      <c r="X261" t="s">
        <v>532</v>
      </c>
      <c r="Y261" s="2">
        <v>776</v>
      </c>
      <c r="Z261" s="3">
        <v>1.66</v>
      </c>
      <c r="AA261" s="4">
        <v>1287</v>
      </c>
      <c r="AK261" s="5">
        <v>3.8961000000000001</v>
      </c>
      <c r="AN261" s="1">
        <v>2</v>
      </c>
      <c r="AO261" t="s">
        <v>81</v>
      </c>
      <c r="AP261" t="s">
        <v>82</v>
      </c>
      <c r="AQ261" t="s">
        <v>83</v>
      </c>
      <c r="AR261" s="3">
        <v>1.61</v>
      </c>
      <c r="AS261" s="4">
        <v>1401</v>
      </c>
      <c r="AT261" s="1">
        <v>869</v>
      </c>
      <c r="AX261" s="3">
        <v>297333.75</v>
      </c>
      <c r="BB261" t="s">
        <v>84</v>
      </c>
      <c r="BD261" s="3">
        <v>1.73</v>
      </c>
      <c r="BE261" s="4">
        <v>1153</v>
      </c>
      <c r="BF261" s="1">
        <v>668</v>
      </c>
      <c r="BG261" s="1">
        <v>71</v>
      </c>
      <c r="BH261" s="1">
        <v>83</v>
      </c>
      <c r="BK261" t="s">
        <v>1414</v>
      </c>
      <c r="BL261" t="s">
        <v>104</v>
      </c>
    </row>
    <row r="262" spans="1:64" x14ac:dyDescent="0.25">
      <c r="A262" t="s">
        <v>4267</v>
      </c>
      <c r="B262" t="s">
        <v>4268</v>
      </c>
      <c r="C262" s="4">
        <f>(AA262*(H262*0.9))*12</f>
        <v>3335904</v>
      </c>
      <c r="D262" s="4">
        <f>IF(C262=0,"",(H262*150*12)+C262)</f>
        <v>3767904</v>
      </c>
      <c r="E262" s="4">
        <f>IFERROR(D262*0.5,"")</f>
        <v>1883952</v>
      </c>
      <c r="F262" s="4">
        <f>IFERROR(E262/0.06,"")</f>
        <v>31399200</v>
      </c>
      <c r="G262" s="4">
        <f>IFERROR(F262/H262,"")</f>
        <v>130830</v>
      </c>
      <c r="H262" s="1">
        <v>240</v>
      </c>
      <c r="I262" s="1">
        <v>2000</v>
      </c>
      <c r="J262" t="s">
        <v>64</v>
      </c>
      <c r="K262" t="s">
        <v>110</v>
      </c>
      <c r="L262" t="s">
        <v>3902</v>
      </c>
      <c r="M262" t="s">
        <v>4269</v>
      </c>
      <c r="O262" t="s">
        <v>3902</v>
      </c>
      <c r="P262" s="1">
        <v>4</v>
      </c>
      <c r="Q262" t="s">
        <v>91</v>
      </c>
      <c r="R262" t="s">
        <v>70</v>
      </c>
      <c r="S262" t="s">
        <v>71</v>
      </c>
      <c r="T262" t="s">
        <v>118</v>
      </c>
      <c r="U262" t="s">
        <v>72</v>
      </c>
      <c r="V262" t="s">
        <v>110</v>
      </c>
      <c r="W262" t="s">
        <v>74</v>
      </c>
      <c r="X262" t="s">
        <v>4270</v>
      </c>
      <c r="Y262" s="2">
        <v>950</v>
      </c>
      <c r="Z262" s="3">
        <v>1.36</v>
      </c>
      <c r="AA262" s="4">
        <v>1287</v>
      </c>
      <c r="AK262" s="5">
        <v>19.583300000000001</v>
      </c>
      <c r="AN262" s="1">
        <v>3</v>
      </c>
      <c r="AO262" t="s">
        <v>81</v>
      </c>
      <c r="AP262" t="s">
        <v>82</v>
      </c>
      <c r="AQ262" t="s">
        <v>83</v>
      </c>
      <c r="AR262" s="3">
        <v>1.37</v>
      </c>
      <c r="AS262" s="4">
        <v>1335</v>
      </c>
      <c r="AT262" s="1">
        <v>975</v>
      </c>
      <c r="AU262" s="3">
        <v>1.17</v>
      </c>
      <c r="AV262" s="4">
        <v>1531</v>
      </c>
      <c r="AW262" s="1">
        <v>1308</v>
      </c>
      <c r="AX262" s="3">
        <v>391494.7</v>
      </c>
      <c r="BB262" t="s">
        <v>84</v>
      </c>
      <c r="BD262" s="3">
        <v>1.47</v>
      </c>
      <c r="BE262" s="4">
        <v>1116</v>
      </c>
      <c r="BF262" s="1">
        <v>761</v>
      </c>
      <c r="BG262" s="1">
        <v>84</v>
      </c>
      <c r="BH262" s="1">
        <v>120</v>
      </c>
      <c r="BI262" s="1">
        <v>36</v>
      </c>
      <c r="BL262" t="s">
        <v>94</v>
      </c>
    </row>
    <row r="263" spans="1:64" x14ac:dyDescent="0.25">
      <c r="A263" t="s">
        <v>2682</v>
      </c>
      <c r="B263" t="s">
        <v>2683</v>
      </c>
      <c r="C263" s="4">
        <f>(AA263*(H263*0.9))*12</f>
        <v>2949004.8000000003</v>
      </c>
      <c r="D263" s="4">
        <f>IF(C263=0,"",(H263*150*12)+C263)</f>
        <v>3330604.8000000003</v>
      </c>
      <c r="E263" s="4">
        <f>IFERROR(D263*0.5,"")</f>
        <v>1665302.4000000001</v>
      </c>
      <c r="F263" s="4">
        <f>IFERROR(E263/0.06,"")</f>
        <v>27755040.000000004</v>
      </c>
      <c r="G263" s="4">
        <f>IFERROR(F263/H263,"")</f>
        <v>130920.00000000001</v>
      </c>
      <c r="H263" s="1">
        <v>212</v>
      </c>
      <c r="I263" s="1">
        <v>1998</v>
      </c>
      <c r="J263" t="s">
        <v>64</v>
      </c>
      <c r="K263" t="s">
        <v>625</v>
      </c>
      <c r="L263" t="s">
        <v>2684</v>
      </c>
      <c r="M263" t="s">
        <v>2685</v>
      </c>
      <c r="N263" t="s">
        <v>2686</v>
      </c>
      <c r="O263" t="s">
        <v>2684</v>
      </c>
      <c r="P263" s="1">
        <v>3</v>
      </c>
      <c r="Q263" t="s">
        <v>91</v>
      </c>
      <c r="R263" t="s">
        <v>70</v>
      </c>
      <c r="S263" t="s">
        <v>71</v>
      </c>
      <c r="T263" t="s">
        <v>118</v>
      </c>
      <c r="U263" t="s">
        <v>72</v>
      </c>
      <c r="V263" t="s">
        <v>73</v>
      </c>
      <c r="W263" t="s">
        <v>74</v>
      </c>
      <c r="X263" t="s">
        <v>2687</v>
      </c>
      <c r="Y263" s="2">
        <v>777</v>
      </c>
      <c r="Z263" s="3">
        <v>1.66</v>
      </c>
      <c r="AA263" s="4">
        <v>1288</v>
      </c>
      <c r="AK263" s="5">
        <v>0.94340000000000002</v>
      </c>
      <c r="AN263" s="1">
        <v>2</v>
      </c>
      <c r="AO263" t="s">
        <v>81</v>
      </c>
      <c r="AP263" t="s">
        <v>82</v>
      </c>
      <c r="AQ263" t="s">
        <v>83</v>
      </c>
      <c r="AR263" s="3">
        <v>1.53</v>
      </c>
      <c r="AS263" s="4">
        <v>1406</v>
      </c>
      <c r="AT263" s="1">
        <v>920</v>
      </c>
      <c r="AX263" s="3">
        <v>843983.05</v>
      </c>
      <c r="BB263" t="s">
        <v>84</v>
      </c>
      <c r="BD263" s="3">
        <v>1.83</v>
      </c>
      <c r="BE263" s="4">
        <v>1180</v>
      </c>
      <c r="BF263" s="1">
        <v>645</v>
      </c>
      <c r="BG263" s="1">
        <v>110</v>
      </c>
      <c r="BH263" s="1">
        <v>102</v>
      </c>
      <c r="BL263" t="s">
        <v>131</v>
      </c>
    </row>
    <row r="264" spans="1:64" x14ac:dyDescent="0.25">
      <c r="A264" t="s">
        <v>3446</v>
      </c>
      <c r="B264" t="s">
        <v>3447</v>
      </c>
      <c r="C264" s="4">
        <f>(AA264*(H264*0.9))*12</f>
        <v>3285403.2</v>
      </c>
      <c r="D264" s="4">
        <f>IF(C264=0,"",(H264*150*12)+C264)</f>
        <v>3710203.2</v>
      </c>
      <c r="E264" s="4">
        <f>IFERROR(D264*0.5,"")</f>
        <v>1855101.6</v>
      </c>
      <c r="F264" s="4">
        <f>IFERROR(E264/0.06,"")</f>
        <v>30918360.000000004</v>
      </c>
      <c r="G264" s="4">
        <f>IFERROR(F264/H264,"")</f>
        <v>131010.00000000001</v>
      </c>
      <c r="H264" s="1">
        <v>236</v>
      </c>
      <c r="I264" s="1">
        <v>1994</v>
      </c>
      <c r="J264" t="s">
        <v>64</v>
      </c>
      <c r="K264" t="s">
        <v>177</v>
      </c>
      <c r="L264" t="s">
        <v>575</v>
      </c>
      <c r="M264" t="s">
        <v>3448</v>
      </c>
      <c r="N264" t="s">
        <v>3449</v>
      </c>
      <c r="O264" t="s">
        <v>575</v>
      </c>
      <c r="P264" s="1">
        <v>3</v>
      </c>
      <c r="Q264" t="s">
        <v>91</v>
      </c>
      <c r="R264" t="s">
        <v>70</v>
      </c>
      <c r="S264" t="s">
        <v>71</v>
      </c>
      <c r="U264" t="s">
        <v>72</v>
      </c>
      <c r="V264" t="s">
        <v>172</v>
      </c>
      <c r="W264" t="s">
        <v>74</v>
      </c>
      <c r="X264" t="s">
        <v>3450</v>
      </c>
      <c r="Y264" s="2">
        <v>945</v>
      </c>
      <c r="Z264" s="3">
        <v>1.36</v>
      </c>
      <c r="AA264" s="4">
        <v>1289</v>
      </c>
      <c r="AK264" s="5">
        <v>9.3219999999999992</v>
      </c>
      <c r="AN264" s="1">
        <v>2</v>
      </c>
      <c r="AO264" t="s">
        <v>81</v>
      </c>
      <c r="AP264" t="s">
        <v>82</v>
      </c>
      <c r="AQ264" t="s">
        <v>83</v>
      </c>
      <c r="AR264" s="3">
        <v>1.24</v>
      </c>
      <c r="AS264" s="4">
        <v>1372</v>
      </c>
      <c r="AT264" s="1">
        <v>1104</v>
      </c>
      <c r="AU264" s="3">
        <v>1.44</v>
      </c>
      <c r="AV264" s="4">
        <v>1825</v>
      </c>
      <c r="AW264" s="1">
        <v>1271</v>
      </c>
      <c r="AX264" s="3">
        <v>467686.14</v>
      </c>
      <c r="BB264" t="s">
        <v>84</v>
      </c>
      <c r="BD264" s="3">
        <v>1.48</v>
      </c>
      <c r="BE264" s="4">
        <v>1025</v>
      </c>
      <c r="BF264" s="1">
        <v>692</v>
      </c>
      <c r="BG264" s="1">
        <v>106</v>
      </c>
      <c r="BH264" s="1">
        <v>92</v>
      </c>
      <c r="BI264" s="1">
        <v>38</v>
      </c>
    </row>
    <row r="265" spans="1:64" x14ac:dyDescent="0.25">
      <c r="A265" t="s">
        <v>1398</v>
      </c>
      <c r="B265" t="s">
        <v>1399</v>
      </c>
      <c r="C265" s="4">
        <f>(AA265*(H265*0.9))*12</f>
        <v>6134832</v>
      </c>
      <c r="D265" s="4">
        <f>IF(C265=0,"",(H265*150*12)+C265)</f>
        <v>6926832</v>
      </c>
      <c r="E265" s="4">
        <f>IFERROR(D265*0.5,"")</f>
        <v>3463416</v>
      </c>
      <c r="F265" s="4">
        <f>IFERROR(E265/0.06,"")</f>
        <v>57723600</v>
      </c>
      <c r="G265" s="4">
        <f>IFERROR(F265/H265,"")</f>
        <v>131190</v>
      </c>
      <c r="H265" s="1">
        <v>440</v>
      </c>
      <c r="I265" s="1">
        <v>1986</v>
      </c>
      <c r="J265" t="s">
        <v>64</v>
      </c>
      <c r="K265" t="s">
        <v>259</v>
      </c>
      <c r="L265" t="s">
        <v>1400</v>
      </c>
      <c r="M265" t="s">
        <v>1401</v>
      </c>
      <c r="N265" t="s">
        <v>1402</v>
      </c>
      <c r="O265" t="s">
        <v>1400</v>
      </c>
      <c r="P265" s="1">
        <v>3</v>
      </c>
      <c r="Q265" t="s">
        <v>69</v>
      </c>
      <c r="R265" t="s">
        <v>70</v>
      </c>
      <c r="S265" t="s">
        <v>71</v>
      </c>
      <c r="U265" t="s">
        <v>72</v>
      </c>
      <c r="V265" t="s">
        <v>152</v>
      </c>
      <c r="W265" t="s">
        <v>74</v>
      </c>
      <c r="X265" t="s">
        <v>780</v>
      </c>
      <c r="Y265" s="2">
        <v>770</v>
      </c>
      <c r="Z265" s="3">
        <v>1.68</v>
      </c>
      <c r="AA265" s="4">
        <v>1291</v>
      </c>
      <c r="AK265" s="5">
        <v>7.9545000000000003</v>
      </c>
      <c r="AN265" s="1">
        <v>3</v>
      </c>
      <c r="AO265" t="s">
        <v>81</v>
      </c>
      <c r="AP265" t="s">
        <v>82</v>
      </c>
      <c r="AQ265" t="s">
        <v>83</v>
      </c>
      <c r="AR265" s="3">
        <v>1.7</v>
      </c>
      <c r="AS265" s="4">
        <v>1657</v>
      </c>
      <c r="AT265" s="1">
        <v>973</v>
      </c>
      <c r="AX265" s="3">
        <v>0</v>
      </c>
      <c r="BB265" t="s">
        <v>84</v>
      </c>
      <c r="BD265" s="3">
        <v>1.66</v>
      </c>
      <c r="BE265" s="4">
        <v>1120</v>
      </c>
      <c r="BF265" s="1">
        <v>676</v>
      </c>
      <c r="BG265" s="1">
        <v>300</v>
      </c>
      <c r="BH265" s="1">
        <v>140</v>
      </c>
      <c r="BK265" t="s">
        <v>1403</v>
      </c>
      <c r="BL265" t="s">
        <v>104</v>
      </c>
    </row>
    <row r="266" spans="1:64" x14ac:dyDescent="0.25">
      <c r="A266" t="s">
        <v>821</v>
      </c>
      <c r="B266" t="s">
        <v>822</v>
      </c>
      <c r="C266" s="4">
        <f>(AA266*(H266*0.9))*12</f>
        <v>2133248.4000000004</v>
      </c>
      <c r="D266" s="4">
        <f>IF(C266=0,"",(H266*150*12)+C266)</f>
        <v>2408648.4000000004</v>
      </c>
      <c r="E266" s="4">
        <f>IFERROR(D266*0.5,"")</f>
        <v>1204324.2000000002</v>
      </c>
      <c r="F266" s="4">
        <f>IFERROR(E266/0.06,"")</f>
        <v>20072070.000000004</v>
      </c>
      <c r="G266" s="4">
        <f>IFERROR(F266/H266,"")</f>
        <v>131190.00000000003</v>
      </c>
      <c r="H266" s="1">
        <v>153</v>
      </c>
      <c r="I266" s="1">
        <v>1985</v>
      </c>
      <c r="J266" t="s">
        <v>64</v>
      </c>
      <c r="K266" t="s">
        <v>177</v>
      </c>
      <c r="L266" t="s">
        <v>823</v>
      </c>
      <c r="M266" t="s">
        <v>824</v>
      </c>
      <c r="N266" t="s">
        <v>825</v>
      </c>
      <c r="O266" t="s">
        <v>823</v>
      </c>
      <c r="P266" s="1">
        <v>3</v>
      </c>
      <c r="Q266" t="s">
        <v>69</v>
      </c>
      <c r="R266" t="s">
        <v>70</v>
      </c>
      <c r="S266" t="s">
        <v>71</v>
      </c>
      <c r="U266" t="s">
        <v>72</v>
      </c>
      <c r="V266" t="s">
        <v>181</v>
      </c>
      <c r="W266" t="s">
        <v>74</v>
      </c>
      <c r="X266" t="s">
        <v>182</v>
      </c>
      <c r="Y266" s="2">
        <v>923</v>
      </c>
      <c r="Z266" s="3">
        <v>1.4</v>
      </c>
      <c r="AA266" s="4">
        <v>1291</v>
      </c>
      <c r="AK266" s="5">
        <v>7.1894999999999998</v>
      </c>
      <c r="AN266" s="1">
        <v>2</v>
      </c>
      <c r="AO266" t="s">
        <v>81</v>
      </c>
      <c r="AP266" t="s">
        <v>82</v>
      </c>
      <c r="AQ266" t="s">
        <v>83</v>
      </c>
      <c r="AR266" s="3">
        <v>1.36</v>
      </c>
      <c r="AS266" s="4">
        <v>1433</v>
      </c>
      <c r="AT266" s="1">
        <v>1055</v>
      </c>
      <c r="AU266" s="3">
        <v>1.05</v>
      </c>
      <c r="AV266" s="4">
        <v>1531</v>
      </c>
      <c r="AW266" s="1">
        <v>1458</v>
      </c>
      <c r="BB266" t="s">
        <v>84</v>
      </c>
      <c r="BD266" s="3">
        <v>1.48</v>
      </c>
      <c r="BE266" s="4">
        <v>1125</v>
      </c>
      <c r="BF266" s="1">
        <v>759</v>
      </c>
      <c r="BG266" s="1">
        <v>71</v>
      </c>
      <c r="BH266" s="1">
        <v>80</v>
      </c>
      <c r="BI266" s="1">
        <v>2</v>
      </c>
    </row>
    <row r="267" spans="1:64" x14ac:dyDescent="0.25">
      <c r="A267" t="s">
        <v>1853</v>
      </c>
      <c r="B267" t="s">
        <v>1854</v>
      </c>
      <c r="C267" s="4">
        <f>(AA267*(H267*0.9))*12</f>
        <v>4245177.6000000006</v>
      </c>
      <c r="D267" s="4">
        <f>IF(C267=0,"",(H267*150*12)+C267)</f>
        <v>4792377.6000000006</v>
      </c>
      <c r="E267" s="4">
        <f>IFERROR(D267*0.5,"")</f>
        <v>2396188.8000000003</v>
      </c>
      <c r="F267" s="4">
        <f>IFERROR(E267/0.06,"")</f>
        <v>39936480.000000007</v>
      </c>
      <c r="G267" s="4">
        <f>IFERROR(F267/H267,"")</f>
        <v>131370.00000000003</v>
      </c>
      <c r="H267" s="1">
        <v>304</v>
      </c>
      <c r="I267" s="1">
        <v>1985</v>
      </c>
      <c r="J267" t="s">
        <v>64</v>
      </c>
      <c r="K267" t="s">
        <v>725</v>
      </c>
      <c r="L267" t="s">
        <v>199</v>
      </c>
      <c r="M267" t="s">
        <v>1855</v>
      </c>
      <c r="N267" t="s">
        <v>1856</v>
      </c>
      <c r="O267" t="s">
        <v>199</v>
      </c>
      <c r="P267" s="1">
        <v>3</v>
      </c>
      <c r="Q267" t="s">
        <v>91</v>
      </c>
      <c r="R267" t="s">
        <v>70</v>
      </c>
      <c r="S267" t="s">
        <v>71</v>
      </c>
      <c r="U267" t="s">
        <v>72</v>
      </c>
      <c r="V267" t="s">
        <v>73</v>
      </c>
      <c r="W267" t="s">
        <v>74</v>
      </c>
      <c r="X267" t="s">
        <v>730</v>
      </c>
      <c r="Y267" s="2">
        <v>679</v>
      </c>
      <c r="Z267" s="3">
        <v>1.9</v>
      </c>
      <c r="AA267" s="4">
        <v>1293</v>
      </c>
      <c r="AK267" s="5">
        <v>9.5395000000000003</v>
      </c>
      <c r="AN267" s="1">
        <v>3</v>
      </c>
      <c r="AO267" t="s">
        <v>81</v>
      </c>
      <c r="AP267" t="s">
        <v>82</v>
      </c>
      <c r="AQ267" t="s">
        <v>83</v>
      </c>
      <c r="AR267" s="3">
        <v>1.71</v>
      </c>
      <c r="AS267" s="4">
        <v>1535</v>
      </c>
      <c r="AT267" s="1">
        <v>897</v>
      </c>
      <c r="AX267" s="3">
        <v>656659.15</v>
      </c>
      <c r="BB267" t="s">
        <v>84</v>
      </c>
      <c r="BD267" s="3">
        <v>2.06</v>
      </c>
      <c r="BE267" s="4">
        <v>1168</v>
      </c>
      <c r="BF267" s="1">
        <v>567</v>
      </c>
      <c r="BG267" s="1">
        <v>200</v>
      </c>
      <c r="BH267" s="1">
        <v>104</v>
      </c>
      <c r="BK267" t="s">
        <v>1060</v>
      </c>
      <c r="BL267" t="s">
        <v>744</v>
      </c>
    </row>
    <row r="268" spans="1:64" x14ac:dyDescent="0.25">
      <c r="A268" t="s">
        <v>1991</v>
      </c>
      <c r="B268" t="s">
        <v>1992</v>
      </c>
      <c r="C268" s="4">
        <f>(AA268*(H268*0.9))*12</f>
        <v>1582858.7999999998</v>
      </c>
      <c r="D268" s="4">
        <f>IF(C268=0,"",(H268*150*12)+C268)</f>
        <v>1786258.7999999998</v>
      </c>
      <c r="E268" s="4">
        <f>IFERROR(D268*0.5,"")</f>
        <v>893129.39999999991</v>
      </c>
      <c r="F268" s="4">
        <f>IFERROR(E268/0.06,"")</f>
        <v>14885489.999999998</v>
      </c>
      <c r="G268" s="4">
        <f>IFERROR(F268/H268,"")</f>
        <v>131729.99999999997</v>
      </c>
      <c r="H268" s="1">
        <v>113</v>
      </c>
      <c r="I268" s="1">
        <v>1985</v>
      </c>
      <c r="J268" t="s">
        <v>64</v>
      </c>
      <c r="K268" t="s">
        <v>97</v>
      </c>
      <c r="L268" t="s">
        <v>1993</v>
      </c>
      <c r="M268" t="s">
        <v>1994</v>
      </c>
      <c r="N268" t="s">
        <v>1995</v>
      </c>
      <c r="O268" t="s">
        <v>1993</v>
      </c>
      <c r="P268" s="1">
        <v>3</v>
      </c>
      <c r="Q268" t="s">
        <v>69</v>
      </c>
      <c r="R268" t="s">
        <v>70</v>
      </c>
      <c r="S268" t="s">
        <v>71</v>
      </c>
      <c r="U268" t="s">
        <v>72</v>
      </c>
      <c r="V268" t="s">
        <v>1662</v>
      </c>
      <c r="W268" t="s">
        <v>74</v>
      </c>
      <c r="X268" t="s">
        <v>1996</v>
      </c>
      <c r="Y268" s="2">
        <v>774</v>
      </c>
      <c r="Z268" s="3">
        <v>1.68</v>
      </c>
      <c r="AA268" s="4">
        <v>1297</v>
      </c>
      <c r="AK268" s="5">
        <v>9.7345000000000006</v>
      </c>
      <c r="AN268" s="1">
        <v>2</v>
      </c>
      <c r="AO268" t="s">
        <v>81</v>
      </c>
      <c r="AP268" t="s">
        <v>82</v>
      </c>
      <c r="AQ268" t="s">
        <v>83</v>
      </c>
      <c r="AR268" s="3">
        <v>1.61</v>
      </c>
      <c r="AS268" s="4">
        <v>1395</v>
      </c>
      <c r="AT268" s="1">
        <v>868</v>
      </c>
      <c r="AU268" s="3">
        <v>1.43</v>
      </c>
      <c r="AV268" s="4">
        <v>1575</v>
      </c>
      <c r="AW268" s="1">
        <v>1100</v>
      </c>
      <c r="AX268" s="3">
        <v>280837.17</v>
      </c>
      <c r="BB268" t="s">
        <v>84</v>
      </c>
      <c r="BD268" s="3">
        <v>1.81</v>
      </c>
      <c r="BE268" s="4">
        <v>1160</v>
      </c>
      <c r="BF268" s="1">
        <v>642</v>
      </c>
      <c r="BG268" s="1">
        <v>48</v>
      </c>
      <c r="BH268" s="1">
        <v>64</v>
      </c>
      <c r="BI268" s="1">
        <v>1</v>
      </c>
      <c r="BK268" t="s">
        <v>1997</v>
      </c>
      <c r="BL268" t="s">
        <v>365</v>
      </c>
    </row>
    <row r="269" spans="1:64" x14ac:dyDescent="0.25">
      <c r="A269" t="s">
        <v>1595</v>
      </c>
      <c r="B269" t="s">
        <v>1596</v>
      </c>
      <c r="C269" s="4">
        <f>(AA269*(H269*0.9))*12</f>
        <v>5378918.4000000004</v>
      </c>
      <c r="D269" s="4">
        <f>IF(C269=0,"",(H269*150*12)+C269)</f>
        <v>6070118.4000000004</v>
      </c>
      <c r="E269" s="4">
        <f>IFERROR(D269*0.5,"")</f>
        <v>3035059.2</v>
      </c>
      <c r="F269" s="4">
        <f>IFERROR(E269/0.06,"")</f>
        <v>50584320.000000007</v>
      </c>
      <c r="G269" s="4">
        <f>IFERROR(F269/H269,"")</f>
        <v>131730.00000000003</v>
      </c>
      <c r="H269" s="1">
        <v>384</v>
      </c>
      <c r="I269" s="1">
        <v>1985</v>
      </c>
      <c r="J269" t="s">
        <v>64</v>
      </c>
      <c r="K269" t="s">
        <v>97</v>
      </c>
      <c r="L269" t="s">
        <v>859</v>
      </c>
      <c r="M269" t="s">
        <v>1597</v>
      </c>
      <c r="N269" t="s">
        <v>1598</v>
      </c>
      <c r="O269" t="s">
        <v>859</v>
      </c>
      <c r="P269" s="1">
        <v>3</v>
      </c>
      <c r="Q269" t="s">
        <v>69</v>
      </c>
      <c r="R269" t="s">
        <v>70</v>
      </c>
      <c r="S269" t="s">
        <v>71</v>
      </c>
      <c r="U269" t="s">
        <v>72</v>
      </c>
      <c r="V269" t="s">
        <v>1599</v>
      </c>
      <c r="W269" t="s">
        <v>74</v>
      </c>
      <c r="X269" t="s">
        <v>1600</v>
      </c>
      <c r="Y269" s="2">
        <v>864</v>
      </c>
      <c r="Z269" s="3">
        <v>1.5</v>
      </c>
      <c r="AA269" s="4">
        <v>1297</v>
      </c>
      <c r="AK269" s="5">
        <v>23.697900000000001</v>
      </c>
      <c r="AN269" s="1">
        <v>2</v>
      </c>
      <c r="AO269" t="s">
        <v>81</v>
      </c>
      <c r="AP269" t="s">
        <v>82</v>
      </c>
      <c r="AQ269" t="s">
        <v>83</v>
      </c>
      <c r="AR269" s="3">
        <v>1.41</v>
      </c>
      <c r="AS269" s="4">
        <v>1375</v>
      </c>
      <c r="AT269" s="1">
        <v>974</v>
      </c>
      <c r="AU269" s="3">
        <v>1.56</v>
      </c>
      <c r="AV269" s="4">
        <v>1870</v>
      </c>
      <c r="AW269" s="1">
        <v>1199</v>
      </c>
      <c r="AX269" s="3">
        <v>1039324.46</v>
      </c>
      <c r="BB269" t="s">
        <v>84</v>
      </c>
      <c r="BD269" s="3">
        <v>1.64</v>
      </c>
      <c r="BE269" s="4">
        <v>1149</v>
      </c>
      <c r="BF269" s="1">
        <v>702</v>
      </c>
      <c r="BG269" s="1">
        <v>168</v>
      </c>
      <c r="BH269" s="1">
        <v>200</v>
      </c>
      <c r="BI269" s="1">
        <v>16</v>
      </c>
      <c r="BK269" t="s">
        <v>1601</v>
      </c>
      <c r="BL269" t="s">
        <v>365</v>
      </c>
    </row>
    <row r="270" spans="1:64" x14ac:dyDescent="0.25">
      <c r="A270" t="s">
        <v>278</v>
      </c>
      <c r="B270" t="s">
        <v>279</v>
      </c>
      <c r="C270" s="4">
        <f>(AA270*(H270*0.9))*12</f>
        <v>3364416</v>
      </c>
      <c r="D270" s="4">
        <f>IF(C270=0,"",(H270*150*12)+C270)</f>
        <v>3796416</v>
      </c>
      <c r="E270" s="4">
        <f>IFERROR(D270*0.5,"")</f>
        <v>1898208</v>
      </c>
      <c r="F270" s="4">
        <f>IFERROR(E270/0.06,"")</f>
        <v>31636800</v>
      </c>
      <c r="G270" s="4">
        <f>IFERROR(F270/H270,"")</f>
        <v>131820</v>
      </c>
      <c r="H270" s="1">
        <v>240</v>
      </c>
      <c r="I270" s="1">
        <v>1986</v>
      </c>
      <c r="J270" t="s">
        <v>64</v>
      </c>
      <c r="K270" t="s">
        <v>280</v>
      </c>
      <c r="L270" t="s">
        <v>281</v>
      </c>
      <c r="M270" t="s">
        <v>282</v>
      </c>
      <c r="N270" t="s">
        <v>283</v>
      </c>
      <c r="O270" t="s">
        <v>281</v>
      </c>
      <c r="P270" s="1">
        <v>3</v>
      </c>
      <c r="Q270" t="s">
        <v>91</v>
      </c>
      <c r="R270" t="s">
        <v>70</v>
      </c>
      <c r="S270" t="s">
        <v>71</v>
      </c>
      <c r="U270" t="s">
        <v>72</v>
      </c>
      <c r="V270" t="s">
        <v>152</v>
      </c>
      <c r="W270" t="s">
        <v>74</v>
      </c>
      <c r="X270" t="s">
        <v>284</v>
      </c>
      <c r="Y270" s="2">
        <v>756</v>
      </c>
      <c r="Z270" s="3">
        <v>1.72</v>
      </c>
      <c r="AA270" s="4">
        <v>1298</v>
      </c>
      <c r="AK270" s="5">
        <v>6.25</v>
      </c>
      <c r="AM270" s="1">
        <v>2019</v>
      </c>
      <c r="AN270" s="1">
        <v>3</v>
      </c>
      <c r="AO270" t="s">
        <v>81</v>
      </c>
      <c r="AP270" t="s">
        <v>82</v>
      </c>
      <c r="AQ270" t="s">
        <v>83</v>
      </c>
      <c r="AR270" s="3">
        <v>1.64</v>
      </c>
      <c r="AS270" s="4">
        <v>1418</v>
      </c>
      <c r="AT270" s="1">
        <v>864</v>
      </c>
      <c r="AX270" s="3">
        <v>734546.88</v>
      </c>
      <c r="AY270" s="3">
        <v>1.86</v>
      </c>
      <c r="AZ270" s="4">
        <v>1150</v>
      </c>
      <c r="BA270" s="6">
        <v>617</v>
      </c>
      <c r="BB270" t="s">
        <v>84</v>
      </c>
      <c r="BD270" s="3">
        <v>1.82</v>
      </c>
      <c r="BE270" s="4">
        <v>1163</v>
      </c>
      <c r="BF270" s="1">
        <v>639</v>
      </c>
      <c r="BG270" s="1">
        <v>72</v>
      </c>
      <c r="BH270" s="1">
        <v>129</v>
      </c>
      <c r="BK270" t="s">
        <v>285</v>
      </c>
      <c r="BL270" t="s">
        <v>104</v>
      </c>
    </row>
    <row r="271" spans="1:64" x14ac:dyDescent="0.25">
      <c r="A271" t="s">
        <v>343</v>
      </c>
      <c r="B271" t="s">
        <v>344</v>
      </c>
      <c r="C271" s="4">
        <f>(AA271*(H271*0.9))*12</f>
        <v>1407240</v>
      </c>
      <c r="D271" s="4">
        <f>IF(C271=0,"",(H271*150*12)+C271)</f>
        <v>1587240</v>
      </c>
      <c r="E271" s="4">
        <f>IFERROR(D271*0.5,"")</f>
        <v>793620</v>
      </c>
      <c r="F271" s="4">
        <f>IFERROR(E271/0.06,"")</f>
        <v>13227000</v>
      </c>
      <c r="G271" s="4">
        <f>IFERROR(F271/H271,"")</f>
        <v>132270</v>
      </c>
      <c r="H271" s="1">
        <v>100</v>
      </c>
      <c r="I271" s="1">
        <v>1985</v>
      </c>
      <c r="J271" t="s">
        <v>64</v>
      </c>
      <c r="K271" t="s">
        <v>114</v>
      </c>
      <c r="L271" t="s">
        <v>345</v>
      </c>
      <c r="M271" t="s">
        <v>346</v>
      </c>
      <c r="N271" t="s">
        <v>347</v>
      </c>
      <c r="O271" t="s">
        <v>345</v>
      </c>
      <c r="P271" s="1">
        <v>3</v>
      </c>
      <c r="Q271" t="s">
        <v>69</v>
      </c>
      <c r="R271" t="s">
        <v>70</v>
      </c>
      <c r="S271" t="s">
        <v>71</v>
      </c>
      <c r="U271" t="s">
        <v>72</v>
      </c>
      <c r="V271" t="s">
        <v>348</v>
      </c>
      <c r="W271" t="s">
        <v>74</v>
      </c>
      <c r="X271" t="s">
        <v>349</v>
      </c>
      <c r="Y271" s="2">
        <v>772</v>
      </c>
      <c r="Z271" s="3">
        <v>1.69</v>
      </c>
      <c r="AA271" s="4">
        <v>1303</v>
      </c>
      <c r="AK271" s="5">
        <v>3</v>
      </c>
      <c r="AN271" s="1">
        <v>2</v>
      </c>
      <c r="AO271" t="s">
        <v>81</v>
      </c>
      <c r="AP271" t="s">
        <v>82</v>
      </c>
      <c r="AQ271" t="s">
        <v>83</v>
      </c>
      <c r="AR271" s="3">
        <v>1.55</v>
      </c>
      <c r="AS271" s="4">
        <v>1455</v>
      </c>
      <c r="AT271" s="1">
        <v>936</v>
      </c>
      <c r="AX271" s="3">
        <v>197046.92</v>
      </c>
      <c r="BB271" t="s">
        <v>84</v>
      </c>
      <c r="BD271" s="3">
        <v>1.81</v>
      </c>
      <c r="BE271" s="4">
        <v>1202</v>
      </c>
      <c r="BF271" s="1">
        <v>663</v>
      </c>
      <c r="BG271" s="1">
        <v>60</v>
      </c>
      <c r="BH271" s="1">
        <v>40</v>
      </c>
      <c r="BK271" t="s">
        <v>350</v>
      </c>
      <c r="BL271" t="s">
        <v>104</v>
      </c>
    </row>
    <row r="272" spans="1:64" x14ac:dyDescent="0.25">
      <c r="A272" t="s">
        <v>4079</v>
      </c>
      <c r="B272" t="s">
        <v>4080</v>
      </c>
      <c r="C272" s="4">
        <f>(AA272*(H272*0.9))*12</f>
        <v>3180362.4000000004</v>
      </c>
      <c r="D272" s="4">
        <f>IF(C272=0,"",(H272*150*12)+C272)</f>
        <v>3587162.4000000004</v>
      </c>
      <c r="E272" s="4">
        <f>IFERROR(D272*0.5,"")</f>
        <v>1793581.2000000002</v>
      </c>
      <c r="F272" s="4">
        <f>IFERROR(E272/0.06,"")</f>
        <v>29893020.000000004</v>
      </c>
      <c r="G272" s="4">
        <f>IFERROR(F272/H272,"")</f>
        <v>132270.00000000003</v>
      </c>
      <c r="H272" s="1">
        <v>226</v>
      </c>
      <c r="I272" s="1">
        <v>1996</v>
      </c>
      <c r="J272" t="s">
        <v>64</v>
      </c>
      <c r="K272" t="s">
        <v>198</v>
      </c>
      <c r="L272" t="s">
        <v>4081</v>
      </c>
      <c r="M272" t="s">
        <v>4082</v>
      </c>
      <c r="N272" t="s">
        <v>4083</v>
      </c>
      <c r="O272" t="s">
        <v>4081</v>
      </c>
      <c r="P272" s="1">
        <v>4</v>
      </c>
      <c r="Q272" t="s">
        <v>729</v>
      </c>
      <c r="R272" t="s">
        <v>70</v>
      </c>
      <c r="S272" t="s">
        <v>71</v>
      </c>
      <c r="U272" t="s">
        <v>72</v>
      </c>
      <c r="V272" t="s">
        <v>110</v>
      </c>
      <c r="W272" t="s">
        <v>74</v>
      </c>
      <c r="X272" t="s">
        <v>202</v>
      </c>
      <c r="Y272" s="2">
        <v>880</v>
      </c>
      <c r="Z272" s="3">
        <v>1.48</v>
      </c>
      <c r="AA272" s="4">
        <v>1303</v>
      </c>
      <c r="AK272" s="5">
        <v>3.5398000000000001</v>
      </c>
      <c r="AN272" s="1">
        <v>3</v>
      </c>
      <c r="AO272" t="s">
        <v>81</v>
      </c>
      <c r="AP272" t="s">
        <v>82</v>
      </c>
      <c r="AQ272" t="s">
        <v>83</v>
      </c>
      <c r="AR272" s="3">
        <v>1.45</v>
      </c>
      <c r="AS272" s="4">
        <v>1437</v>
      </c>
      <c r="AT272" s="1">
        <v>991</v>
      </c>
      <c r="AU272" s="3">
        <v>1.49</v>
      </c>
      <c r="AV272" s="4">
        <v>1960</v>
      </c>
      <c r="AW272" s="1">
        <v>1313</v>
      </c>
      <c r="AX272" s="3">
        <v>769324.16</v>
      </c>
      <c r="BB272" t="s">
        <v>84</v>
      </c>
      <c r="BD272" s="3">
        <v>1.51</v>
      </c>
      <c r="BE272" s="4">
        <v>1069</v>
      </c>
      <c r="BF272" s="1">
        <v>706</v>
      </c>
      <c r="BG272" s="1">
        <v>108</v>
      </c>
      <c r="BH272" s="1">
        <v>100</v>
      </c>
      <c r="BI272" s="1">
        <v>18</v>
      </c>
    </row>
    <row r="273" spans="1:67" x14ac:dyDescent="0.25">
      <c r="A273" t="s">
        <v>587</v>
      </c>
      <c r="B273" t="s">
        <v>588</v>
      </c>
      <c r="C273" s="4">
        <f>(AA273*(H273*0.9))*12</f>
        <v>3664440</v>
      </c>
      <c r="D273" s="4">
        <f>IF(C273=0,"",(H273*150*12)+C273)</f>
        <v>4132440</v>
      </c>
      <c r="E273" s="4">
        <f>IFERROR(D273*0.5,"")</f>
        <v>2066220</v>
      </c>
      <c r="F273" s="4">
        <f>IFERROR(E273/0.06,"")</f>
        <v>34437000</v>
      </c>
      <c r="G273" s="4">
        <f>IFERROR(F273/H273,"")</f>
        <v>132450</v>
      </c>
      <c r="H273" s="1">
        <v>260</v>
      </c>
      <c r="I273" s="1">
        <v>1986</v>
      </c>
      <c r="J273" t="s">
        <v>64</v>
      </c>
      <c r="K273" t="s">
        <v>123</v>
      </c>
      <c r="L273" t="s">
        <v>589</v>
      </c>
      <c r="M273" t="s">
        <v>590</v>
      </c>
      <c r="N273" t="s">
        <v>591</v>
      </c>
      <c r="O273" t="s">
        <v>589</v>
      </c>
      <c r="P273" s="1">
        <v>3</v>
      </c>
      <c r="Q273" t="s">
        <v>91</v>
      </c>
      <c r="R273" t="s">
        <v>70</v>
      </c>
      <c r="S273" t="s">
        <v>71</v>
      </c>
      <c r="U273" t="s">
        <v>72</v>
      </c>
      <c r="V273" t="s">
        <v>129</v>
      </c>
      <c r="W273" t="s">
        <v>74</v>
      </c>
      <c r="X273" t="s">
        <v>130</v>
      </c>
      <c r="Y273" s="2">
        <v>780</v>
      </c>
      <c r="Z273" s="3">
        <v>1.67</v>
      </c>
      <c r="AA273" s="4">
        <v>1305</v>
      </c>
      <c r="AK273" s="5">
        <v>1.9231</v>
      </c>
      <c r="AN273" s="1">
        <v>1</v>
      </c>
      <c r="AO273" t="s">
        <v>81</v>
      </c>
      <c r="AP273" t="s">
        <v>82</v>
      </c>
      <c r="AQ273" t="s">
        <v>83</v>
      </c>
      <c r="AR273" s="3">
        <v>1.63</v>
      </c>
      <c r="AS273" s="4">
        <v>1502</v>
      </c>
      <c r="AT273" s="1">
        <v>920</v>
      </c>
      <c r="AU273" s="3">
        <v>1.64</v>
      </c>
      <c r="AV273" s="4">
        <v>1802</v>
      </c>
      <c r="AW273" s="1">
        <v>1100</v>
      </c>
      <c r="AX273" s="3">
        <v>426444.22</v>
      </c>
      <c r="BB273" t="s">
        <v>84</v>
      </c>
      <c r="BD273" s="3">
        <v>1.76</v>
      </c>
      <c r="BE273" s="4">
        <v>1001</v>
      </c>
      <c r="BF273" s="1">
        <v>569</v>
      </c>
      <c r="BG273" s="1">
        <v>112</v>
      </c>
      <c r="BH273" s="1">
        <v>132</v>
      </c>
      <c r="BI273" s="1">
        <v>16</v>
      </c>
      <c r="BK273" t="s">
        <v>592</v>
      </c>
      <c r="BL273" t="s">
        <v>104</v>
      </c>
    </row>
    <row r="274" spans="1:67" x14ac:dyDescent="0.25">
      <c r="A274" t="s">
        <v>1475</v>
      </c>
      <c r="B274" t="s">
        <v>1476</v>
      </c>
      <c r="C274" s="4">
        <f>(AA274*(H274*0.9))*12</f>
        <v>6724166.4000000004</v>
      </c>
      <c r="D274" s="4">
        <f>IF(C274=0,"",(H274*150*12)+C274)</f>
        <v>7580966.4000000004</v>
      </c>
      <c r="E274" s="4">
        <f>IFERROR(D274*0.5,"")</f>
        <v>3790483.2</v>
      </c>
      <c r="F274" s="4">
        <f>IFERROR(E274/0.06,"")</f>
        <v>63174720.000000007</v>
      </c>
      <c r="G274" s="4">
        <f>IFERROR(F274/H274,"")</f>
        <v>132720.00000000003</v>
      </c>
      <c r="H274" s="1">
        <v>476</v>
      </c>
      <c r="I274" s="1">
        <v>1985</v>
      </c>
      <c r="J274" t="s">
        <v>64</v>
      </c>
      <c r="K274" t="s">
        <v>264</v>
      </c>
      <c r="L274" t="s">
        <v>1477</v>
      </c>
      <c r="M274" t="s">
        <v>1478</v>
      </c>
      <c r="N274" t="s">
        <v>1479</v>
      </c>
      <c r="O274" t="s">
        <v>1477</v>
      </c>
      <c r="P274" s="1">
        <v>3</v>
      </c>
      <c r="Q274" t="s">
        <v>91</v>
      </c>
      <c r="R274" t="s">
        <v>70</v>
      </c>
      <c r="S274" t="s">
        <v>71</v>
      </c>
      <c r="U274" t="s">
        <v>72</v>
      </c>
      <c r="V274" t="s">
        <v>264</v>
      </c>
      <c r="W274" t="s">
        <v>74</v>
      </c>
      <c r="X274" t="s">
        <v>678</v>
      </c>
      <c r="Y274" s="2">
        <v>852</v>
      </c>
      <c r="Z274" s="3">
        <v>1.53</v>
      </c>
      <c r="AA274" s="4">
        <v>1308</v>
      </c>
      <c r="AK274" s="5">
        <v>12.184900000000001</v>
      </c>
      <c r="AN274" s="1">
        <v>3</v>
      </c>
      <c r="AO274" t="s">
        <v>81</v>
      </c>
      <c r="AP274" t="s">
        <v>82</v>
      </c>
      <c r="AQ274" t="s">
        <v>83</v>
      </c>
      <c r="AR274" s="3">
        <v>1.43</v>
      </c>
      <c r="AS274" s="4">
        <v>1381</v>
      </c>
      <c r="AT274" s="1">
        <v>965</v>
      </c>
      <c r="AU274" s="3">
        <v>1.49</v>
      </c>
      <c r="AV274" s="4">
        <v>1973</v>
      </c>
      <c r="AW274" s="1">
        <v>1325</v>
      </c>
      <c r="AX274" s="3">
        <v>1069047.5</v>
      </c>
      <c r="BB274" t="s">
        <v>84</v>
      </c>
      <c r="BD274" s="3">
        <v>1.68</v>
      </c>
      <c r="BE274" s="4">
        <v>1180</v>
      </c>
      <c r="BF274" s="1">
        <v>704</v>
      </c>
      <c r="BG274" s="1">
        <v>232</v>
      </c>
      <c r="BH274" s="1">
        <v>224</v>
      </c>
      <c r="BI274" s="1">
        <v>20</v>
      </c>
      <c r="BK274" t="s">
        <v>1480</v>
      </c>
    </row>
    <row r="275" spans="1:67" x14ac:dyDescent="0.25">
      <c r="A275" t="s">
        <v>1518</v>
      </c>
      <c r="B275" t="s">
        <v>1519</v>
      </c>
      <c r="C275" s="4">
        <f>(AA275*(H275*0.9))*12</f>
        <v>3449476.8</v>
      </c>
      <c r="D275" s="4">
        <f>IF(C275=0,"",(H275*150*12)+C275)</f>
        <v>3888676.8</v>
      </c>
      <c r="E275" s="4">
        <f>IFERROR(D275*0.5,"")</f>
        <v>1944338.4</v>
      </c>
      <c r="F275" s="4">
        <f>IFERROR(E275/0.06,"")</f>
        <v>32405640</v>
      </c>
      <c r="G275" s="4">
        <f>IFERROR(F275/H275,"")</f>
        <v>132810</v>
      </c>
      <c r="H275" s="1">
        <v>244</v>
      </c>
      <c r="I275" s="1">
        <v>1990</v>
      </c>
      <c r="J275" t="s">
        <v>64</v>
      </c>
      <c r="K275" t="s">
        <v>140</v>
      </c>
      <c r="L275" t="s">
        <v>1520</v>
      </c>
      <c r="M275" t="s">
        <v>1521</v>
      </c>
      <c r="N275" t="s">
        <v>1522</v>
      </c>
      <c r="O275" t="s">
        <v>1520</v>
      </c>
      <c r="P275" s="1">
        <v>4</v>
      </c>
      <c r="Q275" t="s">
        <v>91</v>
      </c>
      <c r="R275" t="s">
        <v>70</v>
      </c>
      <c r="S275" t="s">
        <v>71</v>
      </c>
      <c r="U275" t="s">
        <v>72</v>
      </c>
      <c r="V275" t="s">
        <v>140</v>
      </c>
      <c r="W275" t="s">
        <v>74</v>
      </c>
      <c r="X275" t="s">
        <v>1523</v>
      </c>
      <c r="Y275" s="2">
        <v>739</v>
      </c>
      <c r="Z275" s="3">
        <v>1.77</v>
      </c>
      <c r="AA275" s="4">
        <v>1309</v>
      </c>
      <c r="AK275" s="5">
        <v>9.4261999999999997</v>
      </c>
      <c r="AM275" s="1">
        <v>2016</v>
      </c>
      <c r="AN275" s="1">
        <v>2</v>
      </c>
      <c r="AO275" t="s">
        <v>81</v>
      </c>
      <c r="AP275" t="s">
        <v>82</v>
      </c>
      <c r="AQ275" t="s">
        <v>83</v>
      </c>
      <c r="AR275" s="3">
        <v>1.89</v>
      </c>
      <c r="AS275" s="4">
        <v>1817</v>
      </c>
      <c r="AT275" s="1">
        <v>960</v>
      </c>
      <c r="AX275" s="3">
        <v>543605.22</v>
      </c>
      <c r="BB275" t="s">
        <v>84</v>
      </c>
      <c r="BD275" s="3">
        <v>1.73</v>
      </c>
      <c r="BE275" s="4">
        <v>1172</v>
      </c>
      <c r="BF275" s="1">
        <v>679</v>
      </c>
      <c r="BG275" s="1">
        <v>192</v>
      </c>
      <c r="BH275" s="1">
        <v>52</v>
      </c>
    </row>
    <row r="276" spans="1:67" x14ac:dyDescent="0.25">
      <c r="A276" t="s">
        <v>3298</v>
      </c>
      <c r="B276" t="s">
        <v>3299</v>
      </c>
      <c r="C276" s="4">
        <f>(AA276*(H276*0.9))*12</f>
        <v>5456959.2000000002</v>
      </c>
      <c r="D276" s="4">
        <f>IF(C276=0,"",(H276*150*12)+C276)</f>
        <v>6151759.2000000002</v>
      </c>
      <c r="E276" s="4">
        <f>IFERROR(D276*0.5,"")</f>
        <v>3075879.6</v>
      </c>
      <c r="F276" s="4">
        <f>IFERROR(E276/0.06,"")</f>
        <v>51264660</v>
      </c>
      <c r="G276" s="4">
        <f>IFERROR(F276/H276,"")</f>
        <v>132810</v>
      </c>
      <c r="H276" s="1">
        <v>386</v>
      </c>
      <c r="I276" s="1">
        <v>1996</v>
      </c>
      <c r="J276" t="s">
        <v>64</v>
      </c>
      <c r="K276" t="s">
        <v>814</v>
      </c>
      <c r="L276" t="s">
        <v>735</v>
      </c>
      <c r="M276" t="s">
        <v>3300</v>
      </c>
      <c r="N276" t="s">
        <v>3301</v>
      </c>
      <c r="O276" t="s">
        <v>735</v>
      </c>
      <c r="P276" s="1">
        <v>3</v>
      </c>
      <c r="Q276" t="s">
        <v>91</v>
      </c>
      <c r="R276" t="s">
        <v>70</v>
      </c>
      <c r="S276" t="s">
        <v>71</v>
      </c>
      <c r="U276" t="s">
        <v>72</v>
      </c>
      <c r="V276" t="s">
        <v>814</v>
      </c>
      <c r="W276" t="s">
        <v>74</v>
      </c>
      <c r="X276" t="s">
        <v>816</v>
      </c>
      <c r="Y276" s="2">
        <v>908</v>
      </c>
      <c r="Z276" s="3">
        <v>1.44</v>
      </c>
      <c r="AA276" s="4">
        <v>1309</v>
      </c>
      <c r="AK276" s="5">
        <v>8.5492000000000008</v>
      </c>
      <c r="AN276" s="1">
        <v>2</v>
      </c>
      <c r="AO276" t="s">
        <v>81</v>
      </c>
      <c r="AP276" t="s">
        <v>82</v>
      </c>
      <c r="AQ276" t="s">
        <v>83</v>
      </c>
      <c r="AR276" s="3">
        <v>1.27</v>
      </c>
      <c r="AS276" s="4">
        <v>1456</v>
      </c>
      <c r="AT276" s="1">
        <v>1142</v>
      </c>
      <c r="AU276" s="3">
        <v>1.37</v>
      </c>
      <c r="AV276" s="4">
        <v>1978</v>
      </c>
      <c r="AW276" s="1">
        <v>1449</v>
      </c>
      <c r="AX276" s="3">
        <v>1047836.34</v>
      </c>
      <c r="BB276" t="s">
        <v>84</v>
      </c>
      <c r="BD276" s="3">
        <v>1.58</v>
      </c>
      <c r="BE276" s="4">
        <v>1198</v>
      </c>
      <c r="BF276" s="1">
        <v>757</v>
      </c>
      <c r="BG276" s="1">
        <v>244</v>
      </c>
      <c r="BH276" s="1">
        <v>130</v>
      </c>
      <c r="BI276" s="1">
        <v>12</v>
      </c>
      <c r="BK276" t="s">
        <v>3302</v>
      </c>
    </row>
    <row r="277" spans="1:67" x14ac:dyDescent="0.25">
      <c r="A277" t="s">
        <v>1518</v>
      </c>
      <c r="B277" t="s">
        <v>1519</v>
      </c>
      <c r="C277" s="4">
        <f>(AA277*(H277*0.9))*12</f>
        <v>3449476.8</v>
      </c>
      <c r="D277" s="4">
        <f>IF(C277=0,"",(H277*150*12)+C277)</f>
        <v>3888676.8</v>
      </c>
      <c r="E277" s="4">
        <f>IFERROR(D277*0.5,"")</f>
        <v>1944338.4</v>
      </c>
      <c r="F277" s="4">
        <f>IFERROR(E277/0.06,"")</f>
        <v>32405640</v>
      </c>
      <c r="G277" s="4">
        <f>IFERROR(F277/H277,"")</f>
        <v>132810</v>
      </c>
      <c r="H277" s="1">
        <v>244</v>
      </c>
      <c r="I277" s="1">
        <v>1990</v>
      </c>
      <c r="J277" t="s">
        <v>64</v>
      </c>
      <c r="K277" t="s">
        <v>140</v>
      </c>
      <c r="L277" t="s">
        <v>1520</v>
      </c>
      <c r="M277" t="s">
        <v>1521</v>
      </c>
      <c r="N277" t="s">
        <v>1522</v>
      </c>
      <c r="O277" t="s">
        <v>1520</v>
      </c>
      <c r="P277" s="1">
        <v>4</v>
      </c>
      <c r="Q277" t="s">
        <v>91</v>
      </c>
      <c r="R277" t="s">
        <v>70</v>
      </c>
      <c r="S277" t="s">
        <v>71</v>
      </c>
      <c r="U277" t="s">
        <v>72</v>
      </c>
      <c r="V277" t="s">
        <v>140</v>
      </c>
      <c r="W277" t="s">
        <v>74</v>
      </c>
      <c r="X277" t="s">
        <v>1523</v>
      </c>
      <c r="Y277" s="2">
        <v>739</v>
      </c>
      <c r="Z277" s="3">
        <v>1.77</v>
      </c>
      <c r="AA277" s="4">
        <v>1309</v>
      </c>
      <c r="AK277" s="5">
        <v>9.4261999999999997</v>
      </c>
      <c r="AM277" s="1">
        <v>2016</v>
      </c>
      <c r="AN277" s="1">
        <v>2</v>
      </c>
      <c r="AO277" t="s">
        <v>81</v>
      </c>
      <c r="AP277" t="s">
        <v>82</v>
      </c>
      <c r="AQ277" t="s">
        <v>83</v>
      </c>
      <c r="AR277" s="3">
        <v>1.89</v>
      </c>
      <c r="AS277" s="4">
        <v>1812</v>
      </c>
      <c r="AT277" s="1">
        <v>960</v>
      </c>
      <c r="AX277" s="3">
        <v>543605.22</v>
      </c>
      <c r="BB277" t="s">
        <v>84</v>
      </c>
      <c r="BD277" s="3">
        <v>1.73</v>
      </c>
      <c r="BE277" s="4">
        <v>1173</v>
      </c>
      <c r="BF277" s="1">
        <v>679</v>
      </c>
      <c r="BG277" s="1">
        <v>192</v>
      </c>
      <c r="BH277" s="1">
        <v>52</v>
      </c>
    </row>
    <row r="278" spans="1:67" x14ac:dyDescent="0.25">
      <c r="A278" t="s">
        <v>4112</v>
      </c>
      <c r="B278" t="s">
        <v>4113</v>
      </c>
      <c r="C278" s="4">
        <f>(AA278*(H278*0.9))*12</f>
        <v>4170474</v>
      </c>
      <c r="D278" s="4">
        <f>IF(C278=0,"",(H278*150*12)+C278)</f>
        <v>4701474</v>
      </c>
      <c r="E278" s="4">
        <f>IFERROR(D278*0.5,"")</f>
        <v>2350737</v>
      </c>
      <c r="F278" s="4">
        <f>IFERROR(E278/0.06,"")</f>
        <v>39178950</v>
      </c>
      <c r="G278" s="4">
        <f>IFERROR(F278/H278,"")</f>
        <v>132810</v>
      </c>
      <c r="H278" s="1">
        <v>295</v>
      </c>
      <c r="I278" s="1">
        <v>2000</v>
      </c>
      <c r="J278" t="s">
        <v>64</v>
      </c>
      <c r="K278" t="s">
        <v>156</v>
      </c>
      <c r="L278" t="s">
        <v>2895</v>
      </c>
      <c r="M278" t="s">
        <v>4114</v>
      </c>
      <c r="N278" t="s">
        <v>4115</v>
      </c>
      <c r="O278" t="s">
        <v>2895</v>
      </c>
      <c r="P278" s="1">
        <v>3</v>
      </c>
      <c r="Q278" t="s">
        <v>91</v>
      </c>
      <c r="R278" t="s">
        <v>70</v>
      </c>
      <c r="S278" t="s">
        <v>71</v>
      </c>
      <c r="U278" t="s">
        <v>72</v>
      </c>
      <c r="V278" t="s">
        <v>427</v>
      </c>
      <c r="W278" t="s">
        <v>74</v>
      </c>
      <c r="X278" t="s">
        <v>600</v>
      </c>
      <c r="Y278" s="2">
        <v>942</v>
      </c>
      <c r="Z278" s="3">
        <v>1.39</v>
      </c>
      <c r="AA278" s="4">
        <v>1309</v>
      </c>
      <c r="AK278" s="5">
        <v>11.186400000000001</v>
      </c>
      <c r="AM278" s="1">
        <v>2011</v>
      </c>
      <c r="AN278" s="1">
        <v>3</v>
      </c>
      <c r="AO278" t="s">
        <v>81</v>
      </c>
      <c r="AP278" t="s">
        <v>82</v>
      </c>
      <c r="AQ278" t="s">
        <v>83</v>
      </c>
      <c r="AR278" s="3">
        <v>1.42</v>
      </c>
      <c r="AS278" s="4">
        <v>1528</v>
      </c>
      <c r="AT278" s="1">
        <v>1077</v>
      </c>
      <c r="AU278" s="3">
        <v>1.33</v>
      </c>
      <c r="AV278" s="4">
        <v>1787</v>
      </c>
      <c r="AW278" s="1">
        <v>1341</v>
      </c>
      <c r="AX278" s="3">
        <v>1159997.5</v>
      </c>
      <c r="BB278" t="s">
        <v>84</v>
      </c>
      <c r="BD278" s="3">
        <v>1.37</v>
      </c>
      <c r="BE278" s="4">
        <v>1038</v>
      </c>
      <c r="BF278" s="1">
        <v>758</v>
      </c>
      <c r="BG278" s="1">
        <v>147</v>
      </c>
      <c r="BH278" s="1">
        <v>120</v>
      </c>
      <c r="BI278" s="1">
        <v>28</v>
      </c>
      <c r="BK278" t="s">
        <v>4116</v>
      </c>
      <c r="BL278" t="s">
        <v>643</v>
      </c>
    </row>
    <row r="279" spans="1:67" x14ac:dyDescent="0.25">
      <c r="A279" t="s">
        <v>351</v>
      </c>
      <c r="B279" t="s">
        <v>352</v>
      </c>
      <c r="C279" s="4">
        <f>(AA279*(H279*0.9))*12</f>
        <v>2829600</v>
      </c>
      <c r="D279" s="4">
        <f>IF(C279=0,"",(H279*150*12)+C279)</f>
        <v>3189600</v>
      </c>
      <c r="E279" s="4">
        <f>IFERROR(D279*0.5,"")</f>
        <v>1594800</v>
      </c>
      <c r="F279" s="4">
        <f>IFERROR(E279/0.06,"")</f>
        <v>26580000</v>
      </c>
      <c r="G279" s="4">
        <f>IFERROR(F279/H279,"")</f>
        <v>132900</v>
      </c>
      <c r="H279" s="1">
        <v>200</v>
      </c>
      <c r="I279" s="1">
        <v>1986</v>
      </c>
      <c r="J279" t="s">
        <v>64</v>
      </c>
      <c r="K279" t="s">
        <v>114</v>
      </c>
      <c r="L279" t="s">
        <v>353</v>
      </c>
      <c r="M279" t="s">
        <v>354</v>
      </c>
      <c r="N279" t="s">
        <v>355</v>
      </c>
      <c r="O279" t="s">
        <v>353</v>
      </c>
      <c r="P279" s="1">
        <v>3</v>
      </c>
      <c r="Q279" t="s">
        <v>69</v>
      </c>
      <c r="R279" t="s">
        <v>70</v>
      </c>
      <c r="S279" t="s">
        <v>71</v>
      </c>
      <c r="U279" t="s">
        <v>72</v>
      </c>
      <c r="V279" t="s">
        <v>356</v>
      </c>
      <c r="W279" t="s">
        <v>74</v>
      </c>
      <c r="X279" t="s">
        <v>357</v>
      </c>
      <c r="Y279" s="2">
        <v>758</v>
      </c>
      <c r="Z279" s="3">
        <v>1.73</v>
      </c>
      <c r="AA279" s="4">
        <v>1310</v>
      </c>
      <c r="AK279" s="5">
        <v>9</v>
      </c>
      <c r="AN279" s="1">
        <v>2</v>
      </c>
      <c r="AO279" t="s">
        <v>81</v>
      </c>
      <c r="AP279" t="s">
        <v>82</v>
      </c>
      <c r="AQ279" t="s">
        <v>83</v>
      </c>
      <c r="AR279" s="3">
        <v>1.51</v>
      </c>
      <c r="AS279" s="4">
        <v>1494</v>
      </c>
      <c r="AT279" s="1">
        <v>988</v>
      </c>
      <c r="AX279" s="3">
        <v>589976.44999999995</v>
      </c>
      <c r="BB279" t="s">
        <v>84</v>
      </c>
      <c r="BD279" s="3">
        <v>1.9</v>
      </c>
      <c r="BE279" s="4">
        <v>1211</v>
      </c>
      <c r="BF279" s="1">
        <v>636</v>
      </c>
      <c r="BG279" s="1">
        <v>130</v>
      </c>
      <c r="BH279" s="1">
        <v>70</v>
      </c>
      <c r="BK279" t="s">
        <v>261</v>
      </c>
      <c r="BL279" t="s">
        <v>104</v>
      </c>
    </row>
    <row r="280" spans="1:67" x14ac:dyDescent="0.25">
      <c r="A280" t="s">
        <v>2168</v>
      </c>
      <c r="B280" t="s">
        <v>2169</v>
      </c>
      <c r="C280" s="4">
        <f>(AA280*(H280*0.9))*12</f>
        <v>3398112</v>
      </c>
      <c r="D280" s="4">
        <f>IF(C280=0,"",(H280*150*12)+C280)</f>
        <v>3830112</v>
      </c>
      <c r="E280" s="4">
        <f>IFERROR(D280*0.5,"")</f>
        <v>1915056</v>
      </c>
      <c r="F280" s="4">
        <f>IFERROR(E280/0.06,"")</f>
        <v>31917600</v>
      </c>
      <c r="G280" s="4">
        <f>IFERROR(F280/H280,"")</f>
        <v>132990</v>
      </c>
      <c r="H280" s="1">
        <v>240</v>
      </c>
      <c r="I280" s="1">
        <v>1995</v>
      </c>
      <c r="J280" t="s">
        <v>64</v>
      </c>
      <c r="K280" t="s">
        <v>228</v>
      </c>
      <c r="L280" t="s">
        <v>2170</v>
      </c>
      <c r="M280" t="s">
        <v>2171</v>
      </c>
      <c r="N280" t="s">
        <v>2172</v>
      </c>
      <c r="O280" t="s">
        <v>2170</v>
      </c>
      <c r="P280" s="1">
        <v>3</v>
      </c>
      <c r="Q280" t="s">
        <v>91</v>
      </c>
      <c r="R280" t="s">
        <v>70</v>
      </c>
      <c r="S280" t="s">
        <v>71</v>
      </c>
      <c r="T280" t="s">
        <v>118</v>
      </c>
      <c r="U280" t="s">
        <v>72</v>
      </c>
      <c r="V280" t="s">
        <v>152</v>
      </c>
      <c r="W280" t="s">
        <v>74</v>
      </c>
      <c r="X280" t="s">
        <v>2173</v>
      </c>
      <c r="Y280" s="2">
        <v>812</v>
      </c>
      <c r="Z280" s="3">
        <v>1.61</v>
      </c>
      <c r="AA280" s="4">
        <v>1311</v>
      </c>
      <c r="AK280" s="5">
        <v>8.75</v>
      </c>
      <c r="AN280" s="1">
        <v>2</v>
      </c>
      <c r="AO280" t="s">
        <v>81</v>
      </c>
      <c r="AP280" t="s">
        <v>82</v>
      </c>
      <c r="AQ280" t="s">
        <v>83</v>
      </c>
      <c r="AR280" s="3">
        <v>1.57</v>
      </c>
      <c r="AS280" s="4">
        <v>1371</v>
      </c>
      <c r="AT280" s="1">
        <v>872</v>
      </c>
      <c r="AU280" s="3">
        <v>1.49</v>
      </c>
      <c r="AV280" s="4">
        <v>1577</v>
      </c>
      <c r="AW280" s="1">
        <v>1056</v>
      </c>
      <c r="AX280" s="3">
        <v>378535.56</v>
      </c>
      <c r="BB280" t="s">
        <v>84</v>
      </c>
      <c r="BD280" s="3">
        <v>1.75</v>
      </c>
      <c r="BE280" s="4">
        <v>1145</v>
      </c>
      <c r="BF280" s="1">
        <v>654</v>
      </c>
      <c r="BG280" s="1">
        <v>93</v>
      </c>
      <c r="BH280" s="1">
        <v>115</v>
      </c>
      <c r="BI280" s="1">
        <v>32</v>
      </c>
    </row>
    <row r="281" spans="1:67" x14ac:dyDescent="0.25">
      <c r="A281" t="s">
        <v>1546</v>
      </c>
      <c r="B281" t="s">
        <v>1547</v>
      </c>
      <c r="C281" s="4">
        <f>(AA281*(H281*0.9))*12</f>
        <v>6291302.4000000004</v>
      </c>
      <c r="D281" s="4">
        <f>IF(C281=0,"",(H281*150*12)+C281)</f>
        <v>7090502.4000000004</v>
      </c>
      <c r="E281" s="4">
        <f>IFERROR(D281*0.5,"")</f>
        <v>3545251.2</v>
      </c>
      <c r="F281" s="4">
        <f>IFERROR(E281/0.06,"")</f>
        <v>59087520.000000007</v>
      </c>
      <c r="G281" s="4">
        <f>IFERROR(F281/H281,"")</f>
        <v>133080.00000000003</v>
      </c>
      <c r="H281" s="1">
        <v>444</v>
      </c>
      <c r="I281" s="1">
        <v>1987</v>
      </c>
      <c r="J281" t="s">
        <v>64</v>
      </c>
      <c r="K281" t="s">
        <v>269</v>
      </c>
      <c r="L281" t="s">
        <v>1548</v>
      </c>
      <c r="M281" t="s">
        <v>1549</v>
      </c>
      <c r="N281" t="s">
        <v>1550</v>
      </c>
      <c r="O281" t="s">
        <v>1548</v>
      </c>
      <c r="P281" s="1">
        <v>4</v>
      </c>
      <c r="Q281" t="s">
        <v>91</v>
      </c>
      <c r="R281" t="s">
        <v>70</v>
      </c>
      <c r="S281" t="s">
        <v>71</v>
      </c>
      <c r="T281" t="s">
        <v>128</v>
      </c>
      <c r="U281" t="s">
        <v>72</v>
      </c>
      <c r="V281" t="s">
        <v>73</v>
      </c>
      <c r="W281" t="s">
        <v>74</v>
      </c>
      <c r="X281" t="s">
        <v>1551</v>
      </c>
      <c r="Y281" s="2">
        <v>798</v>
      </c>
      <c r="Z281" s="3">
        <v>1.64</v>
      </c>
      <c r="AA281" s="4">
        <v>1312</v>
      </c>
      <c r="AK281" s="5">
        <v>4.5045000000000002</v>
      </c>
      <c r="AM281" s="1">
        <v>2014</v>
      </c>
      <c r="AN281" s="1">
        <v>4</v>
      </c>
      <c r="AO281" t="s">
        <v>81</v>
      </c>
      <c r="AP281" t="s">
        <v>82</v>
      </c>
      <c r="AQ281" t="s">
        <v>83</v>
      </c>
      <c r="AR281" s="3">
        <v>1.62</v>
      </c>
      <c r="AS281" s="4">
        <v>1680</v>
      </c>
      <c r="AT281" s="1">
        <v>1036</v>
      </c>
      <c r="AX281" s="3">
        <v>1358462.63</v>
      </c>
      <c r="BB281" t="s">
        <v>84</v>
      </c>
      <c r="BD281" s="3">
        <v>1.65</v>
      </c>
      <c r="BE281" s="4">
        <v>1205</v>
      </c>
      <c r="BF281" s="1">
        <v>730</v>
      </c>
      <c r="BG281" s="1">
        <v>344</v>
      </c>
      <c r="BH281" s="1">
        <v>100</v>
      </c>
      <c r="BL281" t="s">
        <v>131</v>
      </c>
    </row>
    <row r="282" spans="1:67" x14ac:dyDescent="0.25">
      <c r="A282" t="s">
        <v>4157</v>
      </c>
      <c r="B282" t="s">
        <v>4158</v>
      </c>
      <c r="C282" s="4">
        <f>(AA282*(H282*0.9))*12</f>
        <v>4760985.6000000006</v>
      </c>
      <c r="D282" s="4">
        <f>IF(C282=0,"",(H282*150*12)+C282)</f>
        <v>5365785.6000000006</v>
      </c>
      <c r="E282" s="4">
        <f>IFERROR(D282*0.5,"")</f>
        <v>2682892.8000000003</v>
      </c>
      <c r="F282" s="4">
        <f>IFERROR(E282/0.06,"")</f>
        <v>44714880.000000007</v>
      </c>
      <c r="G282" s="4">
        <f>IFERROR(F282/H282,"")</f>
        <v>133080.00000000003</v>
      </c>
      <c r="H282" s="1">
        <v>336</v>
      </c>
      <c r="I282" s="1">
        <v>2000</v>
      </c>
      <c r="J282" t="s">
        <v>64</v>
      </c>
      <c r="K282" t="s">
        <v>841</v>
      </c>
      <c r="L282" t="s">
        <v>1538</v>
      </c>
      <c r="M282" t="s">
        <v>4159</v>
      </c>
      <c r="N282" t="s">
        <v>4160</v>
      </c>
      <c r="O282" t="s">
        <v>1538</v>
      </c>
      <c r="P282" s="1">
        <v>4</v>
      </c>
      <c r="Q282" t="s">
        <v>729</v>
      </c>
      <c r="R282" t="s">
        <v>70</v>
      </c>
      <c r="S282" t="s">
        <v>71</v>
      </c>
      <c r="U282" t="s">
        <v>72</v>
      </c>
      <c r="V282" t="s">
        <v>841</v>
      </c>
      <c r="W282" t="s">
        <v>74</v>
      </c>
      <c r="X282" t="s">
        <v>4161</v>
      </c>
      <c r="Y282" s="2">
        <v>972</v>
      </c>
      <c r="Z282" s="3">
        <v>1.35</v>
      </c>
      <c r="AA282" s="4">
        <v>1312</v>
      </c>
      <c r="AK282" s="5">
        <v>7.7381000000000002</v>
      </c>
      <c r="AN282" s="1">
        <v>3</v>
      </c>
      <c r="AO282" t="s">
        <v>81</v>
      </c>
      <c r="AP282" t="s">
        <v>82</v>
      </c>
      <c r="AQ282" t="s">
        <v>83</v>
      </c>
      <c r="AR282" s="3">
        <v>1.41</v>
      </c>
      <c r="AS282" s="4">
        <v>1532</v>
      </c>
      <c r="AT282" s="1">
        <v>1087</v>
      </c>
      <c r="AU282" s="3">
        <v>1.44</v>
      </c>
      <c r="AV282" s="4">
        <v>1819</v>
      </c>
      <c r="AW282" s="1">
        <v>1262</v>
      </c>
      <c r="AX282" s="3">
        <v>808771.39</v>
      </c>
      <c r="BB282" t="s">
        <v>84</v>
      </c>
      <c r="BD282" s="3">
        <v>1.29</v>
      </c>
      <c r="BE282" s="4">
        <v>965</v>
      </c>
      <c r="BF282" s="1">
        <v>746</v>
      </c>
      <c r="BG282" s="1">
        <v>132</v>
      </c>
      <c r="BH282" s="1">
        <v>168</v>
      </c>
      <c r="BI282" s="1">
        <v>36</v>
      </c>
    </row>
    <row r="283" spans="1:67" x14ac:dyDescent="0.25">
      <c r="A283" t="s">
        <v>1920</v>
      </c>
      <c r="B283" t="s">
        <v>1921</v>
      </c>
      <c r="C283" s="4">
        <f>(AA283*(H283*0.9))*12</f>
        <v>5785603.1999999993</v>
      </c>
      <c r="D283" s="4">
        <f>IF(C283=0,"",(H283*150*12)+C283)</f>
        <v>6520003.1999999993</v>
      </c>
      <c r="E283" s="4">
        <f>IFERROR(D283*0.5,"")</f>
        <v>3260001.5999999996</v>
      </c>
      <c r="F283" s="4">
        <f>IFERROR(E283/0.06,"")</f>
        <v>54333359.999999993</v>
      </c>
      <c r="G283" s="4">
        <f>IFERROR(F283/H283,"")</f>
        <v>133169.99999999997</v>
      </c>
      <c r="H283" s="1">
        <v>408</v>
      </c>
      <c r="I283" s="1">
        <v>1987</v>
      </c>
      <c r="J283" t="s">
        <v>64</v>
      </c>
      <c r="K283" t="s">
        <v>409</v>
      </c>
      <c r="L283" t="s">
        <v>1922</v>
      </c>
      <c r="M283" t="s">
        <v>1923</v>
      </c>
      <c r="N283" t="s">
        <v>1924</v>
      </c>
      <c r="O283" t="s">
        <v>1922</v>
      </c>
      <c r="P283" s="1">
        <v>3</v>
      </c>
      <c r="Q283" t="s">
        <v>91</v>
      </c>
      <c r="R283" t="s">
        <v>70</v>
      </c>
      <c r="S283" t="s">
        <v>71</v>
      </c>
      <c r="U283" t="s">
        <v>72</v>
      </c>
      <c r="V283" t="s">
        <v>110</v>
      </c>
      <c r="W283" t="s">
        <v>74</v>
      </c>
      <c r="X283" t="s">
        <v>412</v>
      </c>
      <c r="Y283" s="2">
        <v>786</v>
      </c>
      <c r="Z283" s="3">
        <v>1.67</v>
      </c>
      <c r="AA283" s="4">
        <v>1313</v>
      </c>
      <c r="AK283" s="5">
        <v>8.3332999999999995</v>
      </c>
      <c r="AN283" s="1">
        <v>2</v>
      </c>
      <c r="AO283" t="s">
        <v>81</v>
      </c>
      <c r="AP283" t="s">
        <v>82</v>
      </c>
      <c r="AQ283" t="s">
        <v>83</v>
      </c>
      <c r="AR283" s="3">
        <v>1.66</v>
      </c>
      <c r="AS283" s="4">
        <v>1640</v>
      </c>
      <c r="AT283" s="1">
        <v>987</v>
      </c>
      <c r="AX283" s="3">
        <v>1277205.54</v>
      </c>
      <c r="BB283" t="s">
        <v>84</v>
      </c>
      <c r="BD283" s="3">
        <v>1.67</v>
      </c>
      <c r="BE283" s="4">
        <v>1176</v>
      </c>
      <c r="BF283" s="1">
        <v>704</v>
      </c>
      <c r="BG283" s="1">
        <v>288</v>
      </c>
      <c r="BH283" s="1">
        <v>120</v>
      </c>
    </row>
    <row r="284" spans="1:67" x14ac:dyDescent="0.25">
      <c r="A284" t="s">
        <v>2402</v>
      </c>
      <c r="B284" t="s">
        <v>2403</v>
      </c>
      <c r="C284" s="4">
        <f>(AA284*(H284*0.9))*12</f>
        <v>1138752</v>
      </c>
      <c r="D284" s="4">
        <f>IF(C284=0,"",(H284*150*12)+C284)</f>
        <v>1282752</v>
      </c>
      <c r="E284" s="4">
        <f>IFERROR(D284*0.5,"")</f>
        <v>641376</v>
      </c>
      <c r="F284" s="4">
        <f>IFERROR(E284/0.06,"")</f>
        <v>10689600</v>
      </c>
      <c r="G284" s="4">
        <f>IFERROR(F284/H284,"")</f>
        <v>133620</v>
      </c>
      <c r="H284" s="1">
        <v>80</v>
      </c>
      <c r="I284" s="1">
        <v>1997</v>
      </c>
      <c r="J284" t="s">
        <v>64</v>
      </c>
      <c r="K284" t="s">
        <v>114</v>
      </c>
      <c r="L284" t="s">
        <v>2404</v>
      </c>
      <c r="M284" t="s">
        <v>2405</v>
      </c>
      <c r="N284" t="s">
        <v>2404</v>
      </c>
      <c r="O284" t="s">
        <v>2404</v>
      </c>
      <c r="P284" s="1">
        <v>3</v>
      </c>
      <c r="Q284" t="s">
        <v>69</v>
      </c>
      <c r="R284" t="s">
        <v>70</v>
      </c>
      <c r="S284" t="s">
        <v>71</v>
      </c>
      <c r="T284" t="s">
        <v>118</v>
      </c>
      <c r="U284" t="s">
        <v>72</v>
      </c>
      <c r="V284" t="s">
        <v>917</v>
      </c>
      <c r="W284" t="s">
        <v>74</v>
      </c>
      <c r="X284" t="s">
        <v>918</v>
      </c>
      <c r="Y284" s="2">
        <v>1006</v>
      </c>
      <c r="Z284" s="3">
        <v>1.31</v>
      </c>
      <c r="AA284" s="4">
        <v>1318</v>
      </c>
      <c r="AK284" s="5">
        <v>2.5</v>
      </c>
      <c r="AN284" s="1">
        <v>2</v>
      </c>
      <c r="AO284" t="s">
        <v>81</v>
      </c>
      <c r="AP284" t="s">
        <v>82</v>
      </c>
      <c r="AQ284" t="s">
        <v>83</v>
      </c>
      <c r="AR284" s="3">
        <v>1.27</v>
      </c>
      <c r="AS284" s="4">
        <v>1271</v>
      </c>
      <c r="AT284" s="1">
        <v>1000</v>
      </c>
      <c r="AU284" s="3">
        <v>1.24</v>
      </c>
      <c r="AV284" s="4">
        <v>1451</v>
      </c>
      <c r="AW284" s="1">
        <v>1167</v>
      </c>
      <c r="AX284" s="3">
        <v>129191.52</v>
      </c>
      <c r="BB284" t="s">
        <v>84</v>
      </c>
      <c r="BD284" s="3">
        <v>1.67</v>
      </c>
      <c r="BE284" s="4">
        <v>1151</v>
      </c>
      <c r="BF284" s="1">
        <v>691</v>
      </c>
      <c r="BG284" s="1">
        <v>14</v>
      </c>
      <c r="BH284" s="1">
        <v>40</v>
      </c>
      <c r="BI284" s="1">
        <v>22</v>
      </c>
      <c r="BJ284" s="1">
        <v>4</v>
      </c>
      <c r="BK284" t="s">
        <v>350</v>
      </c>
      <c r="BL284" t="s">
        <v>104</v>
      </c>
      <c r="BM284" s="3">
        <v>1.27</v>
      </c>
      <c r="BN284" s="4">
        <v>1651</v>
      </c>
      <c r="BO284" s="1">
        <v>1302</v>
      </c>
    </row>
    <row r="285" spans="1:67" x14ac:dyDescent="0.25">
      <c r="A285" t="s">
        <v>3407</v>
      </c>
      <c r="B285" t="s">
        <v>3408</v>
      </c>
      <c r="C285" s="4">
        <f>(AA285*(H285*0.9))*12</f>
        <v>1921644</v>
      </c>
      <c r="D285" s="4">
        <f>IF(C285=0,"",(H285*150*12)+C285)</f>
        <v>2164644</v>
      </c>
      <c r="E285" s="4">
        <f>IFERROR(D285*0.5,"")</f>
        <v>1082322</v>
      </c>
      <c r="F285" s="4">
        <f>IFERROR(E285/0.06,"")</f>
        <v>18038700</v>
      </c>
      <c r="G285" s="4">
        <f>IFERROR(F285/H285,"")</f>
        <v>133620</v>
      </c>
      <c r="H285" s="1">
        <v>135</v>
      </c>
      <c r="I285" s="1">
        <v>1999</v>
      </c>
      <c r="J285" t="s">
        <v>64</v>
      </c>
      <c r="K285" t="s">
        <v>140</v>
      </c>
      <c r="L285" t="s">
        <v>2875</v>
      </c>
      <c r="M285" t="s">
        <v>3409</v>
      </c>
      <c r="N285" t="s">
        <v>3410</v>
      </c>
      <c r="O285" t="s">
        <v>2875</v>
      </c>
      <c r="P285" s="1">
        <v>4</v>
      </c>
      <c r="Q285" t="s">
        <v>91</v>
      </c>
      <c r="R285" t="s">
        <v>70</v>
      </c>
      <c r="S285" t="s">
        <v>71</v>
      </c>
      <c r="T285" t="s">
        <v>118</v>
      </c>
      <c r="U285" t="s">
        <v>72</v>
      </c>
      <c r="V285" t="s">
        <v>140</v>
      </c>
      <c r="W285" t="s">
        <v>74</v>
      </c>
      <c r="X285" t="s">
        <v>165</v>
      </c>
      <c r="Y285" s="2">
        <v>824</v>
      </c>
      <c r="Z285" s="3">
        <v>1.6</v>
      </c>
      <c r="AA285" s="4">
        <v>1318</v>
      </c>
      <c r="AK285" s="5">
        <v>4.4443999999999999</v>
      </c>
      <c r="AN285" s="1">
        <v>3</v>
      </c>
      <c r="AO285" t="s">
        <v>81</v>
      </c>
      <c r="AP285" t="s">
        <v>82</v>
      </c>
      <c r="AQ285" t="s">
        <v>83</v>
      </c>
      <c r="AR285" s="3">
        <v>1.6</v>
      </c>
      <c r="AS285" s="4">
        <v>1523</v>
      </c>
      <c r="AT285" s="1">
        <v>952</v>
      </c>
      <c r="AX285" s="3">
        <v>151477.78</v>
      </c>
      <c r="BB285" t="s">
        <v>84</v>
      </c>
      <c r="BD285" s="3">
        <v>1.59</v>
      </c>
      <c r="BE285" s="4">
        <v>1037</v>
      </c>
      <c r="BF285" s="1">
        <v>650</v>
      </c>
      <c r="BG285" s="1">
        <v>57</v>
      </c>
      <c r="BH285" s="1">
        <v>78</v>
      </c>
    </row>
    <row r="286" spans="1:67" x14ac:dyDescent="0.25">
      <c r="A286" t="s">
        <v>2956</v>
      </c>
      <c r="B286" t="s">
        <v>2957</v>
      </c>
      <c r="C286" s="4">
        <f>(AA286*(H286*0.9))*12</f>
        <v>4416012</v>
      </c>
      <c r="D286" s="4">
        <f>IF(C286=0,"",(H286*150*12)+C286)</f>
        <v>4974012</v>
      </c>
      <c r="E286" s="4">
        <f>IFERROR(D286*0.5,"")</f>
        <v>2487006</v>
      </c>
      <c r="F286" s="4">
        <f>IFERROR(E286/0.06,"")</f>
        <v>41450100</v>
      </c>
      <c r="G286" s="4">
        <f>IFERROR(F286/H286,"")</f>
        <v>133710</v>
      </c>
      <c r="H286" s="1">
        <v>310</v>
      </c>
      <c r="I286" s="1">
        <v>1991</v>
      </c>
      <c r="J286" t="s">
        <v>64</v>
      </c>
      <c r="K286" t="s">
        <v>514</v>
      </c>
      <c r="L286" t="s">
        <v>2895</v>
      </c>
      <c r="M286" t="s">
        <v>2958</v>
      </c>
      <c r="N286" t="s">
        <v>2959</v>
      </c>
      <c r="O286" t="s">
        <v>2895</v>
      </c>
      <c r="P286" s="1">
        <v>4</v>
      </c>
      <c r="Q286" t="s">
        <v>91</v>
      </c>
      <c r="R286" t="s">
        <v>70</v>
      </c>
      <c r="S286" t="s">
        <v>71</v>
      </c>
      <c r="U286" t="s">
        <v>72</v>
      </c>
      <c r="V286" t="s">
        <v>264</v>
      </c>
      <c r="W286" t="s">
        <v>74</v>
      </c>
      <c r="X286" t="s">
        <v>2960</v>
      </c>
      <c r="Y286" s="2">
        <v>956</v>
      </c>
      <c r="Z286" s="3">
        <v>1.38</v>
      </c>
      <c r="AA286" s="4">
        <v>1319</v>
      </c>
      <c r="AK286" s="5">
        <v>7.4194000000000004</v>
      </c>
      <c r="AM286" s="1">
        <v>2018</v>
      </c>
      <c r="AN286" s="1">
        <v>3</v>
      </c>
      <c r="AO286" t="s">
        <v>81</v>
      </c>
      <c r="AP286" t="s">
        <v>82</v>
      </c>
      <c r="AQ286" t="s">
        <v>83</v>
      </c>
      <c r="AR286" s="3">
        <v>1.27</v>
      </c>
      <c r="AS286" s="4">
        <v>1504</v>
      </c>
      <c r="AT286" s="1">
        <v>1181</v>
      </c>
      <c r="AX286" s="3">
        <v>1221361.1000000001</v>
      </c>
      <c r="BB286" t="s">
        <v>84</v>
      </c>
      <c r="BD286" s="3">
        <v>1.59</v>
      </c>
      <c r="BE286" s="4">
        <v>1107</v>
      </c>
      <c r="BF286" s="1">
        <v>698</v>
      </c>
      <c r="BG286" s="1">
        <v>144</v>
      </c>
      <c r="BH286" s="1">
        <v>166</v>
      </c>
      <c r="BL286" t="s">
        <v>131</v>
      </c>
    </row>
    <row r="287" spans="1:67" x14ac:dyDescent="0.25">
      <c r="A287" t="s">
        <v>4074</v>
      </c>
      <c r="B287" t="s">
        <v>4075</v>
      </c>
      <c r="C287" s="4">
        <f>(AA287*(H287*0.9))*12</f>
        <v>7122600</v>
      </c>
      <c r="D287" s="4">
        <f>IF(C287=0,"",(H287*150*12)+C287)</f>
        <v>8022600</v>
      </c>
      <c r="E287" s="4">
        <f>IFERROR(D287*0.5,"")</f>
        <v>4011300</v>
      </c>
      <c r="F287" s="4">
        <f>IFERROR(E287/0.06,"")</f>
        <v>66855000</v>
      </c>
      <c r="G287" s="4">
        <f>IFERROR(F287/H287,"")</f>
        <v>133710</v>
      </c>
      <c r="H287" s="1">
        <v>500</v>
      </c>
      <c r="I287" s="1">
        <v>1996</v>
      </c>
      <c r="J287" t="s">
        <v>64</v>
      </c>
      <c r="K287" t="s">
        <v>725</v>
      </c>
      <c r="L287" t="s">
        <v>4076</v>
      </c>
      <c r="M287" t="s">
        <v>4077</v>
      </c>
      <c r="N287" t="s">
        <v>4078</v>
      </c>
      <c r="O287" t="s">
        <v>4076</v>
      </c>
      <c r="P287" s="1">
        <v>4</v>
      </c>
      <c r="Q287" t="s">
        <v>729</v>
      </c>
      <c r="R287" t="s">
        <v>70</v>
      </c>
      <c r="S287" t="s">
        <v>71</v>
      </c>
      <c r="U287" t="s">
        <v>72</v>
      </c>
      <c r="V287" t="s">
        <v>73</v>
      </c>
      <c r="W287" t="s">
        <v>74</v>
      </c>
      <c r="X287" t="s">
        <v>730</v>
      </c>
      <c r="Y287" s="2">
        <v>963</v>
      </c>
      <c r="Z287" s="3">
        <v>1.37</v>
      </c>
      <c r="AA287" s="4">
        <v>1319</v>
      </c>
      <c r="AK287" s="5">
        <v>17.399999999999999</v>
      </c>
      <c r="AM287" s="1">
        <v>2015</v>
      </c>
      <c r="AN287" s="1">
        <v>2</v>
      </c>
      <c r="AO287" t="s">
        <v>81</v>
      </c>
      <c r="AP287" t="s">
        <v>82</v>
      </c>
      <c r="AQ287" t="s">
        <v>83</v>
      </c>
      <c r="AR287" s="3">
        <v>1.33</v>
      </c>
      <c r="AS287" s="4">
        <v>1523</v>
      </c>
      <c r="AT287" s="1">
        <v>1148</v>
      </c>
      <c r="AU287" s="3">
        <v>1.48</v>
      </c>
      <c r="AV287" s="4">
        <v>2009</v>
      </c>
      <c r="AW287" s="1">
        <v>1359</v>
      </c>
      <c r="AX287" s="3">
        <v>1465287.99</v>
      </c>
      <c r="BB287" t="s">
        <v>84</v>
      </c>
      <c r="BD287" s="3">
        <v>1.41</v>
      </c>
      <c r="BE287" s="4">
        <v>1114</v>
      </c>
      <c r="BF287" s="1">
        <v>789</v>
      </c>
      <c r="BG287" s="1">
        <v>264</v>
      </c>
      <c r="BH287" s="1">
        <v>224</v>
      </c>
      <c r="BI287" s="1">
        <v>12</v>
      </c>
    </row>
    <row r="288" spans="1:67" x14ac:dyDescent="0.25">
      <c r="A288" t="s">
        <v>3294</v>
      </c>
      <c r="B288" t="s">
        <v>3295</v>
      </c>
      <c r="C288" s="4">
        <f>(AA288*(H288*0.9))*12</f>
        <v>3538166.4000000004</v>
      </c>
      <c r="D288" s="4">
        <f>IF(C288=0,"",(H288*150*12)+C288)</f>
        <v>3984566.4000000004</v>
      </c>
      <c r="E288" s="4">
        <f>IFERROR(D288*0.5,"")</f>
        <v>1992283.2000000002</v>
      </c>
      <c r="F288" s="4">
        <f>IFERROR(E288/0.06,"")</f>
        <v>33204720.000000004</v>
      </c>
      <c r="G288" s="4">
        <f>IFERROR(F288/H288,"")</f>
        <v>133890.00000000003</v>
      </c>
      <c r="H288" s="1">
        <v>248</v>
      </c>
      <c r="I288" s="1">
        <v>1991</v>
      </c>
      <c r="J288" t="s">
        <v>64</v>
      </c>
      <c r="K288" t="s">
        <v>1133</v>
      </c>
      <c r="L288" t="s">
        <v>1548</v>
      </c>
      <c r="M288" t="s">
        <v>3296</v>
      </c>
      <c r="N288" t="s">
        <v>3297</v>
      </c>
      <c r="O288" t="s">
        <v>1548</v>
      </c>
      <c r="P288" s="1">
        <v>4</v>
      </c>
      <c r="Q288" t="s">
        <v>91</v>
      </c>
      <c r="R288" t="s">
        <v>70</v>
      </c>
      <c r="S288" t="s">
        <v>71</v>
      </c>
      <c r="U288" t="s">
        <v>72</v>
      </c>
      <c r="V288" t="s">
        <v>264</v>
      </c>
      <c r="W288" t="s">
        <v>74</v>
      </c>
      <c r="X288" t="s">
        <v>1594</v>
      </c>
      <c r="Y288" s="2">
        <v>809</v>
      </c>
      <c r="Z288" s="3">
        <v>1.63</v>
      </c>
      <c r="AA288" s="4">
        <v>1321</v>
      </c>
      <c r="AK288" s="5">
        <v>2.8226</v>
      </c>
      <c r="AN288" s="1">
        <v>4</v>
      </c>
      <c r="AO288" t="s">
        <v>81</v>
      </c>
      <c r="AP288" t="s">
        <v>82</v>
      </c>
      <c r="AQ288" t="s">
        <v>83</v>
      </c>
      <c r="AR288" s="3">
        <v>1.64</v>
      </c>
      <c r="AS288" s="4">
        <v>1521</v>
      </c>
      <c r="AT288" s="1">
        <v>930</v>
      </c>
      <c r="AX288" s="3">
        <v>835622.15</v>
      </c>
      <c r="BB288" t="s">
        <v>84</v>
      </c>
      <c r="BD288" s="3">
        <v>1.63</v>
      </c>
      <c r="BE288" s="4">
        <v>1145</v>
      </c>
      <c r="BF288" s="1">
        <v>703</v>
      </c>
      <c r="BG288" s="1">
        <v>132</v>
      </c>
      <c r="BH288" s="1">
        <v>116</v>
      </c>
      <c r="BL288" t="s">
        <v>131</v>
      </c>
    </row>
    <row r="289" spans="1:64" x14ac:dyDescent="0.25">
      <c r="A289" t="s">
        <v>1469</v>
      </c>
      <c r="B289" t="s">
        <v>1470</v>
      </c>
      <c r="C289" s="4">
        <f>(AA289*(H289*0.9))*12</f>
        <v>913766.39999999991</v>
      </c>
      <c r="D289" s="4">
        <f>IF(C289=0,"",(H289*150*12)+C289)</f>
        <v>1028966.3999999999</v>
      </c>
      <c r="E289" s="4">
        <f>IFERROR(D289*0.5,"")</f>
        <v>514483.19999999995</v>
      </c>
      <c r="F289" s="4">
        <f>IFERROR(E289/0.06,"")</f>
        <v>8574720</v>
      </c>
      <c r="G289" s="4">
        <f>IFERROR(F289/H289,"")</f>
        <v>133980</v>
      </c>
      <c r="H289" s="1">
        <v>64</v>
      </c>
      <c r="I289" s="1">
        <v>1985</v>
      </c>
      <c r="J289" t="s">
        <v>64</v>
      </c>
      <c r="K289" t="s">
        <v>114</v>
      </c>
      <c r="L289" t="s">
        <v>1471</v>
      </c>
      <c r="M289" t="s">
        <v>1472</v>
      </c>
      <c r="N289" t="s">
        <v>1473</v>
      </c>
      <c r="O289" t="s">
        <v>1471</v>
      </c>
      <c r="P289" s="1">
        <v>3</v>
      </c>
      <c r="Q289" t="s">
        <v>69</v>
      </c>
      <c r="R289" t="s">
        <v>70</v>
      </c>
      <c r="S289" t="s">
        <v>71</v>
      </c>
      <c r="U289" t="s">
        <v>72</v>
      </c>
      <c r="V289" t="s">
        <v>119</v>
      </c>
      <c r="W289" t="s">
        <v>74</v>
      </c>
      <c r="X289" t="s">
        <v>1474</v>
      </c>
      <c r="Y289" s="2">
        <v>808</v>
      </c>
      <c r="Z289" s="3">
        <v>1.64</v>
      </c>
      <c r="AA289" s="4">
        <v>1322</v>
      </c>
      <c r="AK289" s="5">
        <v>3.125</v>
      </c>
      <c r="AN289" s="1">
        <v>2</v>
      </c>
      <c r="AO289" t="s">
        <v>81</v>
      </c>
      <c r="AP289" t="s">
        <v>82</v>
      </c>
      <c r="AQ289" t="s">
        <v>83</v>
      </c>
      <c r="AR289" s="3">
        <v>1.6</v>
      </c>
      <c r="AS289" s="4">
        <v>1353</v>
      </c>
      <c r="AT289" s="1">
        <v>847</v>
      </c>
      <c r="AX289" s="3">
        <v>136053.79</v>
      </c>
      <c r="BB289" t="s">
        <v>84</v>
      </c>
      <c r="BD289" s="3">
        <v>1.85</v>
      </c>
      <c r="BE289" s="4">
        <v>1185</v>
      </c>
      <c r="BF289" s="1">
        <v>640</v>
      </c>
      <c r="BG289" s="1">
        <v>12</v>
      </c>
      <c r="BH289" s="1">
        <v>52</v>
      </c>
    </row>
    <row r="290" spans="1:64" x14ac:dyDescent="0.25">
      <c r="A290" t="s">
        <v>3887</v>
      </c>
      <c r="B290" t="s">
        <v>3888</v>
      </c>
      <c r="C290" s="4">
        <f>(AA290*(H290*0.9))*12</f>
        <v>9944726.3999999985</v>
      </c>
      <c r="D290" s="4">
        <f>IF(C290=0,"",(H290*150*12)+C290)</f>
        <v>11197526.399999999</v>
      </c>
      <c r="E290" s="4">
        <f>IFERROR(D290*0.5,"")</f>
        <v>5598763.1999999993</v>
      </c>
      <c r="F290" s="4">
        <f>IFERROR(E290/0.06,"")</f>
        <v>93312719.999999985</v>
      </c>
      <c r="G290" s="4">
        <f>IFERROR(F290/H290,"")</f>
        <v>134069.99999999997</v>
      </c>
      <c r="H290" s="1">
        <v>696</v>
      </c>
      <c r="I290" s="1">
        <v>1995</v>
      </c>
      <c r="J290" t="s">
        <v>64</v>
      </c>
      <c r="K290" t="s">
        <v>123</v>
      </c>
      <c r="L290" t="s">
        <v>353</v>
      </c>
      <c r="M290" t="s">
        <v>3889</v>
      </c>
      <c r="N290" t="s">
        <v>3890</v>
      </c>
      <c r="O290" t="s">
        <v>353</v>
      </c>
      <c r="P290" s="1">
        <v>3</v>
      </c>
      <c r="Q290" t="s">
        <v>91</v>
      </c>
      <c r="R290" t="s">
        <v>70</v>
      </c>
      <c r="S290" t="s">
        <v>71</v>
      </c>
      <c r="U290" t="s">
        <v>72</v>
      </c>
      <c r="V290" t="s">
        <v>129</v>
      </c>
      <c r="W290" t="s">
        <v>74</v>
      </c>
      <c r="X290" t="s">
        <v>130</v>
      </c>
      <c r="Y290" s="2">
        <v>857</v>
      </c>
      <c r="Z290" s="3">
        <v>1.54</v>
      </c>
      <c r="AA290" s="4">
        <v>1323</v>
      </c>
      <c r="AK290" s="5">
        <v>9.0517000000000003</v>
      </c>
      <c r="AN290" s="1">
        <v>3</v>
      </c>
      <c r="AO290" t="s">
        <v>81</v>
      </c>
      <c r="AP290" t="s">
        <v>82</v>
      </c>
      <c r="AQ290" t="s">
        <v>83</v>
      </c>
      <c r="AR290" s="3">
        <v>1.44</v>
      </c>
      <c r="AS290" s="4">
        <v>1438</v>
      </c>
      <c r="AT290" s="1">
        <v>995</v>
      </c>
      <c r="AU290" s="3">
        <v>1.64</v>
      </c>
      <c r="AV290" s="4">
        <v>2098</v>
      </c>
      <c r="AW290" s="1">
        <v>1278</v>
      </c>
      <c r="AX290" s="3">
        <v>0</v>
      </c>
      <c r="BB290" t="s">
        <v>84</v>
      </c>
      <c r="BD290" s="3">
        <v>1.67</v>
      </c>
      <c r="BE290" s="4">
        <v>1092</v>
      </c>
      <c r="BF290" s="1">
        <v>656</v>
      </c>
      <c r="BG290" s="1">
        <v>322</v>
      </c>
      <c r="BH290" s="1">
        <v>326</v>
      </c>
      <c r="BI290" s="1">
        <v>48</v>
      </c>
      <c r="BK290" t="s">
        <v>3891</v>
      </c>
      <c r="BL290" t="s">
        <v>104</v>
      </c>
    </row>
    <row r="291" spans="1:64" x14ac:dyDescent="0.25">
      <c r="A291" t="s">
        <v>1138</v>
      </c>
      <c r="B291" t="s">
        <v>1139</v>
      </c>
      <c r="C291" s="4">
        <f>(AA291*(H291*0.9))*12</f>
        <v>3429216</v>
      </c>
      <c r="D291" s="4">
        <f>IF(C291=0,"",(H291*150*12)+C291)</f>
        <v>3861216</v>
      </c>
      <c r="E291" s="4">
        <f>IFERROR(D291*0.5,"")</f>
        <v>1930608</v>
      </c>
      <c r="F291" s="4">
        <f>IFERROR(E291/0.06,"")</f>
        <v>32176800</v>
      </c>
      <c r="G291" s="4">
        <f>IFERROR(F291/H291,"")</f>
        <v>134070</v>
      </c>
      <c r="H291" s="1">
        <v>240</v>
      </c>
      <c r="I291" s="1">
        <v>1986</v>
      </c>
      <c r="J291" t="s">
        <v>64</v>
      </c>
      <c r="K291" t="s">
        <v>814</v>
      </c>
      <c r="L291" t="s">
        <v>1140</v>
      </c>
      <c r="M291" t="s">
        <v>1141</v>
      </c>
      <c r="N291" t="s">
        <v>1142</v>
      </c>
      <c r="O291" t="s">
        <v>1140</v>
      </c>
      <c r="P291" s="1">
        <v>3</v>
      </c>
      <c r="Q291" t="s">
        <v>69</v>
      </c>
      <c r="R291" t="s">
        <v>70</v>
      </c>
      <c r="S291" t="s">
        <v>71</v>
      </c>
      <c r="T291" t="s">
        <v>118</v>
      </c>
      <c r="U291" t="s">
        <v>72</v>
      </c>
      <c r="V291" t="s">
        <v>814</v>
      </c>
      <c r="W291" t="s">
        <v>74</v>
      </c>
      <c r="X291" t="s">
        <v>1143</v>
      </c>
      <c r="Y291" s="2">
        <v>722</v>
      </c>
      <c r="Z291" s="3">
        <v>1.83</v>
      </c>
      <c r="AA291" s="4">
        <v>1323</v>
      </c>
      <c r="AK291" s="5">
        <v>0.41670000000000001</v>
      </c>
      <c r="AN291" s="1">
        <v>1</v>
      </c>
      <c r="AO291" t="s">
        <v>81</v>
      </c>
      <c r="AP291" t="s">
        <v>82</v>
      </c>
      <c r="AQ291" t="s">
        <v>83</v>
      </c>
      <c r="AR291" s="3">
        <v>1.73</v>
      </c>
      <c r="AS291" s="4">
        <v>1413</v>
      </c>
      <c r="AT291" s="1">
        <v>815</v>
      </c>
      <c r="AU291" s="3">
        <v>1.69</v>
      </c>
      <c r="AV291" s="4">
        <v>1691</v>
      </c>
      <c r="AW291" s="1">
        <v>1000</v>
      </c>
      <c r="AX291" s="3">
        <v>289084.17</v>
      </c>
      <c r="BB291" t="s">
        <v>84</v>
      </c>
      <c r="BD291" s="3">
        <v>1.99</v>
      </c>
      <c r="BE291" s="4">
        <v>1175</v>
      </c>
      <c r="BF291" s="1">
        <v>589</v>
      </c>
      <c r="BG291" s="1">
        <v>115</v>
      </c>
      <c r="BH291" s="1">
        <v>104</v>
      </c>
      <c r="BI291" s="1">
        <v>21</v>
      </c>
      <c r="BK291" t="s">
        <v>1144</v>
      </c>
      <c r="BL291" t="s">
        <v>104</v>
      </c>
    </row>
    <row r="292" spans="1:64" x14ac:dyDescent="0.25">
      <c r="A292" t="s">
        <v>1542</v>
      </c>
      <c r="B292" t="s">
        <v>1543</v>
      </c>
      <c r="C292" s="4">
        <f>(AA292*(H292*0.9))*12</f>
        <v>7601428.8000000007</v>
      </c>
      <c r="D292" s="4">
        <f>IF(C292=0,"",(H292*150*12)+C292)</f>
        <v>8559028.8000000007</v>
      </c>
      <c r="E292" s="4">
        <f>IFERROR(D292*0.5,"")</f>
        <v>4279514.4000000004</v>
      </c>
      <c r="F292" s="4">
        <f>IFERROR(E292/0.06,"")</f>
        <v>71325240.000000015</v>
      </c>
      <c r="G292" s="4">
        <f>IFERROR(F292/H292,"")</f>
        <v>134070.00000000003</v>
      </c>
      <c r="H292" s="1">
        <v>532</v>
      </c>
      <c r="I292" s="1">
        <v>1987</v>
      </c>
      <c r="J292" t="s">
        <v>64</v>
      </c>
      <c r="K292" t="s">
        <v>734</v>
      </c>
      <c r="L292" t="s">
        <v>478</v>
      </c>
      <c r="M292" t="s">
        <v>1544</v>
      </c>
      <c r="N292" t="s">
        <v>1545</v>
      </c>
      <c r="O292" t="s">
        <v>478</v>
      </c>
      <c r="P292" s="1">
        <v>4</v>
      </c>
      <c r="Q292" t="s">
        <v>91</v>
      </c>
      <c r="R292" t="s">
        <v>70</v>
      </c>
      <c r="S292" t="s">
        <v>71</v>
      </c>
      <c r="U292" t="s">
        <v>72</v>
      </c>
      <c r="V292" t="s">
        <v>73</v>
      </c>
      <c r="W292" t="s">
        <v>74</v>
      </c>
      <c r="X292" t="s">
        <v>738</v>
      </c>
      <c r="Y292" s="2">
        <v>762</v>
      </c>
      <c r="Z292" s="3">
        <v>1.74</v>
      </c>
      <c r="AA292" s="4">
        <v>1323</v>
      </c>
      <c r="AK292" s="5">
        <v>7.8947000000000003</v>
      </c>
      <c r="AM292" s="1">
        <v>2016</v>
      </c>
      <c r="AN292" s="1">
        <v>3</v>
      </c>
      <c r="AO292" t="s">
        <v>81</v>
      </c>
      <c r="AP292" t="s">
        <v>82</v>
      </c>
      <c r="AQ292" t="s">
        <v>83</v>
      </c>
      <c r="AR292" s="3">
        <v>1.59</v>
      </c>
      <c r="AS292" s="4">
        <v>1538</v>
      </c>
      <c r="AT292" s="1">
        <v>966</v>
      </c>
      <c r="AX292" s="3">
        <v>1102591.28</v>
      </c>
      <c r="BB292" t="s">
        <v>84</v>
      </c>
      <c r="BD292" s="3">
        <v>1.8</v>
      </c>
      <c r="BE292" s="4">
        <v>1253</v>
      </c>
      <c r="BF292" s="1">
        <v>695</v>
      </c>
      <c r="BG292" s="1">
        <v>400</v>
      </c>
      <c r="BH292" s="1">
        <v>132</v>
      </c>
    </row>
    <row r="293" spans="1:64" x14ac:dyDescent="0.25">
      <c r="A293" t="s">
        <v>880</v>
      </c>
      <c r="B293" t="s">
        <v>881</v>
      </c>
      <c r="C293" s="4">
        <f>(AA293*(H293*0.9))*12</f>
        <v>1029542.3999999999</v>
      </c>
      <c r="D293" s="4">
        <f>IF(C293=0,"",(H293*150*12)+C293)</f>
        <v>1159142.3999999999</v>
      </c>
      <c r="E293" s="4">
        <f>IFERROR(D293*0.5,"")</f>
        <v>579571.19999999995</v>
      </c>
      <c r="F293" s="4">
        <f>IFERROR(E293/0.06,"")</f>
        <v>9659520</v>
      </c>
      <c r="G293" s="4">
        <f>IFERROR(F293/H293,"")</f>
        <v>134160</v>
      </c>
      <c r="H293" s="1">
        <v>72</v>
      </c>
      <c r="I293" s="1">
        <v>1985</v>
      </c>
      <c r="J293" t="s">
        <v>64</v>
      </c>
      <c r="K293" t="s">
        <v>439</v>
      </c>
      <c r="L293" t="s">
        <v>882</v>
      </c>
      <c r="M293" t="s">
        <v>883</v>
      </c>
      <c r="N293" t="s">
        <v>884</v>
      </c>
      <c r="O293" t="s">
        <v>882</v>
      </c>
      <c r="P293" s="1">
        <v>2</v>
      </c>
      <c r="Q293" t="s">
        <v>69</v>
      </c>
      <c r="R293" t="s">
        <v>70</v>
      </c>
      <c r="S293" t="s">
        <v>71</v>
      </c>
      <c r="U293" t="s">
        <v>72</v>
      </c>
      <c r="V293" t="s">
        <v>885</v>
      </c>
      <c r="W293" t="s">
        <v>74</v>
      </c>
      <c r="X293" t="s">
        <v>886</v>
      </c>
      <c r="Y293" s="2">
        <v>764</v>
      </c>
      <c r="Z293" s="3">
        <v>1.73</v>
      </c>
      <c r="AA293" s="4">
        <v>1324</v>
      </c>
      <c r="AN293" s="1">
        <v>2</v>
      </c>
      <c r="AO293" t="s">
        <v>81</v>
      </c>
      <c r="AP293" t="s">
        <v>82</v>
      </c>
      <c r="AQ293" t="s">
        <v>83</v>
      </c>
      <c r="AR293" s="3">
        <v>1.59</v>
      </c>
      <c r="AS293" s="4">
        <v>1419</v>
      </c>
      <c r="AT293" s="1">
        <v>893</v>
      </c>
      <c r="AX293" s="3">
        <v>49602.44</v>
      </c>
      <c r="BB293" t="s">
        <v>84</v>
      </c>
      <c r="BD293" s="3">
        <v>1.89</v>
      </c>
      <c r="BE293" s="4">
        <v>1248</v>
      </c>
      <c r="BF293" s="1">
        <v>661</v>
      </c>
      <c r="BG293" s="1">
        <v>40</v>
      </c>
      <c r="BH293" s="1">
        <v>32</v>
      </c>
      <c r="BK293" t="s">
        <v>887</v>
      </c>
      <c r="BL293" t="s">
        <v>104</v>
      </c>
    </row>
    <row r="294" spans="1:64" x14ac:dyDescent="0.25">
      <c r="A294" t="s">
        <v>1959</v>
      </c>
      <c r="B294" t="s">
        <v>1960</v>
      </c>
      <c r="C294" s="4">
        <f>(AA294*(H294*0.9))*12</f>
        <v>4604342.4000000004</v>
      </c>
      <c r="D294" s="4">
        <f>IF(C294=0,"",(H294*150*12)+C294)</f>
        <v>5183942.4000000004</v>
      </c>
      <c r="E294" s="4">
        <f>IFERROR(D294*0.5,"")</f>
        <v>2591971.2000000002</v>
      </c>
      <c r="F294" s="4">
        <f>IFERROR(E294/0.06,"")</f>
        <v>43199520.000000007</v>
      </c>
      <c r="G294" s="4">
        <f>IFERROR(F294/H294,"")</f>
        <v>134160.00000000003</v>
      </c>
      <c r="H294" s="1">
        <v>322</v>
      </c>
      <c r="I294" s="1">
        <v>1985</v>
      </c>
      <c r="J294" t="s">
        <v>64</v>
      </c>
      <c r="K294" t="s">
        <v>259</v>
      </c>
      <c r="L294" t="s">
        <v>1277</v>
      </c>
      <c r="M294" t="s">
        <v>1961</v>
      </c>
      <c r="N294" t="s">
        <v>1962</v>
      </c>
      <c r="O294" t="s">
        <v>1277</v>
      </c>
      <c r="P294" s="1">
        <v>4</v>
      </c>
      <c r="Q294" t="s">
        <v>91</v>
      </c>
      <c r="R294" t="s">
        <v>70</v>
      </c>
      <c r="S294" t="s">
        <v>71</v>
      </c>
      <c r="U294" t="s">
        <v>72</v>
      </c>
      <c r="V294" t="s">
        <v>259</v>
      </c>
      <c r="W294" t="s">
        <v>74</v>
      </c>
      <c r="X294" t="s">
        <v>1811</v>
      </c>
      <c r="Y294" s="2">
        <v>833</v>
      </c>
      <c r="Z294" s="3">
        <v>1.59</v>
      </c>
      <c r="AA294" s="4">
        <v>1324</v>
      </c>
      <c r="AK294" s="5">
        <v>6.5217000000000001</v>
      </c>
      <c r="AM294" s="1">
        <v>2003</v>
      </c>
      <c r="AN294" s="1">
        <v>3</v>
      </c>
      <c r="AO294" t="s">
        <v>81</v>
      </c>
      <c r="AP294" t="s">
        <v>82</v>
      </c>
      <c r="AQ294" t="s">
        <v>83</v>
      </c>
      <c r="AR294" s="3">
        <v>1.54</v>
      </c>
      <c r="AS294" s="4">
        <v>1340</v>
      </c>
      <c r="AT294" s="1">
        <v>868</v>
      </c>
      <c r="AU294" s="3">
        <v>1.44</v>
      </c>
      <c r="AV294" s="4">
        <v>1963</v>
      </c>
      <c r="AW294" s="1">
        <v>1361</v>
      </c>
      <c r="AX294" s="3">
        <v>846817.97</v>
      </c>
      <c r="BB294" t="s">
        <v>84</v>
      </c>
      <c r="BD294" s="3">
        <v>1.82</v>
      </c>
      <c r="BE294" s="4">
        <v>1198</v>
      </c>
      <c r="BF294" s="1">
        <v>660</v>
      </c>
      <c r="BG294" s="1">
        <v>72</v>
      </c>
      <c r="BH294" s="1">
        <v>242</v>
      </c>
      <c r="BI294" s="1">
        <v>8</v>
      </c>
      <c r="BK294" t="s">
        <v>1214</v>
      </c>
      <c r="BL294" t="s">
        <v>104</v>
      </c>
    </row>
    <row r="295" spans="1:64" x14ac:dyDescent="0.25">
      <c r="A295" t="s">
        <v>2789</v>
      </c>
      <c r="B295" t="s">
        <v>2790</v>
      </c>
      <c r="C295" s="4">
        <f>(AA295*(H295*0.9))*12</f>
        <v>3892320</v>
      </c>
      <c r="D295" s="4">
        <f>IF(C295=0,"",(H295*150*12)+C295)</f>
        <v>4381920</v>
      </c>
      <c r="E295" s="4">
        <f>IFERROR(D295*0.5,"")</f>
        <v>2190960</v>
      </c>
      <c r="F295" s="4">
        <f>IFERROR(E295/0.06,"")</f>
        <v>36516000</v>
      </c>
      <c r="G295" s="4">
        <f>IFERROR(F295/H295,"")</f>
        <v>134250</v>
      </c>
      <c r="H295" s="1">
        <v>272</v>
      </c>
      <c r="I295" s="1">
        <v>1998</v>
      </c>
      <c r="J295" t="s">
        <v>64</v>
      </c>
      <c r="K295" t="s">
        <v>725</v>
      </c>
      <c r="L295" t="s">
        <v>2786</v>
      </c>
      <c r="M295" t="s">
        <v>2791</v>
      </c>
      <c r="N295" t="s">
        <v>2792</v>
      </c>
      <c r="O295" t="s">
        <v>2786</v>
      </c>
      <c r="P295" s="1">
        <v>3</v>
      </c>
      <c r="Q295" t="s">
        <v>91</v>
      </c>
      <c r="R295" t="s">
        <v>70</v>
      </c>
      <c r="S295" t="s">
        <v>71</v>
      </c>
      <c r="U295" t="s">
        <v>72</v>
      </c>
      <c r="V295" t="s">
        <v>73</v>
      </c>
      <c r="W295" t="s">
        <v>74</v>
      </c>
      <c r="X295" t="s">
        <v>730</v>
      </c>
      <c r="Y295" s="2">
        <v>982</v>
      </c>
      <c r="Z295" s="3">
        <v>1.35</v>
      </c>
      <c r="AA295" s="4">
        <v>1325</v>
      </c>
      <c r="AK295" s="5">
        <v>5.5147000000000004</v>
      </c>
      <c r="AN295" s="1">
        <v>3</v>
      </c>
      <c r="AO295" t="s">
        <v>81</v>
      </c>
      <c r="AP295" t="s">
        <v>82</v>
      </c>
      <c r="AQ295" t="s">
        <v>83</v>
      </c>
      <c r="AR295" s="3">
        <v>1.31</v>
      </c>
      <c r="AS295" s="4">
        <v>1430</v>
      </c>
      <c r="AT295" s="1">
        <v>1090</v>
      </c>
      <c r="AU295" s="3">
        <v>1.45</v>
      </c>
      <c r="AV295" s="4">
        <v>1759</v>
      </c>
      <c r="AW295" s="1">
        <v>1215</v>
      </c>
      <c r="AX295" s="3">
        <v>731705.91</v>
      </c>
      <c r="BB295" t="s">
        <v>84</v>
      </c>
      <c r="BD295" s="3">
        <v>1.42</v>
      </c>
      <c r="BE295" s="4">
        <v>973</v>
      </c>
      <c r="BF295" s="1">
        <v>684</v>
      </c>
      <c r="BG295" s="1">
        <v>80</v>
      </c>
      <c r="BH295" s="1">
        <v>168</v>
      </c>
      <c r="BI295" s="1">
        <v>24</v>
      </c>
      <c r="BK295" t="s">
        <v>2793</v>
      </c>
    </row>
    <row r="296" spans="1:64" x14ac:dyDescent="0.25">
      <c r="A296" t="s">
        <v>4150</v>
      </c>
      <c r="B296" t="s">
        <v>4151</v>
      </c>
      <c r="C296" s="4">
        <f>(AA296*(H296*0.9))*12</f>
        <v>4009824</v>
      </c>
      <c r="D296" s="4">
        <f>IF(C296=0,"",(H296*150*12)+C296)</f>
        <v>4513824</v>
      </c>
      <c r="E296" s="4">
        <f>IFERROR(D296*0.5,"")</f>
        <v>2256912</v>
      </c>
      <c r="F296" s="4">
        <f>IFERROR(E296/0.06,"")</f>
        <v>37615200</v>
      </c>
      <c r="G296" s="4">
        <f>IFERROR(F296/H296,"")</f>
        <v>134340</v>
      </c>
      <c r="H296" s="1">
        <v>280</v>
      </c>
      <c r="I296" s="1">
        <v>1998</v>
      </c>
      <c r="J296" t="s">
        <v>64</v>
      </c>
      <c r="K296" t="s">
        <v>660</v>
      </c>
      <c r="L296" t="s">
        <v>4152</v>
      </c>
      <c r="M296" t="s">
        <v>4153</v>
      </c>
      <c r="N296" t="s">
        <v>4154</v>
      </c>
      <c r="O296" t="s">
        <v>4152</v>
      </c>
      <c r="P296" s="1">
        <v>4</v>
      </c>
      <c r="Q296" t="s">
        <v>91</v>
      </c>
      <c r="R296" t="s">
        <v>70</v>
      </c>
      <c r="S296" t="s">
        <v>71</v>
      </c>
      <c r="U296" t="s">
        <v>72</v>
      </c>
      <c r="V296" t="s">
        <v>664</v>
      </c>
      <c r="W296" t="s">
        <v>74</v>
      </c>
      <c r="X296" t="s">
        <v>4155</v>
      </c>
      <c r="Y296" s="2">
        <v>933</v>
      </c>
      <c r="Z296" s="3">
        <v>1.42</v>
      </c>
      <c r="AA296" s="4">
        <v>1326</v>
      </c>
      <c r="AK296" s="5">
        <v>7.8571</v>
      </c>
      <c r="AN296" s="1">
        <v>3</v>
      </c>
      <c r="AO296" t="s">
        <v>81</v>
      </c>
      <c r="AP296" t="s">
        <v>82</v>
      </c>
      <c r="AQ296" t="s">
        <v>83</v>
      </c>
      <c r="AR296" s="3">
        <v>1.3</v>
      </c>
      <c r="AS296" s="4">
        <v>1464</v>
      </c>
      <c r="AT296" s="1">
        <v>1126</v>
      </c>
      <c r="AU296" s="3">
        <v>1.56</v>
      </c>
      <c r="AV296" s="4">
        <v>2050</v>
      </c>
      <c r="AW296" s="1">
        <v>1314</v>
      </c>
      <c r="AX296" s="3">
        <v>738169.61</v>
      </c>
      <c r="BB296" t="s">
        <v>84</v>
      </c>
      <c r="BD296" s="3">
        <v>1.53</v>
      </c>
      <c r="BE296" s="4">
        <v>1173</v>
      </c>
      <c r="BF296" s="1">
        <v>766</v>
      </c>
      <c r="BG296" s="1">
        <v>156</v>
      </c>
      <c r="BH296" s="1">
        <v>112</v>
      </c>
      <c r="BI296" s="1">
        <v>12</v>
      </c>
      <c r="BK296" t="s">
        <v>4156</v>
      </c>
      <c r="BL296" t="s">
        <v>744</v>
      </c>
    </row>
    <row r="297" spans="1:64" x14ac:dyDescent="0.25">
      <c r="A297" t="s">
        <v>175</v>
      </c>
      <c r="B297" t="s">
        <v>176</v>
      </c>
      <c r="C297" s="4">
        <f>(AA297*(H297*0.9))*12</f>
        <v>2921443.2</v>
      </c>
      <c r="D297" s="4">
        <f>IF(C297=0,"",(H297*150*12)+C297)</f>
        <v>3288643.2</v>
      </c>
      <c r="E297" s="4">
        <f>IFERROR(D297*0.5,"")</f>
        <v>1644321.6</v>
      </c>
      <c r="F297" s="4">
        <f>IFERROR(E297/0.06,"")</f>
        <v>27405360.000000004</v>
      </c>
      <c r="G297" s="4">
        <f>IFERROR(F297/H297,"")</f>
        <v>134340.00000000003</v>
      </c>
      <c r="H297" s="1">
        <v>204</v>
      </c>
      <c r="I297" s="1">
        <v>1986</v>
      </c>
      <c r="J297" t="s">
        <v>64</v>
      </c>
      <c r="K297" t="s">
        <v>177</v>
      </c>
      <c r="L297" t="s">
        <v>178</v>
      </c>
      <c r="M297" t="s">
        <v>179</v>
      </c>
      <c r="N297" t="s">
        <v>180</v>
      </c>
      <c r="O297" t="s">
        <v>178</v>
      </c>
      <c r="P297" s="1">
        <v>3</v>
      </c>
      <c r="Q297" t="s">
        <v>91</v>
      </c>
      <c r="R297" t="s">
        <v>70</v>
      </c>
      <c r="S297" t="s">
        <v>71</v>
      </c>
      <c r="U297" t="s">
        <v>72</v>
      </c>
      <c r="V297" t="s">
        <v>181</v>
      </c>
      <c r="W297" t="s">
        <v>74</v>
      </c>
      <c r="X297" t="s">
        <v>182</v>
      </c>
      <c r="Y297" s="2">
        <v>858</v>
      </c>
      <c r="Z297" s="3">
        <v>1.54</v>
      </c>
      <c r="AA297" s="4">
        <v>1326</v>
      </c>
      <c r="AK297" s="5">
        <v>9.8039000000000005</v>
      </c>
      <c r="AN297" s="1">
        <v>3</v>
      </c>
      <c r="AO297" t="s">
        <v>81</v>
      </c>
      <c r="AP297" t="s">
        <v>82</v>
      </c>
      <c r="AQ297" t="s">
        <v>83</v>
      </c>
      <c r="AR297" s="3">
        <v>1.5</v>
      </c>
      <c r="AS297" s="4">
        <v>1464</v>
      </c>
      <c r="AT297" s="1">
        <v>978</v>
      </c>
      <c r="AX297" s="3">
        <v>472342.36</v>
      </c>
      <c r="BB297" t="s">
        <v>84</v>
      </c>
      <c r="BD297" s="3">
        <v>1.61</v>
      </c>
      <c r="BE297" s="4">
        <v>1181</v>
      </c>
      <c r="BF297" s="1">
        <v>732</v>
      </c>
      <c r="BG297" s="1">
        <v>99</v>
      </c>
      <c r="BH297" s="1">
        <v>105</v>
      </c>
      <c r="BK297" t="s">
        <v>183</v>
      </c>
      <c r="BL297" t="s">
        <v>104</v>
      </c>
    </row>
    <row r="298" spans="1:64" x14ac:dyDescent="0.25">
      <c r="A298" t="s">
        <v>1463</v>
      </c>
      <c r="B298" t="s">
        <v>1464</v>
      </c>
      <c r="C298" s="4">
        <f>(AA298*(H298*0.9))*12</f>
        <v>2006424</v>
      </c>
      <c r="D298" s="4">
        <f>IF(C298=0,"",(H298*150*12)+C298)</f>
        <v>2258424</v>
      </c>
      <c r="E298" s="4">
        <f>IFERROR(D298*0.5,"")</f>
        <v>1129212</v>
      </c>
      <c r="F298" s="4">
        <f>IFERROR(E298/0.06,"")</f>
        <v>18820200</v>
      </c>
      <c r="G298" s="4">
        <f>IFERROR(F298/H298,"")</f>
        <v>134430</v>
      </c>
      <c r="H298" s="1">
        <v>140</v>
      </c>
      <c r="I298" s="1">
        <v>1985</v>
      </c>
      <c r="J298" t="s">
        <v>64</v>
      </c>
      <c r="K298" t="s">
        <v>177</v>
      </c>
      <c r="L298" t="s">
        <v>1465</v>
      </c>
      <c r="M298" t="s">
        <v>1466</v>
      </c>
      <c r="N298" t="s">
        <v>1467</v>
      </c>
      <c r="O298" t="s">
        <v>1465</v>
      </c>
      <c r="P298" s="1">
        <v>3</v>
      </c>
      <c r="Q298" t="s">
        <v>91</v>
      </c>
      <c r="R298" t="s">
        <v>70</v>
      </c>
      <c r="S298" t="s">
        <v>71</v>
      </c>
      <c r="U298" t="s">
        <v>72</v>
      </c>
      <c r="V298" t="s">
        <v>181</v>
      </c>
      <c r="W298" t="s">
        <v>74</v>
      </c>
      <c r="X298" t="s">
        <v>1468</v>
      </c>
      <c r="Y298" s="2">
        <v>955</v>
      </c>
      <c r="Z298" s="3">
        <v>1.39</v>
      </c>
      <c r="AA298" s="4">
        <v>1327</v>
      </c>
      <c r="AK298" s="5">
        <v>6.4286000000000003</v>
      </c>
      <c r="AN298" s="1">
        <v>3</v>
      </c>
      <c r="AO298" t="s">
        <v>81</v>
      </c>
      <c r="AP298" t="s">
        <v>82</v>
      </c>
      <c r="AQ298" t="s">
        <v>83</v>
      </c>
      <c r="AR298" s="3">
        <v>1.37</v>
      </c>
      <c r="AS298" s="4">
        <v>1411</v>
      </c>
      <c r="AT298" s="1">
        <v>1029</v>
      </c>
      <c r="AX298" s="3">
        <v>379646.67</v>
      </c>
      <c r="BB298" t="s">
        <v>84</v>
      </c>
      <c r="BD298" s="3">
        <v>1.42</v>
      </c>
      <c r="BE298" s="4">
        <v>1190</v>
      </c>
      <c r="BF298" s="1">
        <v>836</v>
      </c>
      <c r="BG298" s="1">
        <v>53</v>
      </c>
      <c r="BH298" s="1">
        <v>87</v>
      </c>
      <c r="BL298" t="s">
        <v>131</v>
      </c>
    </row>
    <row r="299" spans="1:64" x14ac:dyDescent="0.25">
      <c r="A299" t="s">
        <v>2010</v>
      </c>
      <c r="B299" t="s">
        <v>2011</v>
      </c>
      <c r="C299" s="4">
        <f>(AA299*(H299*0.9))*12</f>
        <v>1146528</v>
      </c>
      <c r="D299" s="4">
        <f>IF(C299=0,"",(H299*150*12)+C299)</f>
        <v>1290528</v>
      </c>
      <c r="E299" s="4">
        <f>IFERROR(D299*0.5,"")</f>
        <v>645264</v>
      </c>
      <c r="F299" s="4">
        <f>IFERROR(E299/0.06,"")</f>
        <v>10754400</v>
      </c>
      <c r="G299" s="4">
        <f>IFERROR(F299/H299,"")</f>
        <v>134430</v>
      </c>
      <c r="H299" s="1">
        <v>80</v>
      </c>
      <c r="I299" s="1">
        <v>1985</v>
      </c>
      <c r="J299" t="s">
        <v>64</v>
      </c>
      <c r="K299" t="s">
        <v>156</v>
      </c>
      <c r="L299" t="s">
        <v>2012</v>
      </c>
      <c r="M299" t="s">
        <v>2013</v>
      </c>
      <c r="N299" t="s">
        <v>2014</v>
      </c>
      <c r="O299" t="s">
        <v>2012</v>
      </c>
      <c r="P299" s="1">
        <v>3</v>
      </c>
      <c r="Q299" t="s">
        <v>91</v>
      </c>
      <c r="R299" t="s">
        <v>70</v>
      </c>
      <c r="S299" t="s">
        <v>71</v>
      </c>
      <c r="U299" t="s">
        <v>72</v>
      </c>
      <c r="V299" t="s">
        <v>73</v>
      </c>
      <c r="W299" t="s">
        <v>74</v>
      </c>
      <c r="X299" t="s">
        <v>2015</v>
      </c>
      <c r="Y299" s="2">
        <v>1054</v>
      </c>
      <c r="Z299" s="3">
        <v>1.26</v>
      </c>
      <c r="AA299" s="4">
        <v>1327</v>
      </c>
      <c r="AK299" s="5">
        <v>13.75</v>
      </c>
      <c r="AN299" s="1">
        <v>3</v>
      </c>
      <c r="AO299" t="s">
        <v>81</v>
      </c>
      <c r="AP299" t="s">
        <v>82</v>
      </c>
      <c r="AQ299" t="s">
        <v>83</v>
      </c>
      <c r="AR299" s="3">
        <v>1.22</v>
      </c>
      <c r="AS299" s="4">
        <v>1341</v>
      </c>
      <c r="AT299" s="1">
        <v>1103</v>
      </c>
      <c r="AX299" s="3">
        <v>219032.94</v>
      </c>
      <c r="BB299" t="s">
        <v>84</v>
      </c>
      <c r="BD299" s="3">
        <v>1.93</v>
      </c>
      <c r="BE299" s="4">
        <v>1200</v>
      </c>
      <c r="BF299" s="1">
        <v>621</v>
      </c>
      <c r="BG299" s="1">
        <v>8</v>
      </c>
      <c r="BH299" s="1">
        <v>72</v>
      </c>
      <c r="BL299" t="s">
        <v>131</v>
      </c>
    </row>
    <row r="300" spans="1:64" x14ac:dyDescent="0.25">
      <c r="A300" t="s">
        <v>1031</v>
      </c>
      <c r="B300" t="s">
        <v>1032</v>
      </c>
      <c r="C300" s="4">
        <f>(AA300*(H300*0.9))*12</f>
        <v>2696371.2</v>
      </c>
      <c r="D300" s="4">
        <f>IF(C300=0,"",(H300*150*12)+C300)</f>
        <v>3034771.2</v>
      </c>
      <c r="E300" s="4">
        <f>IFERROR(D300*0.5,"")</f>
        <v>1517385.6</v>
      </c>
      <c r="F300" s="4">
        <f>IFERROR(E300/0.06,"")</f>
        <v>25289760.000000004</v>
      </c>
      <c r="G300" s="4">
        <f>IFERROR(F300/H300,"")</f>
        <v>134520.00000000003</v>
      </c>
      <c r="H300" s="1">
        <v>188</v>
      </c>
      <c r="I300" s="1">
        <v>1985</v>
      </c>
      <c r="J300" t="s">
        <v>64</v>
      </c>
      <c r="K300" t="s">
        <v>725</v>
      </c>
      <c r="L300" t="s">
        <v>1033</v>
      </c>
      <c r="M300" t="s">
        <v>1034</v>
      </c>
      <c r="N300" t="s">
        <v>1035</v>
      </c>
      <c r="O300" t="s">
        <v>1033</v>
      </c>
      <c r="P300" s="1">
        <v>3</v>
      </c>
      <c r="Q300" t="s">
        <v>69</v>
      </c>
      <c r="R300" t="s">
        <v>70</v>
      </c>
      <c r="S300" t="s">
        <v>71</v>
      </c>
      <c r="U300" t="s">
        <v>72</v>
      </c>
      <c r="V300" t="s">
        <v>73</v>
      </c>
      <c r="W300" t="s">
        <v>74</v>
      </c>
      <c r="X300" t="s">
        <v>730</v>
      </c>
      <c r="Y300" s="2">
        <v>812</v>
      </c>
      <c r="Z300" s="3">
        <v>1.63</v>
      </c>
      <c r="AA300" s="4">
        <v>1328</v>
      </c>
      <c r="AK300" s="5">
        <v>12.766</v>
      </c>
      <c r="AN300" s="1">
        <v>2</v>
      </c>
      <c r="AO300" t="s">
        <v>81</v>
      </c>
      <c r="AP300" t="s">
        <v>82</v>
      </c>
      <c r="AQ300" t="s">
        <v>83</v>
      </c>
      <c r="AR300" s="3">
        <v>1.54</v>
      </c>
      <c r="AS300" s="4">
        <v>1641</v>
      </c>
      <c r="AT300" s="1">
        <v>1066</v>
      </c>
      <c r="AX300" s="3">
        <v>470918.42</v>
      </c>
      <c r="BB300" t="s">
        <v>84</v>
      </c>
      <c r="BD300" s="3">
        <v>1.69</v>
      </c>
      <c r="BE300" s="4">
        <v>1208</v>
      </c>
      <c r="BF300" s="1">
        <v>716</v>
      </c>
      <c r="BG300" s="1">
        <v>136</v>
      </c>
      <c r="BH300" s="1">
        <v>52</v>
      </c>
      <c r="BL300" t="s">
        <v>131</v>
      </c>
    </row>
    <row r="301" spans="1:64" x14ac:dyDescent="0.25">
      <c r="A301" t="s">
        <v>1732</v>
      </c>
      <c r="B301" t="s">
        <v>1733</v>
      </c>
      <c r="C301" s="4">
        <f>(AA301*(H301*0.9))*12</f>
        <v>2411337.6</v>
      </c>
      <c r="D301" s="4">
        <f>IF(C301=0,"",(H301*150*12)+C301)</f>
        <v>2713737.6</v>
      </c>
      <c r="E301" s="4">
        <f>IFERROR(D301*0.5,"")</f>
        <v>1356868.8</v>
      </c>
      <c r="F301" s="4">
        <f>IFERROR(E301/0.06,"")</f>
        <v>22614480</v>
      </c>
      <c r="G301" s="4">
        <f>IFERROR(F301/H301,"")</f>
        <v>134610</v>
      </c>
      <c r="H301" s="1">
        <v>168</v>
      </c>
      <c r="I301" s="1">
        <v>1987</v>
      </c>
      <c r="J301" t="s">
        <v>64</v>
      </c>
      <c r="K301" t="s">
        <v>1734</v>
      </c>
      <c r="L301" t="s">
        <v>1735</v>
      </c>
      <c r="M301" t="s">
        <v>1736</v>
      </c>
      <c r="N301" t="s">
        <v>1737</v>
      </c>
      <c r="O301" t="s">
        <v>1735</v>
      </c>
      <c r="P301" s="1">
        <v>3</v>
      </c>
      <c r="Q301" t="s">
        <v>91</v>
      </c>
      <c r="R301" t="s">
        <v>70</v>
      </c>
      <c r="S301" t="s">
        <v>71</v>
      </c>
      <c r="U301" t="s">
        <v>72</v>
      </c>
      <c r="V301" t="s">
        <v>664</v>
      </c>
      <c r="W301" t="s">
        <v>74</v>
      </c>
      <c r="X301" t="s">
        <v>1738</v>
      </c>
      <c r="Y301" s="2">
        <v>775</v>
      </c>
      <c r="Z301" s="3">
        <v>1.72</v>
      </c>
      <c r="AA301" s="4">
        <v>1329</v>
      </c>
      <c r="AK301" s="5">
        <v>10.119</v>
      </c>
      <c r="AN301" s="1">
        <v>2</v>
      </c>
      <c r="AO301" t="s">
        <v>81</v>
      </c>
      <c r="AP301" t="s">
        <v>82</v>
      </c>
      <c r="AQ301" t="s">
        <v>83</v>
      </c>
      <c r="AR301" s="3">
        <v>1.72</v>
      </c>
      <c r="AS301" s="4">
        <v>1605</v>
      </c>
      <c r="AT301" s="1">
        <v>935</v>
      </c>
      <c r="AX301" s="3">
        <v>353797.27</v>
      </c>
      <c r="BB301" t="s">
        <v>84</v>
      </c>
      <c r="BD301" s="3">
        <v>1.71</v>
      </c>
      <c r="BE301" s="4">
        <v>1123</v>
      </c>
      <c r="BF301" s="1">
        <v>655</v>
      </c>
      <c r="BG301" s="1">
        <v>96</v>
      </c>
      <c r="BH301" s="1">
        <v>72</v>
      </c>
      <c r="BK301" t="s">
        <v>1739</v>
      </c>
      <c r="BL301" t="s">
        <v>104</v>
      </c>
    </row>
    <row r="302" spans="1:64" x14ac:dyDescent="0.25">
      <c r="A302" t="s">
        <v>1887</v>
      </c>
      <c r="B302" t="s">
        <v>1888</v>
      </c>
      <c r="C302" s="4">
        <f>(AA302*(H302*0.9))*12</f>
        <v>2870640</v>
      </c>
      <c r="D302" s="4">
        <f>IF(C302=0,"",(H302*150*12)+C302)</f>
        <v>3230640</v>
      </c>
      <c r="E302" s="4">
        <f>IFERROR(D302*0.5,"")</f>
        <v>1615320</v>
      </c>
      <c r="F302" s="4">
        <f>IFERROR(E302/0.06,"")</f>
        <v>26922000</v>
      </c>
      <c r="G302" s="4">
        <f>IFERROR(F302/H302,"")</f>
        <v>134610</v>
      </c>
      <c r="H302" s="1">
        <v>200</v>
      </c>
      <c r="I302" s="1">
        <v>1987</v>
      </c>
      <c r="J302" t="s">
        <v>64</v>
      </c>
      <c r="K302" t="s">
        <v>123</v>
      </c>
      <c r="L302" t="s">
        <v>236</v>
      </c>
      <c r="M302" t="s">
        <v>1889</v>
      </c>
      <c r="N302" t="s">
        <v>1890</v>
      </c>
      <c r="O302" t="s">
        <v>236</v>
      </c>
      <c r="P302" s="1">
        <v>3</v>
      </c>
      <c r="Q302" t="s">
        <v>91</v>
      </c>
      <c r="R302" t="s">
        <v>70</v>
      </c>
      <c r="S302" t="s">
        <v>71</v>
      </c>
      <c r="U302" t="s">
        <v>72</v>
      </c>
      <c r="V302" t="s">
        <v>129</v>
      </c>
      <c r="W302" t="s">
        <v>74</v>
      </c>
      <c r="X302" t="s">
        <v>1891</v>
      </c>
      <c r="Y302" s="2">
        <v>800</v>
      </c>
      <c r="Z302" s="3">
        <v>1.66</v>
      </c>
      <c r="AA302" s="4">
        <v>1329</v>
      </c>
      <c r="AK302" s="5">
        <v>11.5</v>
      </c>
      <c r="AN302" s="1">
        <v>2</v>
      </c>
      <c r="AO302" t="s">
        <v>81</v>
      </c>
      <c r="AP302" t="s">
        <v>82</v>
      </c>
      <c r="AQ302" t="s">
        <v>83</v>
      </c>
      <c r="AR302" s="3">
        <v>1.54</v>
      </c>
      <c r="AS302" s="4">
        <v>1456</v>
      </c>
      <c r="AT302" s="1">
        <v>945</v>
      </c>
      <c r="AX302" s="3">
        <v>405039.64</v>
      </c>
      <c r="BB302" t="s">
        <v>84</v>
      </c>
      <c r="BD302" s="3">
        <v>1.79</v>
      </c>
      <c r="BE302" s="4">
        <v>1229</v>
      </c>
      <c r="BF302" s="1">
        <v>687</v>
      </c>
      <c r="BG302" s="1">
        <v>112</v>
      </c>
      <c r="BH302" s="1">
        <v>88</v>
      </c>
    </row>
    <row r="303" spans="1:64" x14ac:dyDescent="0.25">
      <c r="A303" t="s">
        <v>234</v>
      </c>
      <c r="B303" t="s">
        <v>235</v>
      </c>
      <c r="C303" s="4">
        <f>(AA303*(H303*0.9))*12</f>
        <v>3100291.2</v>
      </c>
      <c r="D303" s="4">
        <f>IF(C303=0,"",(H303*150*12)+C303)</f>
        <v>3489091.2</v>
      </c>
      <c r="E303" s="4">
        <f>IFERROR(D303*0.5,"")</f>
        <v>1744545.6</v>
      </c>
      <c r="F303" s="4">
        <f>IFERROR(E303/0.06,"")</f>
        <v>29075760.000000004</v>
      </c>
      <c r="G303" s="4">
        <f>IFERROR(F303/H303,"")</f>
        <v>134610.00000000003</v>
      </c>
      <c r="H303" s="1">
        <v>216</v>
      </c>
      <c r="I303" s="1">
        <v>1985</v>
      </c>
      <c r="J303" t="s">
        <v>64</v>
      </c>
      <c r="K303" t="s">
        <v>228</v>
      </c>
      <c r="L303" t="s">
        <v>236</v>
      </c>
      <c r="M303" t="s">
        <v>237</v>
      </c>
      <c r="N303" t="s">
        <v>238</v>
      </c>
      <c r="O303" t="s">
        <v>236</v>
      </c>
      <c r="P303" s="1">
        <v>3</v>
      </c>
      <c r="Q303" t="s">
        <v>69</v>
      </c>
      <c r="R303" t="s">
        <v>70</v>
      </c>
      <c r="S303" t="s">
        <v>71</v>
      </c>
      <c r="U303" t="s">
        <v>72</v>
      </c>
      <c r="V303" t="s">
        <v>152</v>
      </c>
      <c r="W303" t="s">
        <v>74</v>
      </c>
      <c r="X303" t="s">
        <v>239</v>
      </c>
      <c r="Y303" s="2">
        <v>840</v>
      </c>
      <c r="Z303" s="3">
        <v>1.58</v>
      </c>
      <c r="AA303" s="4">
        <v>1329</v>
      </c>
      <c r="AK303" s="5">
        <v>12.962999999999999</v>
      </c>
      <c r="AN303" s="1">
        <v>2</v>
      </c>
      <c r="AO303" t="s">
        <v>81</v>
      </c>
      <c r="AP303" t="s">
        <v>82</v>
      </c>
      <c r="AQ303" t="s">
        <v>83</v>
      </c>
      <c r="AR303" s="3">
        <v>1.49</v>
      </c>
      <c r="AS303" s="4">
        <v>1434</v>
      </c>
      <c r="AT303" s="1">
        <v>961</v>
      </c>
      <c r="AU303" s="3">
        <v>1.45</v>
      </c>
      <c r="AV303" s="4">
        <v>1723</v>
      </c>
      <c r="AW303" s="1">
        <v>1188</v>
      </c>
      <c r="AX303" s="3">
        <v>587939.81999999995</v>
      </c>
      <c r="BB303" t="s">
        <v>84</v>
      </c>
      <c r="BD303" s="3">
        <v>1.82</v>
      </c>
      <c r="BE303" s="4">
        <v>1097</v>
      </c>
      <c r="BF303" s="1">
        <v>603</v>
      </c>
      <c r="BG303" s="1">
        <v>88</v>
      </c>
      <c r="BH303" s="1">
        <v>104</v>
      </c>
      <c r="BI303" s="1">
        <v>24</v>
      </c>
      <c r="BK303" t="s">
        <v>240</v>
      </c>
      <c r="BL303" t="s">
        <v>104</v>
      </c>
    </row>
    <row r="304" spans="1:64" x14ac:dyDescent="0.25">
      <c r="A304" t="s">
        <v>3228</v>
      </c>
      <c r="B304" t="s">
        <v>3229</v>
      </c>
      <c r="C304" s="4">
        <f>(AA304*(H304*0.9))*12</f>
        <v>3418632</v>
      </c>
      <c r="D304" s="4">
        <f>IF(C304=0,"",(H304*150*12)+C304)</f>
        <v>3847032</v>
      </c>
      <c r="E304" s="4">
        <f>IFERROR(D304*0.5,"")</f>
        <v>1923516</v>
      </c>
      <c r="F304" s="4">
        <f>IFERROR(E304/0.06,"")</f>
        <v>32058600</v>
      </c>
      <c r="G304" s="4">
        <f>IFERROR(F304/H304,"")</f>
        <v>134700</v>
      </c>
      <c r="H304" s="1">
        <v>238</v>
      </c>
      <c r="I304" s="1">
        <v>1996</v>
      </c>
      <c r="J304" t="s">
        <v>64</v>
      </c>
      <c r="K304" t="s">
        <v>215</v>
      </c>
      <c r="L304" t="s">
        <v>3230</v>
      </c>
      <c r="M304" t="s">
        <v>3231</v>
      </c>
      <c r="N304" t="s">
        <v>3232</v>
      </c>
      <c r="O304" t="s">
        <v>3230</v>
      </c>
      <c r="P304" s="1">
        <v>3</v>
      </c>
      <c r="Q304" t="s">
        <v>91</v>
      </c>
      <c r="R304" t="s">
        <v>70</v>
      </c>
      <c r="S304" t="s">
        <v>71</v>
      </c>
      <c r="U304" t="s">
        <v>72</v>
      </c>
      <c r="V304" t="s">
        <v>215</v>
      </c>
      <c r="W304" t="s">
        <v>74</v>
      </c>
      <c r="X304" t="s">
        <v>3233</v>
      </c>
      <c r="Y304" s="2">
        <v>834</v>
      </c>
      <c r="Z304" s="3">
        <v>1.59</v>
      </c>
      <c r="AA304" s="4">
        <v>1330</v>
      </c>
      <c r="AK304" s="5">
        <v>7.9832000000000001</v>
      </c>
      <c r="AM304" s="1">
        <v>2021</v>
      </c>
      <c r="AN304" s="1">
        <v>2</v>
      </c>
      <c r="AO304" t="s">
        <v>81</v>
      </c>
      <c r="AP304" t="s">
        <v>82</v>
      </c>
      <c r="AQ304" t="s">
        <v>83</v>
      </c>
      <c r="AR304" s="3">
        <v>1.56</v>
      </c>
      <c r="AS304" s="4">
        <v>1475</v>
      </c>
      <c r="AT304" s="1">
        <v>947</v>
      </c>
      <c r="AU304" s="3">
        <v>1.26</v>
      </c>
      <c r="AV304" s="4">
        <v>1463</v>
      </c>
      <c r="AW304" s="1">
        <v>1164</v>
      </c>
      <c r="AX304" s="3">
        <v>646613.31000000006</v>
      </c>
      <c r="BB304" t="s">
        <v>84</v>
      </c>
      <c r="BD304" s="3">
        <v>1.74</v>
      </c>
      <c r="BE304" s="4">
        <v>1196</v>
      </c>
      <c r="BF304" s="1">
        <v>688</v>
      </c>
      <c r="BG304" s="1">
        <v>123</v>
      </c>
      <c r="BH304" s="1">
        <v>92</v>
      </c>
      <c r="BI304" s="1">
        <v>23</v>
      </c>
      <c r="BK304" t="s">
        <v>2607</v>
      </c>
      <c r="BL304" t="s">
        <v>104</v>
      </c>
    </row>
    <row r="305" spans="1:64" x14ac:dyDescent="0.25">
      <c r="A305" t="s">
        <v>1914</v>
      </c>
      <c r="B305" t="s">
        <v>1915</v>
      </c>
      <c r="C305" s="4">
        <f>(AA305*(H305*0.9))*12</f>
        <v>3219955.1999999997</v>
      </c>
      <c r="D305" s="4">
        <f>IF(C305=0,"",(H305*150*12)+C305)</f>
        <v>3623155.1999999997</v>
      </c>
      <c r="E305" s="4">
        <f>IFERROR(D305*0.5,"")</f>
        <v>1811577.5999999999</v>
      </c>
      <c r="F305" s="4">
        <f>IFERROR(E305/0.06,"")</f>
        <v>30192960</v>
      </c>
      <c r="G305" s="4">
        <f>IFERROR(F305/H305,"")</f>
        <v>134790</v>
      </c>
      <c r="H305" s="1">
        <v>224</v>
      </c>
      <c r="I305" s="1">
        <v>1986</v>
      </c>
      <c r="J305" t="s">
        <v>64</v>
      </c>
      <c r="K305" t="s">
        <v>409</v>
      </c>
      <c r="L305" t="s">
        <v>1916</v>
      </c>
      <c r="M305" t="s">
        <v>1917</v>
      </c>
      <c r="N305" t="s">
        <v>1918</v>
      </c>
      <c r="O305" t="s">
        <v>1916</v>
      </c>
      <c r="P305" s="1">
        <v>3</v>
      </c>
      <c r="Q305" t="s">
        <v>91</v>
      </c>
      <c r="R305" t="s">
        <v>70</v>
      </c>
      <c r="S305" t="s">
        <v>71</v>
      </c>
      <c r="U305" t="s">
        <v>72</v>
      </c>
      <c r="V305" t="s">
        <v>110</v>
      </c>
      <c r="W305" t="s">
        <v>74</v>
      </c>
      <c r="X305" t="s">
        <v>1919</v>
      </c>
      <c r="Y305" s="2">
        <v>807</v>
      </c>
      <c r="Z305" s="3">
        <v>1.65</v>
      </c>
      <c r="AA305" s="4">
        <v>1331</v>
      </c>
      <c r="AK305" s="5">
        <v>6.6963999999999997</v>
      </c>
      <c r="AN305" s="1">
        <v>2</v>
      </c>
      <c r="AO305" t="s">
        <v>81</v>
      </c>
      <c r="AP305" t="s">
        <v>82</v>
      </c>
      <c r="AQ305" t="s">
        <v>83</v>
      </c>
      <c r="AR305" s="3">
        <v>1.6</v>
      </c>
      <c r="AS305" s="4">
        <v>1545</v>
      </c>
      <c r="AT305" s="1">
        <v>966</v>
      </c>
      <c r="AX305" s="3">
        <v>675380.94</v>
      </c>
      <c r="BB305" t="s">
        <v>84</v>
      </c>
      <c r="BD305" s="3">
        <v>1.69</v>
      </c>
      <c r="BE305" s="4">
        <v>1213</v>
      </c>
      <c r="BF305" s="1">
        <v>719</v>
      </c>
      <c r="BG305" s="1">
        <v>144</v>
      </c>
      <c r="BH305" s="1">
        <v>80</v>
      </c>
    </row>
    <row r="306" spans="1:64" x14ac:dyDescent="0.25">
      <c r="A306" t="s">
        <v>2326</v>
      </c>
      <c r="B306" t="s">
        <v>2327</v>
      </c>
      <c r="C306" s="4">
        <f>(AA306*(H306*0.9))*12</f>
        <v>4765208.4000000004</v>
      </c>
      <c r="D306" s="4">
        <f>IF(C306=0,"",(H306*150*12)+C306)</f>
        <v>5361008.4000000004</v>
      </c>
      <c r="E306" s="4">
        <f>IFERROR(D306*0.5,"")</f>
        <v>2680504.2000000002</v>
      </c>
      <c r="F306" s="4">
        <f>IFERROR(E306/0.06,"")</f>
        <v>44675070.000000007</v>
      </c>
      <c r="G306" s="4">
        <f>IFERROR(F306/H306,"")</f>
        <v>134970.00000000003</v>
      </c>
      <c r="H306" s="1">
        <v>331</v>
      </c>
      <c r="I306" s="1">
        <v>1997</v>
      </c>
      <c r="J306" t="s">
        <v>64</v>
      </c>
      <c r="K306" t="s">
        <v>725</v>
      </c>
      <c r="L306" t="s">
        <v>2328</v>
      </c>
      <c r="M306" t="s">
        <v>2329</v>
      </c>
      <c r="N306" t="s">
        <v>2330</v>
      </c>
      <c r="O306" t="s">
        <v>2328</v>
      </c>
      <c r="P306" s="1">
        <v>4</v>
      </c>
      <c r="Q306" t="s">
        <v>91</v>
      </c>
      <c r="R306" t="s">
        <v>70</v>
      </c>
      <c r="S306" t="s">
        <v>71</v>
      </c>
      <c r="U306" t="s">
        <v>72</v>
      </c>
      <c r="V306" t="s">
        <v>73</v>
      </c>
      <c r="W306" t="s">
        <v>74</v>
      </c>
      <c r="X306" t="s">
        <v>2331</v>
      </c>
      <c r="Y306" s="2">
        <v>738</v>
      </c>
      <c r="Z306" s="3">
        <v>1.8</v>
      </c>
      <c r="AA306" s="4">
        <v>1333</v>
      </c>
      <c r="AK306" s="5">
        <v>9.0633999999999997</v>
      </c>
      <c r="AN306" s="1">
        <v>3</v>
      </c>
      <c r="AO306" t="s">
        <v>81</v>
      </c>
      <c r="AP306" t="s">
        <v>82</v>
      </c>
      <c r="AQ306" t="s">
        <v>83</v>
      </c>
      <c r="AR306" s="3">
        <v>1.5</v>
      </c>
      <c r="AS306" s="4">
        <v>1884</v>
      </c>
      <c r="AT306" s="1">
        <v>1259</v>
      </c>
      <c r="AX306" s="3">
        <v>750467.6</v>
      </c>
      <c r="AY306" s="3">
        <v>2.9</v>
      </c>
      <c r="AZ306" s="4">
        <v>1031</v>
      </c>
      <c r="BA306" s="6">
        <v>356</v>
      </c>
      <c r="BB306" t="s">
        <v>84</v>
      </c>
      <c r="BD306" s="3">
        <v>1.8</v>
      </c>
      <c r="BE306" s="4">
        <v>1323</v>
      </c>
      <c r="BF306" s="1">
        <v>734</v>
      </c>
      <c r="BG306" s="1">
        <v>307</v>
      </c>
      <c r="BH306" s="1">
        <v>12</v>
      </c>
    </row>
    <row r="307" spans="1:64" x14ac:dyDescent="0.25">
      <c r="A307" t="s">
        <v>906</v>
      </c>
      <c r="B307" t="s">
        <v>907</v>
      </c>
      <c r="C307" s="4">
        <f>(AA307*(H307*0.9))*12</f>
        <v>749174.4</v>
      </c>
      <c r="D307" s="4">
        <f>IF(C307=0,"",(H307*150*12)+C307)</f>
        <v>842774.4</v>
      </c>
      <c r="E307" s="4">
        <f>IFERROR(D307*0.5,"")</f>
        <v>421387.2</v>
      </c>
      <c r="F307" s="4">
        <f>IFERROR(E307/0.06,"")</f>
        <v>7023120</v>
      </c>
      <c r="G307" s="4">
        <f>IFERROR(F307/H307,"")</f>
        <v>135060</v>
      </c>
      <c r="H307" s="1">
        <v>52</v>
      </c>
      <c r="I307" s="1">
        <v>1989</v>
      </c>
      <c r="J307" t="s">
        <v>64</v>
      </c>
      <c r="K307" t="s">
        <v>97</v>
      </c>
      <c r="L307" t="s">
        <v>908</v>
      </c>
      <c r="M307" t="s">
        <v>909</v>
      </c>
      <c r="N307" t="s">
        <v>910</v>
      </c>
      <c r="O307" t="s">
        <v>908</v>
      </c>
      <c r="P307" s="1">
        <v>3</v>
      </c>
      <c r="Q307" t="s">
        <v>91</v>
      </c>
      <c r="R307" t="s">
        <v>70</v>
      </c>
      <c r="S307" t="s">
        <v>71</v>
      </c>
      <c r="U307" t="s">
        <v>72</v>
      </c>
      <c r="V307" t="s">
        <v>911</v>
      </c>
      <c r="W307" t="s">
        <v>74</v>
      </c>
      <c r="X307" t="s">
        <v>912</v>
      </c>
      <c r="Y307" s="2">
        <v>873</v>
      </c>
      <c r="Z307" s="3">
        <v>1.53</v>
      </c>
      <c r="AA307" s="4">
        <v>1334</v>
      </c>
      <c r="AK307" s="5">
        <v>5.7691999999999997</v>
      </c>
      <c r="AN307" s="1">
        <v>2</v>
      </c>
      <c r="AO307" t="s">
        <v>81</v>
      </c>
      <c r="AP307" t="s">
        <v>82</v>
      </c>
      <c r="AQ307" t="s">
        <v>83</v>
      </c>
      <c r="AR307" s="3">
        <v>1.49</v>
      </c>
      <c r="AS307" s="4">
        <v>1458</v>
      </c>
      <c r="AT307" s="1">
        <v>976</v>
      </c>
      <c r="AX307" s="3">
        <v>99610.4</v>
      </c>
      <c r="BB307" t="s">
        <v>84</v>
      </c>
      <c r="BD307" s="3">
        <v>1.61</v>
      </c>
      <c r="BE307" s="4">
        <v>1099</v>
      </c>
      <c r="BF307" s="1">
        <v>681</v>
      </c>
      <c r="BG307" s="1">
        <v>18</v>
      </c>
      <c r="BH307" s="1">
        <v>34</v>
      </c>
    </row>
    <row r="308" spans="1:64" x14ac:dyDescent="0.25">
      <c r="A308" t="s">
        <v>1364</v>
      </c>
      <c r="B308" t="s">
        <v>1365</v>
      </c>
      <c r="C308" s="4">
        <f>(AA308*(H308*0.9))*12</f>
        <v>4729104</v>
      </c>
      <c r="D308" s="4">
        <f>IF(C308=0,"",(H308*150*12)+C308)</f>
        <v>5319504</v>
      </c>
      <c r="E308" s="4">
        <f>IFERROR(D308*0.5,"")</f>
        <v>2659752</v>
      </c>
      <c r="F308" s="4">
        <f>IFERROR(E308/0.06,"")</f>
        <v>44329200</v>
      </c>
      <c r="G308" s="4">
        <f>IFERROR(F308/H308,"")</f>
        <v>135150</v>
      </c>
      <c r="H308" s="1">
        <v>328</v>
      </c>
      <c r="I308" s="1">
        <v>1985</v>
      </c>
      <c r="J308" t="s">
        <v>64</v>
      </c>
      <c r="K308" t="s">
        <v>551</v>
      </c>
      <c r="L308" t="s">
        <v>929</v>
      </c>
      <c r="M308" t="s">
        <v>1366</v>
      </c>
      <c r="N308" t="s">
        <v>1367</v>
      </c>
      <c r="O308" t="s">
        <v>929</v>
      </c>
      <c r="P308" s="1">
        <v>3</v>
      </c>
      <c r="Q308" t="s">
        <v>69</v>
      </c>
      <c r="R308" t="s">
        <v>70</v>
      </c>
      <c r="S308" t="s">
        <v>71</v>
      </c>
      <c r="U308" t="s">
        <v>72</v>
      </c>
      <c r="V308" t="s">
        <v>551</v>
      </c>
      <c r="W308" t="s">
        <v>74</v>
      </c>
      <c r="X308" t="s">
        <v>1368</v>
      </c>
      <c r="Y308" s="2">
        <v>887</v>
      </c>
      <c r="Z308" s="3">
        <v>1.5</v>
      </c>
      <c r="AA308" s="4">
        <v>1335</v>
      </c>
      <c r="AK308" s="5">
        <v>8.2317</v>
      </c>
      <c r="AN308" s="1">
        <v>2</v>
      </c>
      <c r="AO308" t="s">
        <v>81</v>
      </c>
      <c r="AP308" t="s">
        <v>82</v>
      </c>
      <c r="AQ308" t="s">
        <v>83</v>
      </c>
      <c r="AR308" s="3">
        <v>1.5</v>
      </c>
      <c r="AS308" s="4">
        <v>1514</v>
      </c>
      <c r="AT308" s="1">
        <v>1013</v>
      </c>
      <c r="AX308" s="3">
        <v>708256.9</v>
      </c>
      <c r="BB308" t="s">
        <v>84</v>
      </c>
      <c r="BD308" s="3">
        <v>1.51</v>
      </c>
      <c r="BE308" s="4">
        <v>1165</v>
      </c>
      <c r="BF308" s="1">
        <v>769</v>
      </c>
      <c r="BG308" s="1">
        <v>168</v>
      </c>
      <c r="BH308" s="1">
        <v>160</v>
      </c>
      <c r="BL308" t="s">
        <v>131</v>
      </c>
    </row>
    <row r="309" spans="1:64" x14ac:dyDescent="0.25">
      <c r="A309" t="s">
        <v>1100</v>
      </c>
      <c r="B309" t="s">
        <v>1101</v>
      </c>
      <c r="C309" s="4">
        <f>(AA309*(H309*0.9))*12</f>
        <v>4703788.8000000007</v>
      </c>
      <c r="D309" s="4">
        <f>IF(C309=0,"",(H309*150*12)+C309)</f>
        <v>5290588.8000000007</v>
      </c>
      <c r="E309" s="4">
        <f>IFERROR(D309*0.5,"")</f>
        <v>2645294.4000000004</v>
      </c>
      <c r="F309" s="4">
        <f>IFERROR(E309/0.06,"")</f>
        <v>44088240.000000007</v>
      </c>
      <c r="G309" s="4">
        <f>IFERROR(F309/H309,"")</f>
        <v>135240.00000000003</v>
      </c>
      <c r="H309" s="1">
        <v>326</v>
      </c>
      <c r="I309" s="1">
        <v>1986</v>
      </c>
      <c r="J309" t="s">
        <v>64</v>
      </c>
      <c r="K309" t="s">
        <v>734</v>
      </c>
      <c r="L309" t="s">
        <v>1102</v>
      </c>
      <c r="M309" t="s">
        <v>1103</v>
      </c>
      <c r="N309" t="s">
        <v>1104</v>
      </c>
      <c r="O309" t="s">
        <v>1102</v>
      </c>
      <c r="P309" s="1">
        <v>3</v>
      </c>
      <c r="Q309" t="s">
        <v>91</v>
      </c>
      <c r="R309" t="s">
        <v>70</v>
      </c>
      <c r="S309" t="s">
        <v>71</v>
      </c>
      <c r="U309" t="s">
        <v>72</v>
      </c>
      <c r="V309" t="s">
        <v>73</v>
      </c>
      <c r="W309" t="s">
        <v>74</v>
      </c>
      <c r="X309" t="s">
        <v>738</v>
      </c>
      <c r="Y309" s="2">
        <v>887</v>
      </c>
      <c r="Z309" s="3">
        <v>1.51</v>
      </c>
      <c r="AA309" s="4">
        <v>1336</v>
      </c>
      <c r="AK309" s="5">
        <v>4.9080000000000004</v>
      </c>
      <c r="AN309" s="1">
        <v>3</v>
      </c>
      <c r="AO309" t="s">
        <v>81</v>
      </c>
      <c r="AP309" t="s">
        <v>82</v>
      </c>
      <c r="AQ309" t="s">
        <v>83</v>
      </c>
      <c r="AR309" s="3">
        <v>1.44</v>
      </c>
      <c r="AS309" s="4">
        <v>1584</v>
      </c>
      <c r="AT309" s="1">
        <v>1102</v>
      </c>
      <c r="AX309" s="3">
        <v>612258.23</v>
      </c>
      <c r="BB309" t="s">
        <v>84</v>
      </c>
      <c r="BD309" s="3">
        <v>1.61</v>
      </c>
      <c r="BE309" s="4">
        <v>1092</v>
      </c>
      <c r="BF309" s="1">
        <v>676</v>
      </c>
      <c r="BG309" s="1">
        <v>164</v>
      </c>
      <c r="BH309" s="1">
        <v>162</v>
      </c>
    </row>
    <row r="310" spans="1:64" x14ac:dyDescent="0.25">
      <c r="A310" t="s">
        <v>450</v>
      </c>
      <c r="B310" t="s">
        <v>451</v>
      </c>
      <c r="C310" s="4">
        <f>(AA310*(H310*0.9))*12</f>
        <v>4335120</v>
      </c>
      <c r="D310" s="4">
        <f>IF(C310=0,"",(H310*150*12)+C310)</f>
        <v>4875120</v>
      </c>
      <c r="E310" s="4">
        <f>IFERROR(D310*0.5,"")</f>
        <v>2437560</v>
      </c>
      <c r="F310" s="4">
        <f>IFERROR(E310/0.06,"")</f>
        <v>40626000</v>
      </c>
      <c r="G310" s="4">
        <f>IFERROR(F310/H310,"")</f>
        <v>135420</v>
      </c>
      <c r="H310" s="1">
        <v>300</v>
      </c>
      <c r="I310" s="1">
        <v>1985</v>
      </c>
      <c r="J310" t="s">
        <v>64</v>
      </c>
      <c r="K310" t="s">
        <v>177</v>
      </c>
      <c r="L310" t="s">
        <v>452</v>
      </c>
      <c r="M310" t="s">
        <v>453</v>
      </c>
      <c r="N310" t="s">
        <v>454</v>
      </c>
      <c r="O310" t="s">
        <v>452</v>
      </c>
      <c r="P310" s="1">
        <v>3</v>
      </c>
      <c r="Q310" t="s">
        <v>69</v>
      </c>
      <c r="R310" t="s">
        <v>70</v>
      </c>
      <c r="S310" t="s">
        <v>71</v>
      </c>
      <c r="U310" t="s">
        <v>72</v>
      </c>
      <c r="V310" t="s">
        <v>181</v>
      </c>
      <c r="W310" t="s">
        <v>74</v>
      </c>
      <c r="X310" t="s">
        <v>455</v>
      </c>
      <c r="Y310" s="2">
        <v>736</v>
      </c>
      <c r="Z310" s="3">
        <v>1.82</v>
      </c>
      <c r="AA310" s="4">
        <v>1338</v>
      </c>
      <c r="AK310" s="5">
        <v>6.6666999999999996</v>
      </c>
      <c r="AN310" s="1">
        <v>3</v>
      </c>
      <c r="AO310" t="s">
        <v>81</v>
      </c>
      <c r="AP310" t="s">
        <v>82</v>
      </c>
      <c r="AQ310" t="s">
        <v>83</v>
      </c>
      <c r="AR310" s="3">
        <v>1.79</v>
      </c>
      <c r="AS310" s="4">
        <v>1606</v>
      </c>
      <c r="AT310" s="1">
        <v>899</v>
      </c>
      <c r="AX310" s="3">
        <v>940355.6</v>
      </c>
      <c r="BB310" t="s">
        <v>84</v>
      </c>
      <c r="BD310" s="3">
        <v>1.85</v>
      </c>
      <c r="BE310" s="4">
        <v>1160</v>
      </c>
      <c r="BF310" s="1">
        <v>628</v>
      </c>
      <c r="BG310" s="1">
        <v>180</v>
      </c>
      <c r="BH310" s="1">
        <v>120</v>
      </c>
    </row>
    <row r="311" spans="1:64" x14ac:dyDescent="0.25">
      <c r="A311" t="s">
        <v>1193</v>
      </c>
      <c r="B311" t="s">
        <v>1194</v>
      </c>
      <c r="C311" s="4">
        <f>(AA311*(H311*0.9))*12</f>
        <v>2198102.4000000004</v>
      </c>
      <c r="D311" s="4">
        <f>IF(C311=0,"",(H311*150*12)+C311)</f>
        <v>2471702.4000000004</v>
      </c>
      <c r="E311" s="4">
        <f>IFERROR(D311*0.5,"")</f>
        <v>1235851.2000000002</v>
      </c>
      <c r="F311" s="4">
        <f>IFERROR(E311/0.06,"")</f>
        <v>20597520.000000004</v>
      </c>
      <c r="G311" s="4">
        <f>IFERROR(F311/H311,"")</f>
        <v>135510.00000000003</v>
      </c>
      <c r="H311" s="1">
        <v>152</v>
      </c>
      <c r="I311" s="1">
        <v>1986</v>
      </c>
      <c r="J311" t="s">
        <v>64</v>
      </c>
      <c r="K311" t="s">
        <v>725</v>
      </c>
      <c r="L311" t="s">
        <v>199</v>
      </c>
      <c r="M311" t="s">
        <v>1195</v>
      </c>
      <c r="N311" t="s">
        <v>1196</v>
      </c>
      <c r="O311" t="s">
        <v>199</v>
      </c>
      <c r="P311" s="1">
        <v>3</v>
      </c>
      <c r="Q311" t="s">
        <v>91</v>
      </c>
      <c r="R311" t="s">
        <v>70</v>
      </c>
      <c r="S311" t="s">
        <v>71</v>
      </c>
      <c r="U311" t="s">
        <v>72</v>
      </c>
      <c r="V311" t="s">
        <v>73</v>
      </c>
      <c r="W311" t="s">
        <v>74</v>
      </c>
      <c r="X311" t="s">
        <v>730</v>
      </c>
      <c r="Y311" s="2">
        <v>762</v>
      </c>
      <c r="Z311" s="3">
        <v>1.76</v>
      </c>
      <c r="AA311" s="4">
        <v>1339</v>
      </c>
      <c r="AK311" s="5">
        <v>11.8421</v>
      </c>
      <c r="AM311" s="1">
        <v>2015</v>
      </c>
      <c r="AN311" s="1">
        <v>2</v>
      </c>
      <c r="AO311" t="s">
        <v>81</v>
      </c>
      <c r="AP311" t="s">
        <v>82</v>
      </c>
      <c r="AQ311" t="s">
        <v>83</v>
      </c>
      <c r="AR311" s="3">
        <v>1.69</v>
      </c>
      <c r="AS311" s="4">
        <v>1617</v>
      </c>
      <c r="AT311" s="1">
        <v>958</v>
      </c>
      <c r="AX311" s="3">
        <v>317072.56</v>
      </c>
      <c r="BB311" t="s">
        <v>84</v>
      </c>
      <c r="BD311" s="3">
        <v>1.8</v>
      </c>
      <c r="BE311" s="4">
        <v>1210</v>
      </c>
      <c r="BF311" s="1">
        <v>673</v>
      </c>
      <c r="BG311" s="1">
        <v>104</v>
      </c>
      <c r="BH311" s="1">
        <v>48</v>
      </c>
      <c r="BK311" t="s">
        <v>1076</v>
      </c>
      <c r="BL311" t="s">
        <v>131</v>
      </c>
    </row>
    <row r="312" spans="1:64" x14ac:dyDescent="0.25">
      <c r="A312" t="s">
        <v>826</v>
      </c>
      <c r="B312" t="s">
        <v>827</v>
      </c>
      <c r="C312" s="4">
        <f>(AA312*(H312*0.9))*12</f>
        <v>8538480</v>
      </c>
      <c r="D312" s="4">
        <f>IF(C312=0,"",(H312*150*12)+C312)</f>
        <v>9600480</v>
      </c>
      <c r="E312" s="4">
        <f>IFERROR(D312*0.5,"")</f>
        <v>4800240</v>
      </c>
      <c r="F312" s="4">
        <f>IFERROR(E312/0.06,"")</f>
        <v>80004000</v>
      </c>
      <c r="G312" s="4">
        <f>IFERROR(F312/H312,"")</f>
        <v>135600</v>
      </c>
      <c r="H312" s="1">
        <v>590</v>
      </c>
      <c r="I312" s="1">
        <v>1986</v>
      </c>
      <c r="J312" t="s">
        <v>64</v>
      </c>
      <c r="K312" t="s">
        <v>734</v>
      </c>
      <c r="L312" t="s">
        <v>478</v>
      </c>
      <c r="M312" t="s">
        <v>828</v>
      </c>
      <c r="O312" t="s">
        <v>478</v>
      </c>
      <c r="P312" s="1">
        <v>4</v>
      </c>
      <c r="Q312" t="s">
        <v>91</v>
      </c>
      <c r="R312" t="s">
        <v>70</v>
      </c>
      <c r="S312" t="s">
        <v>71</v>
      </c>
      <c r="U312" t="s">
        <v>72</v>
      </c>
      <c r="V312" t="s">
        <v>73</v>
      </c>
      <c r="W312" t="s">
        <v>74</v>
      </c>
      <c r="X312" t="s">
        <v>730</v>
      </c>
      <c r="Y312" s="2">
        <v>879</v>
      </c>
      <c r="Z312" s="3">
        <v>1.52</v>
      </c>
      <c r="AA312" s="4">
        <v>1340</v>
      </c>
      <c r="AK312" s="5">
        <v>30.678000000000001</v>
      </c>
      <c r="AM312" s="1">
        <v>2013</v>
      </c>
      <c r="AN312" s="1">
        <v>3</v>
      </c>
      <c r="AO312" t="s">
        <v>81</v>
      </c>
      <c r="AP312" t="s">
        <v>82</v>
      </c>
      <c r="AQ312" t="s">
        <v>83</v>
      </c>
      <c r="AR312" s="3">
        <v>1.43</v>
      </c>
      <c r="AS312" s="4">
        <v>1649</v>
      </c>
      <c r="AT312" s="1">
        <v>1153</v>
      </c>
      <c r="AX312" s="3">
        <v>1378239.1</v>
      </c>
      <c r="BB312" t="s">
        <v>84</v>
      </c>
      <c r="BD312" s="3">
        <v>1.58</v>
      </c>
      <c r="BE312" s="4">
        <v>1210</v>
      </c>
      <c r="BF312" s="1">
        <v>765</v>
      </c>
      <c r="BG312" s="1">
        <v>415</v>
      </c>
      <c r="BH312" s="1">
        <v>175</v>
      </c>
      <c r="BL312" t="s">
        <v>131</v>
      </c>
    </row>
    <row r="313" spans="1:64" x14ac:dyDescent="0.25">
      <c r="A313" t="s">
        <v>2697</v>
      </c>
      <c r="B313" t="s">
        <v>2698</v>
      </c>
      <c r="C313" s="4">
        <f>(AA313*(H313*0.9))*12</f>
        <v>2460240</v>
      </c>
      <c r="D313" s="4">
        <f>IF(C313=0,"",(H313*150*12)+C313)</f>
        <v>2766240</v>
      </c>
      <c r="E313" s="4">
        <f>IFERROR(D313*0.5,"")</f>
        <v>1383120</v>
      </c>
      <c r="F313" s="4">
        <f>IFERROR(E313/0.06,"")</f>
        <v>23052000</v>
      </c>
      <c r="G313" s="4">
        <f>IFERROR(F313/H313,"")</f>
        <v>135600</v>
      </c>
      <c r="H313" s="1">
        <v>170</v>
      </c>
      <c r="I313" s="1">
        <v>1999</v>
      </c>
      <c r="J313" t="s">
        <v>64</v>
      </c>
      <c r="K313" t="s">
        <v>211</v>
      </c>
      <c r="L313" t="s">
        <v>562</v>
      </c>
      <c r="M313" t="s">
        <v>2699</v>
      </c>
      <c r="N313" t="s">
        <v>2700</v>
      </c>
      <c r="O313" t="s">
        <v>562</v>
      </c>
      <c r="P313" s="1">
        <v>4</v>
      </c>
      <c r="Q313" t="s">
        <v>91</v>
      </c>
      <c r="R313" t="s">
        <v>70</v>
      </c>
      <c r="S313" t="s">
        <v>71</v>
      </c>
      <c r="U313" t="s">
        <v>72</v>
      </c>
      <c r="V313" t="s">
        <v>215</v>
      </c>
      <c r="W313" t="s">
        <v>74</v>
      </c>
      <c r="X313" t="s">
        <v>216</v>
      </c>
      <c r="Y313" s="2">
        <v>941</v>
      </c>
      <c r="Z313" s="3">
        <v>1.42</v>
      </c>
      <c r="AA313" s="4">
        <v>1340</v>
      </c>
      <c r="AK313" s="5">
        <v>5.8823999999999996</v>
      </c>
      <c r="AN313" s="1">
        <v>3</v>
      </c>
      <c r="AO313" t="s">
        <v>81</v>
      </c>
      <c r="AP313" t="s">
        <v>82</v>
      </c>
      <c r="AQ313" t="s">
        <v>83</v>
      </c>
      <c r="AR313" s="3">
        <v>1.48</v>
      </c>
      <c r="AS313" s="4">
        <v>1501</v>
      </c>
      <c r="AT313" s="1">
        <v>1012</v>
      </c>
      <c r="AU313" s="3">
        <v>1.29</v>
      </c>
      <c r="AV313" s="4">
        <v>1720</v>
      </c>
      <c r="AW313" s="1">
        <v>1332</v>
      </c>
      <c r="AX313" s="3">
        <v>540066.89</v>
      </c>
      <c r="BB313" t="s">
        <v>84</v>
      </c>
      <c r="BD313" s="3">
        <v>1.43</v>
      </c>
      <c r="BE313" s="4">
        <v>1178</v>
      </c>
      <c r="BF313" s="1">
        <v>824</v>
      </c>
      <c r="BG313" s="1">
        <v>98</v>
      </c>
      <c r="BH313" s="1">
        <v>52</v>
      </c>
      <c r="BI313" s="1">
        <v>20</v>
      </c>
      <c r="BK313" t="s">
        <v>566</v>
      </c>
      <c r="BL313" t="s">
        <v>104</v>
      </c>
    </row>
    <row r="314" spans="1:64" x14ac:dyDescent="0.25">
      <c r="A314" t="s">
        <v>2678</v>
      </c>
      <c r="B314" t="s">
        <v>2679</v>
      </c>
      <c r="C314" s="4">
        <f>(AA314*(H314*0.9))*12</f>
        <v>3475872</v>
      </c>
      <c r="D314" s="4">
        <f>IF(C314=0,"",(H314*150*12)+C314)</f>
        <v>3907872</v>
      </c>
      <c r="E314" s="4">
        <f>IFERROR(D314*0.5,"")</f>
        <v>1953936</v>
      </c>
      <c r="F314" s="4">
        <f>IFERROR(E314/0.06,"")</f>
        <v>32565600</v>
      </c>
      <c r="G314" s="4">
        <f>IFERROR(F314/H314,"")</f>
        <v>135690</v>
      </c>
      <c r="H314" s="1">
        <v>240</v>
      </c>
      <c r="I314" s="1">
        <v>2000</v>
      </c>
      <c r="J314" t="s">
        <v>64</v>
      </c>
      <c r="K314" t="s">
        <v>611</v>
      </c>
      <c r="L314" t="s">
        <v>199</v>
      </c>
      <c r="M314" t="s">
        <v>2680</v>
      </c>
      <c r="N314" t="s">
        <v>2681</v>
      </c>
      <c r="O314" t="s">
        <v>199</v>
      </c>
      <c r="P314" s="1">
        <v>4</v>
      </c>
      <c r="Q314" t="s">
        <v>729</v>
      </c>
      <c r="R314" t="s">
        <v>70</v>
      </c>
      <c r="S314" t="s">
        <v>71</v>
      </c>
      <c r="U314" t="s">
        <v>72</v>
      </c>
      <c r="V314" t="s">
        <v>611</v>
      </c>
      <c r="W314" t="s">
        <v>74</v>
      </c>
      <c r="X314" t="s">
        <v>615</v>
      </c>
      <c r="Y314" s="2">
        <v>821</v>
      </c>
      <c r="Z314" s="3">
        <v>1.63</v>
      </c>
      <c r="AA314" s="4">
        <v>1341</v>
      </c>
      <c r="AK314" s="5">
        <v>10.416700000000001</v>
      </c>
      <c r="AM314" s="1">
        <v>2014</v>
      </c>
      <c r="AN314" s="1">
        <v>3</v>
      </c>
      <c r="AO314" t="s">
        <v>81</v>
      </c>
      <c r="AP314" t="s">
        <v>82</v>
      </c>
      <c r="AQ314" t="s">
        <v>83</v>
      </c>
      <c r="AR314" s="3">
        <v>1.56</v>
      </c>
      <c r="AS314" s="4">
        <v>1542</v>
      </c>
      <c r="AT314" s="1">
        <v>989</v>
      </c>
      <c r="AU314" s="3">
        <v>1.71</v>
      </c>
      <c r="AV314" s="4">
        <v>2067</v>
      </c>
      <c r="AW314" s="1">
        <v>1207</v>
      </c>
      <c r="AX314" s="3">
        <v>926549.46</v>
      </c>
      <c r="BB314" t="s">
        <v>84</v>
      </c>
      <c r="BD314" s="3">
        <v>1.67</v>
      </c>
      <c r="BE314" s="4">
        <v>1131</v>
      </c>
      <c r="BF314" s="1">
        <v>676</v>
      </c>
      <c r="BG314" s="1">
        <v>134</v>
      </c>
      <c r="BH314" s="1">
        <v>98</v>
      </c>
      <c r="BI314" s="1">
        <v>8</v>
      </c>
      <c r="BK314" t="s">
        <v>1708</v>
      </c>
      <c r="BL314" t="s">
        <v>104</v>
      </c>
    </row>
    <row r="315" spans="1:64" x14ac:dyDescent="0.25">
      <c r="A315" t="s">
        <v>3199</v>
      </c>
      <c r="B315" t="s">
        <v>2169</v>
      </c>
      <c r="C315" s="4">
        <f>(AA315*(H315*0.9))*12</f>
        <v>3481056</v>
      </c>
      <c r="D315" s="4">
        <f>IF(C315=0,"",(H315*150*12)+C315)</f>
        <v>3913056</v>
      </c>
      <c r="E315" s="4">
        <f>IFERROR(D315*0.5,"")</f>
        <v>1956528</v>
      </c>
      <c r="F315" s="4">
        <f>IFERROR(E315/0.06,"")</f>
        <v>32608800</v>
      </c>
      <c r="G315" s="4">
        <f>IFERROR(F315/H315,"")</f>
        <v>135870</v>
      </c>
      <c r="H315" s="1">
        <v>240</v>
      </c>
      <c r="I315" s="1">
        <v>1995</v>
      </c>
      <c r="J315" t="s">
        <v>64</v>
      </c>
      <c r="K315" t="s">
        <v>140</v>
      </c>
      <c r="L315" t="s">
        <v>2170</v>
      </c>
      <c r="M315" t="s">
        <v>3200</v>
      </c>
      <c r="N315" t="s">
        <v>3201</v>
      </c>
      <c r="O315" t="s">
        <v>2170</v>
      </c>
      <c r="P315" s="1">
        <v>3</v>
      </c>
      <c r="Q315" t="s">
        <v>91</v>
      </c>
      <c r="R315" t="s">
        <v>70</v>
      </c>
      <c r="S315" t="s">
        <v>71</v>
      </c>
      <c r="T315" t="s">
        <v>118</v>
      </c>
      <c r="U315" t="s">
        <v>72</v>
      </c>
      <c r="V315" t="s">
        <v>140</v>
      </c>
      <c r="W315" t="s">
        <v>74</v>
      </c>
      <c r="X315" t="s">
        <v>565</v>
      </c>
      <c r="Y315" s="2">
        <v>826</v>
      </c>
      <c r="Z315" s="3">
        <v>1.63</v>
      </c>
      <c r="AA315" s="4">
        <v>1343</v>
      </c>
      <c r="AK315" s="5">
        <v>5.4166999999999996</v>
      </c>
      <c r="AL315" s="1">
        <v>5</v>
      </c>
      <c r="AN315" s="1">
        <v>2</v>
      </c>
      <c r="AO315" t="s">
        <v>81</v>
      </c>
      <c r="AP315" t="s">
        <v>82</v>
      </c>
      <c r="AQ315" t="s">
        <v>83</v>
      </c>
      <c r="AR315" s="3">
        <v>1.56</v>
      </c>
      <c r="AS315" s="4">
        <v>1363</v>
      </c>
      <c r="AT315" s="1">
        <v>876</v>
      </c>
      <c r="AU315" s="3">
        <v>1.64</v>
      </c>
      <c r="AV315" s="4">
        <v>1727</v>
      </c>
      <c r="AW315" s="1">
        <v>1056</v>
      </c>
      <c r="AX315" s="3">
        <v>141867.06</v>
      </c>
      <c r="BB315" t="s">
        <v>84</v>
      </c>
      <c r="BD315" s="3">
        <v>1.77</v>
      </c>
      <c r="BE315" s="4">
        <v>1156</v>
      </c>
      <c r="BF315" s="1">
        <v>654</v>
      </c>
      <c r="BG315" s="1">
        <v>80</v>
      </c>
      <c r="BH315" s="1">
        <v>128</v>
      </c>
      <c r="BI315" s="1">
        <v>32</v>
      </c>
      <c r="BL315" t="s">
        <v>104</v>
      </c>
    </row>
    <row r="316" spans="1:64" x14ac:dyDescent="0.25">
      <c r="A316" t="s">
        <v>705</v>
      </c>
      <c r="B316" t="s">
        <v>706</v>
      </c>
      <c r="C316" s="4">
        <f>(AA316*(H316*0.9))*12</f>
        <v>2204668.8000000003</v>
      </c>
      <c r="D316" s="4">
        <f>IF(C316=0,"",(H316*150*12)+C316)</f>
        <v>2478268.8000000003</v>
      </c>
      <c r="E316" s="4">
        <f>IFERROR(D316*0.5,"")</f>
        <v>1239134.4000000001</v>
      </c>
      <c r="F316" s="4">
        <f>IFERROR(E316/0.06,"")</f>
        <v>20652240.000000004</v>
      </c>
      <c r="G316" s="4">
        <f>IFERROR(F316/H316,"")</f>
        <v>135870.00000000003</v>
      </c>
      <c r="H316" s="1">
        <v>152</v>
      </c>
      <c r="I316" s="1">
        <v>1987</v>
      </c>
      <c r="J316" t="s">
        <v>64</v>
      </c>
      <c r="K316" t="s">
        <v>707</v>
      </c>
      <c r="L316" t="s">
        <v>575</v>
      </c>
      <c r="M316" t="s">
        <v>708</v>
      </c>
      <c r="N316" t="s">
        <v>709</v>
      </c>
      <c r="O316" t="s">
        <v>575</v>
      </c>
      <c r="P316" s="1">
        <v>3</v>
      </c>
      <c r="Q316" t="s">
        <v>69</v>
      </c>
      <c r="R316" t="s">
        <v>70</v>
      </c>
      <c r="S316" t="s">
        <v>71</v>
      </c>
      <c r="U316" t="s">
        <v>72</v>
      </c>
      <c r="V316" t="s">
        <v>710</v>
      </c>
      <c r="W316" t="s">
        <v>74</v>
      </c>
      <c r="X316" t="s">
        <v>711</v>
      </c>
      <c r="Y316" s="2">
        <v>862</v>
      </c>
      <c r="Z316" s="3">
        <v>1.56</v>
      </c>
      <c r="AA316" s="4">
        <v>1343</v>
      </c>
      <c r="AK316" s="5">
        <v>3.2894999999999999</v>
      </c>
      <c r="AM316" s="1">
        <v>2012</v>
      </c>
      <c r="AN316" s="1">
        <v>2</v>
      </c>
      <c r="AO316" t="s">
        <v>81</v>
      </c>
      <c r="AP316" t="s">
        <v>82</v>
      </c>
      <c r="AQ316" t="s">
        <v>83</v>
      </c>
      <c r="AR316" s="3">
        <v>1.54</v>
      </c>
      <c r="AS316" s="4">
        <v>1247</v>
      </c>
      <c r="AT316" s="1">
        <v>810</v>
      </c>
      <c r="AU316" s="3">
        <v>1.63</v>
      </c>
      <c r="AV316" s="4">
        <v>1798</v>
      </c>
      <c r="AW316" s="1">
        <v>1101</v>
      </c>
      <c r="AX316" s="3">
        <v>282634.15000000002</v>
      </c>
      <c r="BB316" t="s">
        <v>84</v>
      </c>
      <c r="BD316" s="3">
        <v>1.49</v>
      </c>
      <c r="BE316" s="4">
        <v>1122</v>
      </c>
      <c r="BF316" s="1">
        <v>753</v>
      </c>
      <c r="BG316" s="1">
        <v>24</v>
      </c>
      <c r="BH316" s="1">
        <v>96</v>
      </c>
      <c r="BI316" s="1">
        <v>32</v>
      </c>
      <c r="BK316" t="s">
        <v>712</v>
      </c>
      <c r="BL316" t="s">
        <v>104</v>
      </c>
    </row>
    <row r="317" spans="1:64" x14ac:dyDescent="0.25">
      <c r="A317" t="s">
        <v>414</v>
      </c>
      <c r="B317" t="s">
        <v>415</v>
      </c>
      <c r="C317" s="4">
        <f>(AA317*(H317*0.9))*12</f>
        <v>3164313.6000000006</v>
      </c>
      <c r="D317" s="4">
        <f>IF(C317=0,"",(H317*150*12)+C317)</f>
        <v>3556713.6000000006</v>
      </c>
      <c r="E317" s="4">
        <f>IFERROR(D317*0.5,"")</f>
        <v>1778356.8000000003</v>
      </c>
      <c r="F317" s="4">
        <f>IFERROR(E317/0.06,"")</f>
        <v>29639280.000000007</v>
      </c>
      <c r="G317" s="4">
        <f>IFERROR(F317/H317,"")</f>
        <v>135960.00000000003</v>
      </c>
      <c r="H317" s="1">
        <v>218</v>
      </c>
      <c r="I317" s="1">
        <v>1986</v>
      </c>
      <c r="J317" t="s">
        <v>64</v>
      </c>
      <c r="K317" t="s">
        <v>97</v>
      </c>
      <c r="L317" t="s">
        <v>416</v>
      </c>
      <c r="M317" t="s">
        <v>417</v>
      </c>
      <c r="N317" t="s">
        <v>418</v>
      </c>
      <c r="O317" t="s">
        <v>416</v>
      </c>
      <c r="P317" s="1">
        <v>3</v>
      </c>
      <c r="Q317" t="s">
        <v>91</v>
      </c>
      <c r="R317" t="s">
        <v>70</v>
      </c>
      <c r="S317" t="s">
        <v>71</v>
      </c>
      <c r="U317" t="s">
        <v>72</v>
      </c>
      <c r="V317" t="s">
        <v>73</v>
      </c>
      <c r="W317" t="s">
        <v>74</v>
      </c>
      <c r="X317" t="s">
        <v>419</v>
      </c>
      <c r="Y317" s="2">
        <v>863</v>
      </c>
      <c r="Z317" s="3">
        <v>1.56</v>
      </c>
      <c r="AA317" s="4">
        <v>1344</v>
      </c>
      <c r="AK317" s="5">
        <v>10.091699999999999</v>
      </c>
      <c r="AM317" s="1">
        <v>2018</v>
      </c>
      <c r="AN317" s="1">
        <v>2</v>
      </c>
      <c r="AO317" t="s">
        <v>81</v>
      </c>
      <c r="AP317" t="s">
        <v>82</v>
      </c>
      <c r="AQ317" t="s">
        <v>83</v>
      </c>
      <c r="AR317" s="3">
        <v>1.48</v>
      </c>
      <c r="AS317" s="4">
        <v>1485</v>
      </c>
      <c r="AT317" s="1">
        <v>1000</v>
      </c>
      <c r="AU317" s="3">
        <v>1.43</v>
      </c>
      <c r="AV317" s="4">
        <v>1670</v>
      </c>
      <c r="AW317" s="1">
        <v>1165</v>
      </c>
      <c r="AX317" s="3">
        <v>679613.55</v>
      </c>
      <c r="BB317" t="s">
        <v>84</v>
      </c>
      <c r="BD317" s="3">
        <v>1.67</v>
      </c>
      <c r="BE317" s="4">
        <v>1180</v>
      </c>
      <c r="BF317" s="1">
        <v>707</v>
      </c>
      <c r="BG317" s="1">
        <v>112</v>
      </c>
      <c r="BH317" s="1">
        <v>88</v>
      </c>
      <c r="BI317" s="1">
        <v>18</v>
      </c>
      <c r="BL317" t="s">
        <v>131</v>
      </c>
    </row>
    <row r="318" spans="1:64" x14ac:dyDescent="0.25">
      <c r="A318" t="s">
        <v>2218</v>
      </c>
      <c r="B318" t="s">
        <v>2219</v>
      </c>
      <c r="C318" s="4">
        <f>(AA318*(H318*0.9))*12</f>
        <v>3729715.2000000002</v>
      </c>
      <c r="D318" s="4">
        <f>IF(C318=0,"",(H318*150*12)+C318)</f>
        <v>4190515.2000000002</v>
      </c>
      <c r="E318" s="4">
        <f>IFERROR(D318*0.5,"")</f>
        <v>2095257.6000000001</v>
      </c>
      <c r="F318" s="4">
        <f>IFERROR(E318/0.06,"")</f>
        <v>34920960</v>
      </c>
      <c r="G318" s="4">
        <f>IFERROR(F318/H318,"")</f>
        <v>136410</v>
      </c>
      <c r="H318" s="1">
        <v>256</v>
      </c>
      <c r="I318" s="1">
        <v>1999</v>
      </c>
      <c r="J318" t="s">
        <v>64</v>
      </c>
      <c r="K318" t="s">
        <v>156</v>
      </c>
      <c r="L318" t="s">
        <v>2220</v>
      </c>
      <c r="M318" t="s">
        <v>2221</v>
      </c>
      <c r="N318" t="s">
        <v>2222</v>
      </c>
      <c r="O318" t="s">
        <v>2220</v>
      </c>
      <c r="P318" s="1">
        <v>4</v>
      </c>
      <c r="Q318" t="s">
        <v>729</v>
      </c>
      <c r="R318" t="s">
        <v>70</v>
      </c>
      <c r="S318" t="s">
        <v>71</v>
      </c>
      <c r="U318" t="s">
        <v>72</v>
      </c>
      <c r="V318" t="s">
        <v>427</v>
      </c>
      <c r="W318" t="s">
        <v>74</v>
      </c>
      <c r="X318" t="s">
        <v>600</v>
      </c>
      <c r="Y318" s="2">
        <v>872</v>
      </c>
      <c r="Z318" s="3">
        <v>1.55</v>
      </c>
      <c r="AA318" s="4">
        <v>1349</v>
      </c>
      <c r="AK318" s="5">
        <v>9.7655999999999992</v>
      </c>
      <c r="AM318" s="1">
        <v>2013</v>
      </c>
      <c r="AN318" s="1">
        <v>3</v>
      </c>
      <c r="AO318" t="s">
        <v>81</v>
      </c>
      <c r="AP318" t="s">
        <v>82</v>
      </c>
      <c r="AQ318" t="s">
        <v>83</v>
      </c>
      <c r="AR318" s="3">
        <v>1.46</v>
      </c>
      <c r="AS318" s="4">
        <v>1403</v>
      </c>
      <c r="AT318" s="1">
        <v>963</v>
      </c>
      <c r="AU318" s="3">
        <v>1.7</v>
      </c>
      <c r="AV318" s="4">
        <v>2195</v>
      </c>
      <c r="AW318" s="1">
        <v>1291</v>
      </c>
      <c r="AX318" s="3">
        <v>886006.09</v>
      </c>
      <c r="BB318" t="s">
        <v>84</v>
      </c>
      <c r="BD318" s="3">
        <v>1.63</v>
      </c>
      <c r="BE318" s="4">
        <v>1183</v>
      </c>
      <c r="BF318" s="1">
        <v>726</v>
      </c>
      <c r="BG318" s="1">
        <v>120</v>
      </c>
      <c r="BH318" s="1">
        <v>120</v>
      </c>
      <c r="BI318" s="1">
        <v>16</v>
      </c>
      <c r="BK318" t="s">
        <v>2223</v>
      </c>
      <c r="BL318" t="s">
        <v>104</v>
      </c>
    </row>
    <row r="319" spans="1:64" x14ac:dyDescent="0.25">
      <c r="A319" t="s">
        <v>1954</v>
      </c>
      <c r="B319" t="s">
        <v>1955</v>
      </c>
      <c r="C319" s="4">
        <f>(AA319*(H319*0.9))*12</f>
        <v>6181920.0000000009</v>
      </c>
      <c r="D319" s="4">
        <f>IF(C319=0,"",(H319*150*12)+C319)</f>
        <v>6945120.0000000009</v>
      </c>
      <c r="E319" s="4">
        <f>IFERROR(D319*0.5,"")</f>
        <v>3472560.0000000005</v>
      </c>
      <c r="F319" s="4">
        <f>IFERROR(E319/0.06,"")</f>
        <v>57876000.000000007</v>
      </c>
      <c r="G319" s="4">
        <f>IFERROR(F319/H319,"")</f>
        <v>136500.00000000003</v>
      </c>
      <c r="H319" s="1">
        <v>424</v>
      </c>
      <c r="I319" s="1">
        <v>1990</v>
      </c>
      <c r="J319" t="s">
        <v>64</v>
      </c>
      <c r="K319" t="s">
        <v>228</v>
      </c>
      <c r="L319" t="s">
        <v>1956</v>
      </c>
      <c r="M319" t="s">
        <v>1957</v>
      </c>
      <c r="N319" t="s">
        <v>1958</v>
      </c>
      <c r="O319" t="s">
        <v>1956</v>
      </c>
      <c r="P319" s="1">
        <v>4</v>
      </c>
      <c r="Q319" t="s">
        <v>729</v>
      </c>
      <c r="R319" t="s">
        <v>70</v>
      </c>
      <c r="S319" t="s">
        <v>71</v>
      </c>
      <c r="U319" t="s">
        <v>72</v>
      </c>
      <c r="V319" t="s">
        <v>152</v>
      </c>
      <c r="W319" t="s">
        <v>74</v>
      </c>
      <c r="X319" t="s">
        <v>233</v>
      </c>
      <c r="Y319" s="2">
        <v>845</v>
      </c>
      <c r="Z319" s="3">
        <v>1.6</v>
      </c>
      <c r="AA319" s="4">
        <v>1350</v>
      </c>
      <c r="AK319" s="5">
        <v>10.613200000000001</v>
      </c>
      <c r="AM319" s="1">
        <v>2014</v>
      </c>
      <c r="AN319" s="1">
        <v>3</v>
      </c>
      <c r="AO319" t="s">
        <v>81</v>
      </c>
      <c r="AP319" t="s">
        <v>82</v>
      </c>
      <c r="AQ319" t="s">
        <v>83</v>
      </c>
      <c r="AR319" s="3">
        <v>1.44</v>
      </c>
      <c r="AS319" s="4">
        <v>1445</v>
      </c>
      <c r="AT319" s="1">
        <v>1001</v>
      </c>
      <c r="AU319" s="3">
        <v>1.36</v>
      </c>
      <c r="AV319" s="4">
        <v>1878</v>
      </c>
      <c r="AW319" s="1">
        <v>1384</v>
      </c>
      <c r="AX319" s="3">
        <v>825108.7</v>
      </c>
      <c r="BB319" t="s">
        <v>84</v>
      </c>
      <c r="BD319" s="3">
        <v>1.81</v>
      </c>
      <c r="BE319" s="4">
        <v>1242</v>
      </c>
      <c r="BF319" s="1">
        <v>686</v>
      </c>
      <c r="BG319" s="1">
        <v>224</v>
      </c>
      <c r="BH319" s="1">
        <v>188</v>
      </c>
      <c r="BI319" s="1">
        <v>12</v>
      </c>
    </row>
    <row r="320" spans="1:64" x14ac:dyDescent="0.25">
      <c r="A320" t="s">
        <v>1954</v>
      </c>
      <c r="B320" t="s">
        <v>1955</v>
      </c>
      <c r="C320" s="4">
        <f>(AA320*(H320*0.9))*12</f>
        <v>6181920.0000000009</v>
      </c>
      <c r="D320" s="4">
        <f>IF(C320=0,"",(H320*150*12)+C320)</f>
        <v>6945120.0000000009</v>
      </c>
      <c r="E320" s="4">
        <f>IFERROR(D320*0.5,"")</f>
        <v>3472560.0000000005</v>
      </c>
      <c r="F320" s="4">
        <f>IFERROR(E320/0.06,"")</f>
        <v>57876000.000000007</v>
      </c>
      <c r="G320" s="4">
        <f>IFERROR(F320/H320,"")</f>
        <v>136500.00000000003</v>
      </c>
      <c r="H320" s="1">
        <v>424</v>
      </c>
      <c r="I320" s="1">
        <v>1990</v>
      </c>
      <c r="J320" t="s">
        <v>64</v>
      </c>
      <c r="K320" t="s">
        <v>228</v>
      </c>
      <c r="L320" t="s">
        <v>1956</v>
      </c>
      <c r="M320" t="s">
        <v>1957</v>
      </c>
      <c r="N320" t="s">
        <v>1958</v>
      </c>
      <c r="O320" t="s">
        <v>1956</v>
      </c>
      <c r="P320" s="1">
        <v>4</v>
      </c>
      <c r="Q320" t="s">
        <v>729</v>
      </c>
      <c r="R320" t="s">
        <v>70</v>
      </c>
      <c r="S320" t="s">
        <v>71</v>
      </c>
      <c r="U320" t="s">
        <v>72</v>
      </c>
      <c r="V320" t="s">
        <v>152</v>
      </c>
      <c r="W320" t="s">
        <v>74</v>
      </c>
      <c r="X320" t="s">
        <v>233</v>
      </c>
      <c r="Y320" s="2">
        <v>845</v>
      </c>
      <c r="Z320" s="3">
        <v>1.6</v>
      </c>
      <c r="AA320" s="4">
        <v>1350</v>
      </c>
      <c r="AK320" s="5">
        <v>10.613200000000001</v>
      </c>
      <c r="AM320" s="1">
        <v>2014</v>
      </c>
      <c r="AN320" s="1">
        <v>3</v>
      </c>
      <c r="AO320" t="s">
        <v>81</v>
      </c>
      <c r="AP320" t="s">
        <v>82</v>
      </c>
      <c r="AQ320" t="s">
        <v>83</v>
      </c>
      <c r="AR320" s="3">
        <v>1.44</v>
      </c>
      <c r="AS320" s="4">
        <v>1445</v>
      </c>
      <c r="AT320" s="1">
        <v>1001</v>
      </c>
      <c r="AU320" s="3">
        <v>1.36</v>
      </c>
      <c r="AV320" s="4">
        <v>1878</v>
      </c>
      <c r="AW320" s="1">
        <v>1384</v>
      </c>
      <c r="AX320" s="3">
        <v>825108.7</v>
      </c>
      <c r="BB320" t="s">
        <v>84</v>
      </c>
      <c r="BD320" s="3">
        <v>1.81</v>
      </c>
      <c r="BE320" s="4">
        <v>1242</v>
      </c>
      <c r="BF320" s="1">
        <v>686</v>
      </c>
      <c r="BG320" s="1">
        <v>224</v>
      </c>
      <c r="BH320" s="1">
        <v>188</v>
      </c>
      <c r="BI320" s="1">
        <v>12</v>
      </c>
    </row>
    <row r="321" spans="1:64" x14ac:dyDescent="0.25">
      <c r="A321" t="s">
        <v>1658</v>
      </c>
      <c r="B321" t="s">
        <v>1659</v>
      </c>
      <c r="C321" s="4">
        <f>(AA321*(H321*0.9))*12</f>
        <v>6307891.1999999993</v>
      </c>
      <c r="D321" s="4">
        <f>IF(C321=0,"",(H321*150*12)+C321)</f>
        <v>7085491.1999999993</v>
      </c>
      <c r="E321" s="4">
        <f>IFERROR(D321*0.5,"")</f>
        <v>3542745.5999999996</v>
      </c>
      <c r="F321" s="4">
        <f>IFERROR(E321/0.06,"")</f>
        <v>59045759.999999993</v>
      </c>
      <c r="G321" s="4">
        <f>IFERROR(F321/H321,"")</f>
        <v>136679.99999999997</v>
      </c>
      <c r="H321" s="1">
        <v>432</v>
      </c>
      <c r="I321" s="1">
        <v>1985</v>
      </c>
      <c r="J321" t="s">
        <v>64</v>
      </c>
      <c r="K321" t="s">
        <v>97</v>
      </c>
      <c r="L321" t="s">
        <v>1660</v>
      </c>
      <c r="M321" t="s">
        <v>1661</v>
      </c>
      <c r="O321" t="s">
        <v>1660</v>
      </c>
      <c r="P321" s="1">
        <v>4</v>
      </c>
      <c r="Q321" t="s">
        <v>729</v>
      </c>
      <c r="R321" t="s">
        <v>70</v>
      </c>
      <c r="S321" t="s">
        <v>71</v>
      </c>
      <c r="U321" t="s">
        <v>72</v>
      </c>
      <c r="V321" t="s">
        <v>1662</v>
      </c>
      <c r="W321" t="s">
        <v>74</v>
      </c>
      <c r="X321" t="s">
        <v>1663</v>
      </c>
      <c r="Y321" s="2">
        <v>852</v>
      </c>
      <c r="Z321" s="3">
        <v>1.59</v>
      </c>
      <c r="AA321" s="4">
        <v>1352</v>
      </c>
      <c r="AK321" s="5">
        <v>4.8611000000000004</v>
      </c>
      <c r="AN321" s="1">
        <v>2</v>
      </c>
      <c r="AO321" t="s">
        <v>81</v>
      </c>
      <c r="AP321" t="s">
        <v>82</v>
      </c>
      <c r="AQ321" t="s">
        <v>83</v>
      </c>
      <c r="AR321" s="3">
        <v>1.49</v>
      </c>
      <c r="AS321" s="4">
        <v>1569</v>
      </c>
      <c r="AT321" s="1">
        <v>1052</v>
      </c>
      <c r="AU321" s="3">
        <v>1.54</v>
      </c>
      <c r="AV321" s="4">
        <v>2155</v>
      </c>
      <c r="AW321" s="1">
        <v>1399</v>
      </c>
      <c r="AX321" s="3">
        <v>640316.54</v>
      </c>
      <c r="BB321" t="s">
        <v>84</v>
      </c>
      <c r="BD321" s="3">
        <v>1.68</v>
      </c>
      <c r="BE321" s="4">
        <v>1173</v>
      </c>
      <c r="BF321" s="1">
        <v>700</v>
      </c>
      <c r="BG321" s="1">
        <v>260</v>
      </c>
      <c r="BH321" s="1">
        <v>156</v>
      </c>
      <c r="BI321" s="1">
        <v>16</v>
      </c>
    </row>
    <row r="322" spans="1:64" x14ac:dyDescent="0.25">
      <c r="A322" t="s">
        <v>2466</v>
      </c>
      <c r="B322" t="s">
        <v>2467</v>
      </c>
      <c r="C322" s="4">
        <f>(AA322*(H322*0.9))*12</f>
        <v>5502384.0000000009</v>
      </c>
      <c r="D322" s="4">
        <f>IF(C322=0,"",(H322*150*12)+C322)</f>
        <v>6179184.0000000009</v>
      </c>
      <c r="E322" s="4">
        <f>IFERROR(D322*0.5,"")</f>
        <v>3089592.0000000005</v>
      </c>
      <c r="F322" s="4">
        <f>IFERROR(E322/0.06,"")</f>
        <v>51493200.000000007</v>
      </c>
      <c r="G322" s="4">
        <f>IFERROR(F322/H322,"")</f>
        <v>136950.00000000003</v>
      </c>
      <c r="H322" s="1">
        <v>376</v>
      </c>
      <c r="I322" s="1">
        <v>1994</v>
      </c>
      <c r="J322" t="s">
        <v>64</v>
      </c>
      <c r="K322" t="s">
        <v>140</v>
      </c>
      <c r="L322" t="s">
        <v>257</v>
      </c>
      <c r="M322" t="s">
        <v>2468</v>
      </c>
      <c r="N322" t="s">
        <v>2469</v>
      </c>
      <c r="O322" t="s">
        <v>257</v>
      </c>
      <c r="P322" s="1">
        <v>4</v>
      </c>
      <c r="Q322" t="s">
        <v>91</v>
      </c>
      <c r="R322" t="s">
        <v>70</v>
      </c>
      <c r="S322" t="s">
        <v>71</v>
      </c>
      <c r="U322" t="s">
        <v>72</v>
      </c>
      <c r="V322" t="s">
        <v>140</v>
      </c>
      <c r="W322" t="s">
        <v>74</v>
      </c>
      <c r="X322" t="s">
        <v>144</v>
      </c>
      <c r="Y322" s="2">
        <v>950</v>
      </c>
      <c r="Z322" s="3">
        <v>1.42</v>
      </c>
      <c r="AA322" s="4">
        <v>1355</v>
      </c>
      <c r="AK322" s="5">
        <v>14.361700000000001</v>
      </c>
      <c r="AM322" s="1">
        <v>2015</v>
      </c>
      <c r="AN322" s="1">
        <v>2</v>
      </c>
      <c r="AO322" t="s">
        <v>81</v>
      </c>
      <c r="AP322" t="s">
        <v>82</v>
      </c>
      <c r="AQ322" t="s">
        <v>83</v>
      </c>
      <c r="AR322" s="3">
        <v>1.36</v>
      </c>
      <c r="AS322" s="4">
        <v>1404</v>
      </c>
      <c r="AT322" s="1">
        <v>1035</v>
      </c>
      <c r="AU322" s="3">
        <v>1.48</v>
      </c>
      <c r="AV322" s="4">
        <v>2020</v>
      </c>
      <c r="AW322" s="1">
        <v>1362</v>
      </c>
      <c r="AX322" s="3">
        <v>389595.32</v>
      </c>
      <c r="BB322" t="s">
        <v>84</v>
      </c>
      <c r="BD322" s="3">
        <v>1.56</v>
      </c>
      <c r="BE322" s="4">
        <v>1161</v>
      </c>
      <c r="BF322" s="1">
        <v>746</v>
      </c>
      <c r="BG322" s="1">
        <v>137</v>
      </c>
      <c r="BH322" s="1">
        <v>215</v>
      </c>
      <c r="BI322" s="1">
        <v>24</v>
      </c>
      <c r="BK322" t="s">
        <v>2470</v>
      </c>
      <c r="BL322" t="s">
        <v>104</v>
      </c>
    </row>
    <row r="323" spans="1:64" x14ac:dyDescent="0.25">
      <c r="A323" t="s">
        <v>3163</v>
      </c>
      <c r="B323" t="s">
        <v>3164</v>
      </c>
      <c r="C323" s="4">
        <f>(AA323*(H323*0.9))*12</f>
        <v>5287680</v>
      </c>
      <c r="D323" s="4">
        <f>IF(C323=0,"",(H323*150*12)+C323)</f>
        <v>5935680</v>
      </c>
      <c r="E323" s="4">
        <f>IFERROR(D323*0.5,"")</f>
        <v>2967840</v>
      </c>
      <c r="F323" s="4">
        <f>IFERROR(E323/0.06,"")</f>
        <v>49464000</v>
      </c>
      <c r="G323" s="4">
        <f>IFERROR(F323/H323,"")</f>
        <v>137400</v>
      </c>
      <c r="H323" s="1">
        <v>360</v>
      </c>
      <c r="I323" s="1">
        <v>1997</v>
      </c>
      <c r="J323" t="s">
        <v>64</v>
      </c>
      <c r="K323" t="s">
        <v>123</v>
      </c>
      <c r="L323" t="s">
        <v>1400</v>
      </c>
      <c r="M323" t="s">
        <v>3165</v>
      </c>
      <c r="N323" t="s">
        <v>3166</v>
      </c>
      <c r="O323" t="s">
        <v>1400</v>
      </c>
      <c r="P323" s="1">
        <v>4</v>
      </c>
      <c r="Q323" t="s">
        <v>729</v>
      </c>
      <c r="R323" t="s">
        <v>70</v>
      </c>
      <c r="S323" t="s">
        <v>71</v>
      </c>
      <c r="U323" t="s">
        <v>72</v>
      </c>
      <c r="V323" t="s">
        <v>129</v>
      </c>
      <c r="W323" t="s">
        <v>74</v>
      </c>
      <c r="X323" t="s">
        <v>3167</v>
      </c>
      <c r="Y323" s="2">
        <v>942</v>
      </c>
      <c r="Z323" s="3">
        <v>1.44</v>
      </c>
      <c r="AA323" s="4">
        <v>1360</v>
      </c>
      <c r="AK323" s="5">
        <v>9.7222000000000008</v>
      </c>
      <c r="AN323" s="1">
        <v>3</v>
      </c>
      <c r="AO323" t="s">
        <v>81</v>
      </c>
      <c r="AP323" t="s">
        <v>82</v>
      </c>
      <c r="AQ323" t="s">
        <v>83</v>
      </c>
      <c r="AR323" s="3">
        <v>1.35</v>
      </c>
      <c r="AS323" s="4">
        <v>1459</v>
      </c>
      <c r="AT323" s="1">
        <v>1077</v>
      </c>
      <c r="AU323" s="3">
        <v>1.63</v>
      </c>
      <c r="AV323" s="4">
        <v>2045</v>
      </c>
      <c r="AW323" s="1">
        <v>1254</v>
      </c>
      <c r="AX323" s="3">
        <v>1157829.68</v>
      </c>
      <c r="BB323" t="s">
        <v>84</v>
      </c>
      <c r="BD323" s="3">
        <v>1.51</v>
      </c>
      <c r="BE323" s="4">
        <v>1097</v>
      </c>
      <c r="BF323" s="1">
        <v>726</v>
      </c>
      <c r="BG323" s="1">
        <v>156</v>
      </c>
      <c r="BH323" s="1">
        <v>168</v>
      </c>
      <c r="BI323" s="1">
        <v>36</v>
      </c>
      <c r="BK323" t="s">
        <v>203</v>
      </c>
      <c r="BL323" t="s">
        <v>104</v>
      </c>
    </row>
    <row r="324" spans="1:64" x14ac:dyDescent="0.25">
      <c r="A324" t="s">
        <v>2843</v>
      </c>
      <c r="B324" t="s">
        <v>2844</v>
      </c>
      <c r="C324" s="4">
        <f>(AA324*(H324*0.9))*12</f>
        <v>4318272.0000000009</v>
      </c>
      <c r="D324" s="4">
        <f>IF(C324=0,"",(H324*150*12)+C324)</f>
        <v>4847472.0000000009</v>
      </c>
      <c r="E324" s="4">
        <f>IFERROR(D324*0.5,"")</f>
        <v>2423736.0000000005</v>
      </c>
      <c r="F324" s="4">
        <f>IFERROR(E324/0.06,"")</f>
        <v>40395600.000000007</v>
      </c>
      <c r="G324" s="4">
        <f>IFERROR(F324/H324,"")</f>
        <v>137400.00000000003</v>
      </c>
      <c r="H324" s="1">
        <v>294</v>
      </c>
      <c r="I324" s="1">
        <v>2000</v>
      </c>
      <c r="J324" t="s">
        <v>64</v>
      </c>
      <c r="K324" t="s">
        <v>215</v>
      </c>
      <c r="L324" t="s">
        <v>2845</v>
      </c>
      <c r="M324" t="s">
        <v>2846</v>
      </c>
      <c r="N324" t="s">
        <v>2847</v>
      </c>
      <c r="O324" t="s">
        <v>2845</v>
      </c>
      <c r="P324" s="1">
        <v>4</v>
      </c>
      <c r="Q324" t="s">
        <v>729</v>
      </c>
      <c r="R324" t="s">
        <v>70</v>
      </c>
      <c r="S324" t="s">
        <v>71</v>
      </c>
      <c r="U324" t="s">
        <v>72</v>
      </c>
      <c r="V324" t="s">
        <v>2848</v>
      </c>
      <c r="W324" t="s">
        <v>74</v>
      </c>
      <c r="X324" t="s">
        <v>2849</v>
      </c>
      <c r="Y324" s="2">
        <v>942</v>
      </c>
      <c r="Z324" s="3">
        <v>1.44</v>
      </c>
      <c r="AA324" s="4">
        <v>1360</v>
      </c>
      <c r="AK324" s="5">
        <v>9.5237999999999996</v>
      </c>
      <c r="AN324" s="1">
        <v>2</v>
      </c>
      <c r="AO324" t="s">
        <v>81</v>
      </c>
      <c r="AP324" t="s">
        <v>82</v>
      </c>
      <c r="AQ324" t="s">
        <v>83</v>
      </c>
      <c r="AR324" s="3">
        <v>1.47</v>
      </c>
      <c r="AS324" s="4">
        <v>1658</v>
      </c>
      <c r="AT324" s="1">
        <v>1124</v>
      </c>
      <c r="AU324" s="3">
        <v>1.44</v>
      </c>
      <c r="AV324" s="4">
        <v>1995</v>
      </c>
      <c r="AW324" s="1">
        <v>1390</v>
      </c>
      <c r="AX324" s="3">
        <v>574241.87</v>
      </c>
      <c r="BB324" t="s">
        <v>84</v>
      </c>
      <c r="BD324" s="3">
        <v>1.41</v>
      </c>
      <c r="BE324" s="4">
        <v>1125</v>
      </c>
      <c r="BF324" s="1">
        <v>796</v>
      </c>
      <c r="BG324" s="1">
        <v>172</v>
      </c>
      <c r="BH324" s="1">
        <v>110</v>
      </c>
      <c r="BI324" s="1">
        <v>12</v>
      </c>
      <c r="BK324" t="s">
        <v>2850</v>
      </c>
      <c r="BL324" t="s">
        <v>104</v>
      </c>
    </row>
    <row r="325" spans="1:64" x14ac:dyDescent="0.25">
      <c r="A325" t="s">
        <v>3852</v>
      </c>
      <c r="B325" t="s">
        <v>3853</v>
      </c>
      <c r="C325" s="4">
        <f>(AA325*(H325*0.9))*12</f>
        <v>735480</v>
      </c>
      <c r="D325" s="4">
        <f>IF(C325=0,"",(H325*150*12)+C325)</f>
        <v>825480</v>
      </c>
      <c r="E325" s="4">
        <f>IFERROR(D325*0.5,"")</f>
        <v>412740</v>
      </c>
      <c r="F325" s="4">
        <f>IFERROR(E325/0.06,"")</f>
        <v>6879000</v>
      </c>
      <c r="G325" s="4">
        <f>IFERROR(F325/H325,"")</f>
        <v>137580</v>
      </c>
      <c r="H325" s="1">
        <v>50</v>
      </c>
      <c r="I325" s="1">
        <v>1998</v>
      </c>
      <c r="J325" t="s">
        <v>64</v>
      </c>
      <c r="K325" t="s">
        <v>943</v>
      </c>
      <c r="L325" t="s">
        <v>220</v>
      </c>
      <c r="M325" t="s">
        <v>3854</v>
      </c>
      <c r="N325" t="s">
        <v>3855</v>
      </c>
      <c r="O325" t="s">
        <v>220</v>
      </c>
      <c r="P325" s="1">
        <v>2</v>
      </c>
      <c r="Q325" t="s">
        <v>69</v>
      </c>
      <c r="R325" t="s">
        <v>70</v>
      </c>
      <c r="S325" t="s">
        <v>71</v>
      </c>
      <c r="U325" t="s">
        <v>72</v>
      </c>
      <c r="V325" t="s">
        <v>945</v>
      </c>
      <c r="W325" t="s">
        <v>74</v>
      </c>
      <c r="X325" t="s">
        <v>3856</v>
      </c>
      <c r="Y325" s="2">
        <v>1095</v>
      </c>
      <c r="Z325" s="3">
        <v>1.1599999999999999</v>
      </c>
      <c r="AA325" s="4">
        <v>1362</v>
      </c>
      <c r="AK325" s="5">
        <v>2</v>
      </c>
      <c r="AN325" s="1">
        <v>1</v>
      </c>
      <c r="AO325" t="s">
        <v>81</v>
      </c>
      <c r="AP325" t="s">
        <v>82</v>
      </c>
      <c r="AQ325" t="s">
        <v>83</v>
      </c>
      <c r="AR325" s="3">
        <v>1.25</v>
      </c>
      <c r="AS325" s="4">
        <v>1302</v>
      </c>
      <c r="AT325" s="1">
        <v>970</v>
      </c>
      <c r="AU325" s="3">
        <v>1.1299999999999999</v>
      </c>
      <c r="AV325" s="4">
        <v>1392</v>
      </c>
      <c r="AW325" s="1">
        <v>1161</v>
      </c>
      <c r="AX325" s="3">
        <v>77745.83</v>
      </c>
      <c r="BB325" t="s">
        <v>84</v>
      </c>
      <c r="BH325" s="1">
        <v>17</v>
      </c>
      <c r="BI325" s="1">
        <v>33</v>
      </c>
      <c r="BK325" t="s">
        <v>2607</v>
      </c>
      <c r="BL325" t="s">
        <v>104</v>
      </c>
    </row>
    <row r="326" spans="1:64" x14ac:dyDescent="0.25">
      <c r="A326" t="s">
        <v>2701</v>
      </c>
      <c r="B326" t="s">
        <v>2702</v>
      </c>
      <c r="C326" s="4">
        <f>(AA326*(H326*0.9))*12</f>
        <v>2235859.2000000002</v>
      </c>
      <c r="D326" s="4">
        <f>IF(C326=0,"",(H326*150*12)+C326)</f>
        <v>2509459.2000000002</v>
      </c>
      <c r="E326" s="4">
        <f>IFERROR(D326*0.5,"")</f>
        <v>1254729.6000000001</v>
      </c>
      <c r="F326" s="4">
        <f>IFERROR(E326/0.06,"")</f>
        <v>20912160.000000004</v>
      </c>
      <c r="G326" s="4">
        <f>IFERROR(F326/H326,"")</f>
        <v>137580.00000000003</v>
      </c>
      <c r="H326" s="1">
        <v>152</v>
      </c>
      <c r="I326" s="1">
        <v>1995</v>
      </c>
      <c r="J326" t="s">
        <v>64</v>
      </c>
      <c r="K326" t="s">
        <v>611</v>
      </c>
      <c r="L326" t="s">
        <v>697</v>
      </c>
      <c r="M326" t="s">
        <v>2703</v>
      </c>
      <c r="N326" t="s">
        <v>2704</v>
      </c>
      <c r="O326" t="s">
        <v>697</v>
      </c>
      <c r="P326" s="1">
        <v>3</v>
      </c>
      <c r="Q326" t="s">
        <v>69</v>
      </c>
      <c r="R326" t="s">
        <v>70</v>
      </c>
      <c r="S326" t="s">
        <v>71</v>
      </c>
      <c r="T326" t="s">
        <v>118</v>
      </c>
      <c r="U326" t="s">
        <v>72</v>
      </c>
      <c r="V326" t="s">
        <v>611</v>
      </c>
      <c r="W326" t="s">
        <v>74</v>
      </c>
      <c r="X326" t="s">
        <v>2705</v>
      </c>
      <c r="Y326" s="2">
        <v>810</v>
      </c>
      <c r="Z326" s="3">
        <v>1.68</v>
      </c>
      <c r="AA326" s="4">
        <v>1362</v>
      </c>
      <c r="AK326" s="5">
        <v>14.473699999999999</v>
      </c>
      <c r="AN326" s="1">
        <v>3</v>
      </c>
      <c r="AO326" t="s">
        <v>81</v>
      </c>
      <c r="AP326" t="s">
        <v>82</v>
      </c>
      <c r="AQ326" t="s">
        <v>83</v>
      </c>
      <c r="AR326" s="3">
        <v>1.65</v>
      </c>
      <c r="AS326" s="4">
        <v>1372</v>
      </c>
      <c r="AT326" s="1">
        <v>830</v>
      </c>
      <c r="AU326" s="3">
        <v>1.73</v>
      </c>
      <c r="AV326" s="4">
        <v>1733</v>
      </c>
      <c r="AW326" s="1">
        <v>1001</v>
      </c>
      <c r="AX326" s="3">
        <v>193267.99</v>
      </c>
      <c r="BB326" t="s">
        <v>84</v>
      </c>
      <c r="BD326" s="3">
        <v>1.67</v>
      </c>
      <c r="BE326" s="4">
        <v>1093</v>
      </c>
      <c r="BF326" s="1">
        <v>655</v>
      </c>
      <c r="BG326" s="1">
        <v>52</v>
      </c>
      <c r="BH326" s="1">
        <v>64</v>
      </c>
      <c r="BI326" s="1">
        <v>36</v>
      </c>
      <c r="BL326" t="s">
        <v>131</v>
      </c>
    </row>
    <row r="327" spans="1:64" x14ac:dyDescent="0.25">
      <c r="A327" t="s">
        <v>3578</v>
      </c>
      <c r="B327" t="s">
        <v>3579</v>
      </c>
      <c r="C327" s="4">
        <f>(AA327*(H327*0.9))*12</f>
        <v>5417107.1999999993</v>
      </c>
      <c r="D327" s="4">
        <f>IF(C327=0,"",(H327*150*12)+C327)</f>
        <v>6079507.1999999993</v>
      </c>
      <c r="E327" s="4">
        <f>IFERROR(D327*0.5,"")</f>
        <v>3039753.5999999996</v>
      </c>
      <c r="F327" s="4">
        <f>IFERROR(E327/0.06,"")</f>
        <v>50662559.999999993</v>
      </c>
      <c r="G327" s="4">
        <f>IFERROR(F327/H327,"")</f>
        <v>137669.99999999997</v>
      </c>
      <c r="H327" s="1">
        <v>368</v>
      </c>
      <c r="I327" s="1">
        <v>1996</v>
      </c>
      <c r="J327" t="s">
        <v>64</v>
      </c>
      <c r="K327" t="s">
        <v>140</v>
      </c>
      <c r="L327" t="s">
        <v>2786</v>
      </c>
      <c r="M327" t="s">
        <v>3580</v>
      </c>
      <c r="N327" t="s">
        <v>2786</v>
      </c>
      <c r="O327" t="s">
        <v>2786</v>
      </c>
      <c r="P327" s="1">
        <v>3</v>
      </c>
      <c r="Q327" t="s">
        <v>91</v>
      </c>
      <c r="R327" t="s">
        <v>70</v>
      </c>
      <c r="S327" t="s">
        <v>71</v>
      </c>
      <c r="U327" t="s">
        <v>72</v>
      </c>
      <c r="V327" t="s">
        <v>140</v>
      </c>
      <c r="W327" t="s">
        <v>74</v>
      </c>
      <c r="X327" t="s">
        <v>3581</v>
      </c>
      <c r="Y327" s="2">
        <v>917</v>
      </c>
      <c r="Z327" s="3">
        <v>1.49</v>
      </c>
      <c r="AA327" s="4">
        <v>1363</v>
      </c>
      <c r="AK327" s="5">
        <v>1.9021999999999999</v>
      </c>
      <c r="AN327" s="1">
        <v>2</v>
      </c>
      <c r="AO327" t="s">
        <v>81</v>
      </c>
      <c r="AP327" t="s">
        <v>82</v>
      </c>
      <c r="AQ327" t="s">
        <v>83</v>
      </c>
      <c r="AR327" s="3">
        <v>1.44</v>
      </c>
      <c r="AS327" s="4">
        <v>1518</v>
      </c>
      <c r="AT327" s="1">
        <v>1055</v>
      </c>
      <c r="AU327" s="3">
        <v>1.63</v>
      </c>
      <c r="AV327" s="4">
        <v>2042</v>
      </c>
      <c r="AW327" s="1">
        <v>1254</v>
      </c>
      <c r="AX327" s="3">
        <v>901174.41</v>
      </c>
      <c r="BB327" t="s">
        <v>84</v>
      </c>
      <c r="BD327" s="3">
        <v>1.52</v>
      </c>
      <c r="BE327" s="4">
        <v>1099</v>
      </c>
      <c r="BF327" s="1">
        <v>722</v>
      </c>
      <c r="BG327" s="1">
        <v>166</v>
      </c>
      <c r="BH327" s="1">
        <v>178</v>
      </c>
      <c r="BI327" s="1">
        <v>24</v>
      </c>
    </row>
    <row r="328" spans="1:64" x14ac:dyDescent="0.25">
      <c r="A328" t="s">
        <v>3968</v>
      </c>
      <c r="B328" t="s">
        <v>3969</v>
      </c>
      <c r="C328" s="4">
        <f>(AA328*(H328*0.9))*12</f>
        <v>4416120</v>
      </c>
      <c r="D328" s="4">
        <f>IF(C328=0,"",(H328*150*12)+C328)</f>
        <v>4956120</v>
      </c>
      <c r="E328" s="4">
        <f>IFERROR(D328*0.5,"")</f>
        <v>2478060</v>
      </c>
      <c r="F328" s="4">
        <f>IFERROR(E328/0.06,"")</f>
        <v>41301000</v>
      </c>
      <c r="G328" s="4">
        <f>IFERROR(F328/H328,"")</f>
        <v>137670</v>
      </c>
      <c r="H328" s="1">
        <v>300</v>
      </c>
      <c r="I328" s="1">
        <v>1996</v>
      </c>
      <c r="J328" t="s">
        <v>64</v>
      </c>
      <c r="K328" t="s">
        <v>198</v>
      </c>
      <c r="L328" t="s">
        <v>250</v>
      </c>
      <c r="M328" t="s">
        <v>3970</v>
      </c>
      <c r="N328" t="s">
        <v>3971</v>
      </c>
      <c r="O328" t="s">
        <v>250</v>
      </c>
      <c r="P328" s="1">
        <v>4</v>
      </c>
      <c r="Q328" t="s">
        <v>91</v>
      </c>
      <c r="R328" t="s">
        <v>70</v>
      </c>
      <c r="S328" t="s">
        <v>71</v>
      </c>
      <c r="U328" t="s">
        <v>72</v>
      </c>
      <c r="V328" t="s">
        <v>531</v>
      </c>
      <c r="W328" t="s">
        <v>74</v>
      </c>
      <c r="X328" t="s">
        <v>3972</v>
      </c>
      <c r="Y328" s="2">
        <v>955</v>
      </c>
      <c r="Z328" s="3">
        <v>1.43</v>
      </c>
      <c r="AA328" s="4">
        <v>1363</v>
      </c>
      <c r="AK328" s="5">
        <v>18.666699999999999</v>
      </c>
      <c r="AN328" s="1">
        <v>3</v>
      </c>
      <c r="AO328" t="s">
        <v>81</v>
      </c>
      <c r="AP328" t="s">
        <v>82</v>
      </c>
      <c r="AQ328" t="s">
        <v>83</v>
      </c>
      <c r="AR328" s="3">
        <v>1.41</v>
      </c>
      <c r="AS328" s="4">
        <v>1575</v>
      </c>
      <c r="AT328" s="1">
        <v>1117</v>
      </c>
      <c r="AX328" s="3">
        <v>670784.93999999994</v>
      </c>
      <c r="BB328" t="s">
        <v>84</v>
      </c>
      <c r="BD328" s="3">
        <v>1.45</v>
      </c>
      <c r="BE328" s="4">
        <v>1151</v>
      </c>
      <c r="BF328" s="1">
        <v>794</v>
      </c>
      <c r="BG328" s="1">
        <v>150</v>
      </c>
      <c r="BH328" s="1">
        <v>150</v>
      </c>
    </row>
    <row r="329" spans="1:64" x14ac:dyDescent="0.25">
      <c r="A329" t="s">
        <v>2555</v>
      </c>
      <c r="B329" t="s">
        <v>2556</v>
      </c>
      <c r="C329" s="4">
        <f>(AA329*(H329*0.9))*12</f>
        <v>2178619.2000000002</v>
      </c>
      <c r="D329" s="4">
        <f>IF(C329=0,"",(H329*150*12)+C329)</f>
        <v>2445019.2000000002</v>
      </c>
      <c r="E329" s="4">
        <f>IFERROR(D329*0.5,"")</f>
        <v>1222509.6000000001</v>
      </c>
      <c r="F329" s="4">
        <f>IFERROR(E329/0.06,"")</f>
        <v>20375160.000000004</v>
      </c>
      <c r="G329" s="4">
        <f>IFERROR(F329/H329,"")</f>
        <v>137670.00000000003</v>
      </c>
      <c r="H329" s="1">
        <v>148</v>
      </c>
      <c r="I329" s="1">
        <v>1995</v>
      </c>
      <c r="J329" t="s">
        <v>64</v>
      </c>
      <c r="K329" t="s">
        <v>123</v>
      </c>
      <c r="L329" t="s">
        <v>2557</v>
      </c>
      <c r="M329" t="s">
        <v>2558</v>
      </c>
      <c r="N329" t="s">
        <v>2559</v>
      </c>
      <c r="O329" t="s">
        <v>2557</v>
      </c>
      <c r="P329" s="1">
        <v>3</v>
      </c>
      <c r="Q329" t="s">
        <v>91</v>
      </c>
      <c r="R329" t="s">
        <v>70</v>
      </c>
      <c r="S329" t="s">
        <v>71</v>
      </c>
      <c r="U329" t="s">
        <v>72</v>
      </c>
      <c r="V329" t="s">
        <v>129</v>
      </c>
      <c r="W329" t="s">
        <v>74</v>
      </c>
      <c r="X329" t="s">
        <v>130</v>
      </c>
      <c r="Y329" s="2">
        <v>910</v>
      </c>
      <c r="Z329" s="3">
        <v>1.5</v>
      </c>
      <c r="AA329" s="4">
        <v>1363</v>
      </c>
      <c r="AK329" s="5">
        <v>9.4595000000000002</v>
      </c>
      <c r="AN329" s="1">
        <v>1</v>
      </c>
      <c r="AO329" t="s">
        <v>81</v>
      </c>
      <c r="AP329" t="s">
        <v>82</v>
      </c>
      <c r="AQ329" t="s">
        <v>83</v>
      </c>
      <c r="AR329" s="3">
        <v>1.45</v>
      </c>
      <c r="AS329" s="4">
        <v>1495</v>
      </c>
      <c r="AT329" s="1">
        <v>1031</v>
      </c>
      <c r="AU329" s="3">
        <v>1.45</v>
      </c>
      <c r="AV329" s="4">
        <v>1749</v>
      </c>
      <c r="AW329" s="1">
        <v>1208</v>
      </c>
      <c r="AX329" s="3">
        <v>358225.59</v>
      </c>
      <c r="BB329" t="s">
        <v>84</v>
      </c>
      <c r="BD329" s="3">
        <v>1.57</v>
      </c>
      <c r="BE329" s="4">
        <v>1179</v>
      </c>
      <c r="BF329" s="1">
        <v>749</v>
      </c>
      <c r="BG329" s="1">
        <v>68</v>
      </c>
      <c r="BH329" s="1">
        <v>72</v>
      </c>
      <c r="BI329" s="1">
        <v>8</v>
      </c>
      <c r="BK329" t="s">
        <v>2247</v>
      </c>
      <c r="BL329" t="s">
        <v>131</v>
      </c>
    </row>
    <row r="330" spans="1:64" x14ac:dyDescent="0.25">
      <c r="A330" t="s">
        <v>3187</v>
      </c>
      <c r="B330" t="s">
        <v>3188</v>
      </c>
      <c r="C330" s="4">
        <f>(AA330*(H330*0.9))*12</f>
        <v>6923664</v>
      </c>
      <c r="D330" s="4">
        <f>IF(C330=0,"",(H330*150*12)+C330)</f>
        <v>7769664</v>
      </c>
      <c r="E330" s="4">
        <f>IFERROR(D330*0.5,"")</f>
        <v>3884832</v>
      </c>
      <c r="F330" s="4">
        <f>IFERROR(E330/0.06,"")</f>
        <v>64747200</v>
      </c>
      <c r="G330" s="4">
        <f>IFERROR(F330/H330,"")</f>
        <v>137760</v>
      </c>
      <c r="H330" s="1">
        <v>470</v>
      </c>
      <c r="I330" s="1">
        <v>1995</v>
      </c>
      <c r="J330" t="s">
        <v>64</v>
      </c>
      <c r="K330" t="s">
        <v>140</v>
      </c>
      <c r="L330" t="s">
        <v>2786</v>
      </c>
      <c r="M330" t="s">
        <v>3189</v>
      </c>
      <c r="N330" t="s">
        <v>2786</v>
      </c>
      <c r="O330" t="s">
        <v>2786</v>
      </c>
      <c r="P330" s="1">
        <v>4</v>
      </c>
      <c r="Q330" t="s">
        <v>91</v>
      </c>
      <c r="R330" t="s">
        <v>70</v>
      </c>
      <c r="S330" t="s">
        <v>71</v>
      </c>
      <c r="U330" t="s">
        <v>72</v>
      </c>
      <c r="V330" t="s">
        <v>140</v>
      </c>
      <c r="W330" t="s">
        <v>74</v>
      </c>
      <c r="X330" t="s">
        <v>565</v>
      </c>
      <c r="Y330" s="2">
        <v>895</v>
      </c>
      <c r="Z330" s="3">
        <v>1.52</v>
      </c>
      <c r="AA330" s="4">
        <v>1364</v>
      </c>
      <c r="AK330" s="5">
        <v>2.1276999999999999</v>
      </c>
      <c r="AM330" s="1">
        <v>2006</v>
      </c>
      <c r="AN330" s="1">
        <v>2</v>
      </c>
      <c r="AO330" t="s">
        <v>81</v>
      </c>
      <c r="AP330" t="s">
        <v>82</v>
      </c>
      <c r="AQ330" t="s">
        <v>83</v>
      </c>
      <c r="AR330" s="3">
        <v>1.45</v>
      </c>
      <c r="AS330" s="4">
        <v>1522</v>
      </c>
      <c r="AT330" s="1">
        <v>1052</v>
      </c>
      <c r="AU330" s="3">
        <v>1.47</v>
      </c>
      <c r="AV330" s="4">
        <v>1991</v>
      </c>
      <c r="AW330" s="1">
        <v>1352</v>
      </c>
      <c r="AX330" s="3">
        <v>957414.22</v>
      </c>
      <c r="BB330" t="s">
        <v>84</v>
      </c>
      <c r="BD330" s="3">
        <v>1.63</v>
      </c>
      <c r="BE330" s="4">
        <v>1176</v>
      </c>
      <c r="BF330" s="1">
        <v>723</v>
      </c>
      <c r="BG330" s="1">
        <v>240</v>
      </c>
      <c r="BH330" s="1">
        <v>212</v>
      </c>
      <c r="BI330" s="1">
        <v>18</v>
      </c>
      <c r="BK330" t="s">
        <v>2368</v>
      </c>
      <c r="BL330" t="s">
        <v>131</v>
      </c>
    </row>
    <row r="331" spans="1:64" x14ac:dyDescent="0.25">
      <c r="A331" t="s">
        <v>2294</v>
      </c>
      <c r="B331" t="s">
        <v>2295</v>
      </c>
      <c r="C331" s="4">
        <f>(AA331*(H331*0.9))*12</f>
        <v>2923192.8000000003</v>
      </c>
      <c r="D331" s="4">
        <f>IF(C331=0,"",(H331*150*12)+C331)</f>
        <v>3279592.8000000003</v>
      </c>
      <c r="E331" s="4">
        <f>IFERROR(D331*0.5,"")</f>
        <v>1639796.4000000001</v>
      </c>
      <c r="F331" s="4">
        <f>IFERROR(E331/0.06,"")</f>
        <v>27329940.000000004</v>
      </c>
      <c r="G331" s="4">
        <f>IFERROR(F331/H331,"")</f>
        <v>138030.00000000003</v>
      </c>
      <c r="H331" s="1">
        <v>198</v>
      </c>
      <c r="I331" s="1">
        <v>1997</v>
      </c>
      <c r="J331" t="s">
        <v>64</v>
      </c>
      <c r="K331" t="s">
        <v>97</v>
      </c>
      <c r="L331" t="s">
        <v>2296</v>
      </c>
      <c r="M331" t="s">
        <v>2297</v>
      </c>
      <c r="N331" t="s">
        <v>2298</v>
      </c>
      <c r="O331" t="s">
        <v>2296</v>
      </c>
      <c r="P331" s="1">
        <v>3</v>
      </c>
      <c r="Q331" t="s">
        <v>69</v>
      </c>
      <c r="R331" t="s">
        <v>70</v>
      </c>
      <c r="S331" t="s">
        <v>71</v>
      </c>
      <c r="T331" t="s">
        <v>118</v>
      </c>
      <c r="U331" t="s">
        <v>72</v>
      </c>
      <c r="V331" t="s">
        <v>1662</v>
      </c>
      <c r="W331" t="s">
        <v>74</v>
      </c>
      <c r="X331" t="s">
        <v>2299</v>
      </c>
      <c r="Y331" s="2">
        <v>806</v>
      </c>
      <c r="Z331" s="3">
        <v>1.69</v>
      </c>
      <c r="AA331" s="4">
        <v>1367</v>
      </c>
      <c r="AK331" s="5">
        <v>7.0707000000000004</v>
      </c>
      <c r="AN331" s="1">
        <v>2</v>
      </c>
      <c r="AO331" t="s">
        <v>81</v>
      </c>
      <c r="AP331" t="s">
        <v>82</v>
      </c>
      <c r="AQ331" t="s">
        <v>83</v>
      </c>
      <c r="AR331" s="3">
        <v>1.65</v>
      </c>
      <c r="AS331" s="4">
        <v>1518</v>
      </c>
      <c r="AT331" s="1">
        <v>920</v>
      </c>
      <c r="AX331" s="3">
        <v>315675.13</v>
      </c>
      <c r="BB331" t="s">
        <v>84</v>
      </c>
      <c r="BD331" s="3">
        <v>1.73</v>
      </c>
      <c r="BE331" s="4">
        <v>1262</v>
      </c>
      <c r="BF331" s="1">
        <v>730</v>
      </c>
      <c r="BG331" s="1">
        <v>118</v>
      </c>
      <c r="BH331" s="1">
        <v>80</v>
      </c>
    </row>
    <row r="332" spans="1:64" x14ac:dyDescent="0.25">
      <c r="A332" t="s">
        <v>2808</v>
      </c>
      <c r="B332" t="s">
        <v>2809</v>
      </c>
      <c r="C332" s="4">
        <f>(AA332*(H332*0.9))*12</f>
        <v>8303212.8000000007</v>
      </c>
      <c r="D332" s="4">
        <f>IF(C332=0,"",(H332*150*12)+C332)</f>
        <v>9314812.8000000007</v>
      </c>
      <c r="E332" s="4">
        <f>IFERROR(D332*0.5,"")</f>
        <v>4657406.4000000004</v>
      </c>
      <c r="F332" s="4">
        <f>IFERROR(E332/0.06,"")</f>
        <v>77623440.000000015</v>
      </c>
      <c r="G332" s="4">
        <f>IFERROR(F332/H332,"")</f>
        <v>138120.00000000003</v>
      </c>
      <c r="H332" s="1">
        <v>562</v>
      </c>
      <c r="I332" s="1">
        <v>1991</v>
      </c>
      <c r="J332" t="s">
        <v>64</v>
      </c>
      <c r="K332" t="s">
        <v>734</v>
      </c>
      <c r="L332" t="s">
        <v>1038</v>
      </c>
      <c r="M332" t="s">
        <v>2810</v>
      </c>
      <c r="N332" t="s">
        <v>2811</v>
      </c>
      <c r="O332" t="s">
        <v>1038</v>
      </c>
      <c r="P332" s="1">
        <v>3</v>
      </c>
      <c r="Q332" t="s">
        <v>91</v>
      </c>
      <c r="R332" t="s">
        <v>70</v>
      </c>
      <c r="S332" t="s">
        <v>71</v>
      </c>
      <c r="U332" t="s">
        <v>72</v>
      </c>
      <c r="V332" t="s">
        <v>73</v>
      </c>
      <c r="W332" t="s">
        <v>74</v>
      </c>
      <c r="X332" t="s">
        <v>730</v>
      </c>
      <c r="Y332" s="2">
        <v>884</v>
      </c>
      <c r="Z332" s="3">
        <v>1.55</v>
      </c>
      <c r="AA332" s="4">
        <v>1368</v>
      </c>
      <c r="AK332" s="5">
        <v>1.6013999999999999</v>
      </c>
      <c r="AN332" s="1">
        <v>3</v>
      </c>
      <c r="AO332" t="s">
        <v>81</v>
      </c>
      <c r="AP332" t="s">
        <v>82</v>
      </c>
      <c r="AQ332" t="s">
        <v>83</v>
      </c>
      <c r="AR332" s="3">
        <v>1.45</v>
      </c>
      <c r="AS332" s="4">
        <v>1492</v>
      </c>
      <c r="AT332" s="1">
        <v>1032</v>
      </c>
      <c r="AX332" s="3">
        <v>1336891.92</v>
      </c>
      <c r="BB332" t="s">
        <v>84</v>
      </c>
      <c r="BD332" s="3">
        <v>1.73</v>
      </c>
      <c r="BE332" s="4">
        <v>1218</v>
      </c>
      <c r="BF332" s="1">
        <v>705</v>
      </c>
      <c r="BG332" s="1">
        <v>254</v>
      </c>
      <c r="BH332" s="1">
        <v>308</v>
      </c>
      <c r="BK332" t="s">
        <v>2812</v>
      </c>
    </row>
    <row r="333" spans="1:64" x14ac:dyDescent="0.25">
      <c r="A333" t="s">
        <v>2927</v>
      </c>
      <c r="B333" t="s">
        <v>2928</v>
      </c>
      <c r="C333" s="4">
        <f>(AA333*(H333*0.9))*12</f>
        <v>3368563.2</v>
      </c>
      <c r="D333" s="4">
        <f>IF(C333=0,"",(H333*150*12)+C333)</f>
        <v>3778963.2</v>
      </c>
      <c r="E333" s="4">
        <f>IFERROR(D333*0.5,"")</f>
        <v>1889481.6</v>
      </c>
      <c r="F333" s="4">
        <f>IFERROR(E333/0.06,"")</f>
        <v>31491360.000000004</v>
      </c>
      <c r="G333" s="4">
        <f>IFERROR(F333/H333,"")</f>
        <v>138120.00000000003</v>
      </c>
      <c r="H333" s="1">
        <v>228</v>
      </c>
      <c r="I333" s="1">
        <v>1995</v>
      </c>
      <c r="J333" t="s">
        <v>64</v>
      </c>
      <c r="K333" t="s">
        <v>734</v>
      </c>
      <c r="L333" t="s">
        <v>2487</v>
      </c>
      <c r="M333" t="s">
        <v>2929</v>
      </c>
      <c r="N333" t="s">
        <v>2930</v>
      </c>
      <c r="O333" t="s">
        <v>2487</v>
      </c>
      <c r="P333" s="1">
        <v>3</v>
      </c>
      <c r="Q333" t="s">
        <v>91</v>
      </c>
      <c r="R333" t="s">
        <v>70</v>
      </c>
      <c r="S333" t="s">
        <v>71</v>
      </c>
      <c r="U333" t="s">
        <v>72</v>
      </c>
      <c r="V333" t="s">
        <v>73</v>
      </c>
      <c r="W333" t="s">
        <v>74</v>
      </c>
      <c r="X333" t="s">
        <v>730</v>
      </c>
      <c r="Y333" s="2">
        <v>763</v>
      </c>
      <c r="Z333" s="3">
        <v>1.79</v>
      </c>
      <c r="AA333" s="4">
        <v>1368</v>
      </c>
      <c r="AK333" s="5">
        <v>7.4561000000000002</v>
      </c>
      <c r="AN333" s="1">
        <v>3</v>
      </c>
      <c r="AO333" t="s">
        <v>81</v>
      </c>
      <c r="AP333" t="s">
        <v>82</v>
      </c>
      <c r="AQ333" t="s">
        <v>83</v>
      </c>
      <c r="AR333" s="3">
        <v>1.68</v>
      </c>
      <c r="AS333" s="4">
        <v>1775</v>
      </c>
      <c r="AT333" s="1">
        <v>1055</v>
      </c>
      <c r="AX333" s="3">
        <v>521761.94</v>
      </c>
      <c r="BB333" t="s">
        <v>84</v>
      </c>
      <c r="BD333" s="3">
        <v>1.84</v>
      </c>
      <c r="BE333" s="4">
        <v>1260</v>
      </c>
      <c r="BF333" s="1">
        <v>686</v>
      </c>
      <c r="BG333" s="1">
        <v>180</v>
      </c>
      <c r="BH333" s="1">
        <v>48</v>
      </c>
      <c r="BL333" t="s">
        <v>131</v>
      </c>
    </row>
    <row r="334" spans="1:64" x14ac:dyDescent="0.25">
      <c r="A334" t="s">
        <v>4009</v>
      </c>
      <c r="B334" t="s">
        <v>4010</v>
      </c>
      <c r="C334" s="4">
        <f>(AA334*(H334*0.9))*12</f>
        <v>5673369.6000000006</v>
      </c>
      <c r="D334" s="4">
        <f>IF(C334=0,"",(H334*150*12)+C334)</f>
        <v>6364569.6000000006</v>
      </c>
      <c r="E334" s="4">
        <f>IFERROR(D334*0.5,"")</f>
        <v>3182284.8000000003</v>
      </c>
      <c r="F334" s="4">
        <f>IFERROR(E334/0.06,"")</f>
        <v>53038080.000000007</v>
      </c>
      <c r="G334" s="4">
        <f>IFERROR(F334/H334,"")</f>
        <v>138120.00000000003</v>
      </c>
      <c r="H334" s="1">
        <v>384</v>
      </c>
      <c r="I334" s="1">
        <v>1999</v>
      </c>
      <c r="J334" t="s">
        <v>64</v>
      </c>
      <c r="K334" t="s">
        <v>4011</v>
      </c>
      <c r="L334" t="s">
        <v>169</v>
      </c>
      <c r="M334" t="s">
        <v>4012</v>
      </c>
      <c r="N334" t="s">
        <v>4013</v>
      </c>
      <c r="O334" t="s">
        <v>169</v>
      </c>
      <c r="P334" s="1">
        <v>4</v>
      </c>
      <c r="Q334" t="s">
        <v>729</v>
      </c>
      <c r="R334" t="s">
        <v>70</v>
      </c>
      <c r="S334" t="s">
        <v>71</v>
      </c>
      <c r="U334" t="s">
        <v>72</v>
      </c>
      <c r="V334" t="s">
        <v>73</v>
      </c>
      <c r="W334" t="s">
        <v>74</v>
      </c>
      <c r="X334" t="s">
        <v>4014</v>
      </c>
      <c r="Y334" s="2">
        <v>912</v>
      </c>
      <c r="Z334" s="3">
        <v>1.5</v>
      </c>
      <c r="AA334" s="4">
        <v>1368</v>
      </c>
      <c r="AK334" s="5">
        <v>9.6354000000000006</v>
      </c>
      <c r="AN334" s="1">
        <v>3</v>
      </c>
      <c r="AO334" t="s">
        <v>81</v>
      </c>
      <c r="AP334" t="s">
        <v>82</v>
      </c>
      <c r="AQ334" t="s">
        <v>83</v>
      </c>
      <c r="AR334" s="3">
        <v>1.45</v>
      </c>
      <c r="AS334" s="4">
        <v>1512</v>
      </c>
      <c r="AT334" s="1">
        <v>1046</v>
      </c>
      <c r="AU334" s="3">
        <v>1.53</v>
      </c>
      <c r="AV334" s="4">
        <v>1997</v>
      </c>
      <c r="AW334" s="1">
        <v>1302</v>
      </c>
      <c r="AX334" s="3">
        <v>1296317.3999999999</v>
      </c>
      <c r="BB334" t="s">
        <v>84</v>
      </c>
      <c r="BD334" s="3">
        <v>1.54</v>
      </c>
      <c r="BE334" s="4">
        <v>1114</v>
      </c>
      <c r="BF334" s="1">
        <v>725</v>
      </c>
      <c r="BG334" s="1">
        <v>200</v>
      </c>
      <c r="BH334" s="1">
        <v>134</v>
      </c>
      <c r="BI334" s="1">
        <v>50</v>
      </c>
      <c r="BK334" t="s">
        <v>1214</v>
      </c>
      <c r="BL334" t="s">
        <v>104</v>
      </c>
    </row>
    <row r="335" spans="1:64" x14ac:dyDescent="0.25">
      <c r="A335" t="s">
        <v>4125</v>
      </c>
      <c r="B335" t="s">
        <v>4126</v>
      </c>
      <c r="C335" s="4">
        <f>(AA335*(H335*0.9))*12</f>
        <v>2840832.0000000005</v>
      </c>
      <c r="D335" s="4">
        <f>IF(C335=0,"",(H335*150*12)+C335)</f>
        <v>3186432.0000000005</v>
      </c>
      <c r="E335" s="4">
        <f>IFERROR(D335*0.5,"")</f>
        <v>1593216.0000000002</v>
      </c>
      <c r="F335" s="4">
        <f>IFERROR(E335/0.06,"")</f>
        <v>26553600.000000004</v>
      </c>
      <c r="G335" s="4">
        <f>IFERROR(F335/H335,"")</f>
        <v>138300.00000000003</v>
      </c>
      <c r="H335" s="1">
        <v>192</v>
      </c>
      <c r="I335" s="1">
        <v>1995</v>
      </c>
      <c r="J335" t="s">
        <v>64</v>
      </c>
      <c r="K335" t="s">
        <v>123</v>
      </c>
      <c r="L335" t="s">
        <v>4122</v>
      </c>
      <c r="M335" t="s">
        <v>4127</v>
      </c>
      <c r="N335" t="s">
        <v>4128</v>
      </c>
      <c r="O335" t="s">
        <v>4122</v>
      </c>
      <c r="P335" s="1">
        <v>3</v>
      </c>
      <c r="Q335" t="s">
        <v>91</v>
      </c>
      <c r="R335" t="s">
        <v>70</v>
      </c>
      <c r="S335" t="s">
        <v>71</v>
      </c>
      <c r="T335" t="s">
        <v>118</v>
      </c>
      <c r="U335" t="s">
        <v>72</v>
      </c>
      <c r="V335" t="s">
        <v>129</v>
      </c>
      <c r="W335" t="s">
        <v>74</v>
      </c>
      <c r="X335" t="s">
        <v>4129</v>
      </c>
      <c r="Y335" s="2">
        <v>989</v>
      </c>
      <c r="Z335" s="3">
        <v>1.39</v>
      </c>
      <c r="AA335" s="4">
        <v>1370</v>
      </c>
      <c r="AK335" s="5">
        <v>7.8125</v>
      </c>
      <c r="AN335" s="1">
        <v>3</v>
      </c>
      <c r="AO335" t="s">
        <v>81</v>
      </c>
      <c r="AP335" t="s">
        <v>82</v>
      </c>
      <c r="AQ335" t="s">
        <v>83</v>
      </c>
      <c r="AR335" s="3">
        <v>1.34</v>
      </c>
      <c r="AS335" s="4">
        <v>1255</v>
      </c>
      <c r="AT335" s="1">
        <v>939</v>
      </c>
      <c r="AU335" s="3">
        <v>1.48</v>
      </c>
      <c r="AV335" s="4">
        <v>1624</v>
      </c>
      <c r="AW335" s="1">
        <v>1100</v>
      </c>
      <c r="AX335" s="3">
        <v>377530.91</v>
      </c>
      <c r="BB335" t="s">
        <v>84</v>
      </c>
      <c r="BH335" s="1">
        <v>132</v>
      </c>
      <c r="BI335" s="1">
        <v>60</v>
      </c>
      <c r="BK335" t="s">
        <v>285</v>
      </c>
      <c r="BL335" t="s">
        <v>104</v>
      </c>
    </row>
    <row r="336" spans="1:64" x14ac:dyDescent="0.25">
      <c r="A336" t="s">
        <v>1925</v>
      </c>
      <c r="B336" t="s">
        <v>1926</v>
      </c>
      <c r="C336" s="4">
        <f>(AA336*(H336*0.9))*12</f>
        <v>992779.20000000007</v>
      </c>
      <c r="D336" s="4">
        <f>IF(C336=0,"",(H336*150*12)+C336)</f>
        <v>1113379.2000000002</v>
      </c>
      <c r="E336" s="4">
        <f>IFERROR(D336*0.5,"")</f>
        <v>556689.60000000009</v>
      </c>
      <c r="F336" s="4">
        <f>IFERROR(E336/0.06,"")</f>
        <v>9278160.0000000019</v>
      </c>
      <c r="G336" s="4">
        <f>IFERROR(F336/H336,"")</f>
        <v>138480.00000000003</v>
      </c>
      <c r="H336" s="1">
        <v>67</v>
      </c>
      <c r="I336" s="1">
        <v>1987</v>
      </c>
      <c r="J336" t="s">
        <v>64</v>
      </c>
      <c r="K336" t="s">
        <v>545</v>
      </c>
      <c r="L336" t="s">
        <v>1927</v>
      </c>
      <c r="M336" t="s">
        <v>1928</v>
      </c>
      <c r="N336" t="s">
        <v>1927</v>
      </c>
      <c r="O336" t="s">
        <v>1927</v>
      </c>
      <c r="P336" s="1">
        <v>3</v>
      </c>
      <c r="Q336" t="s">
        <v>69</v>
      </c>
      <c r="R336" t="s">
        <v>70</v>
      </c>
      <c r="S336" t="s">
        <v>71</v>
      </c>
      <c r="U336" t="s">
        <v>72</v>
      </c>
      <c r="V336" t="s">
        <v>73</v>
      </c>
      <c r="W336" t="s">
        <v>74</v>
      </c>
      <c r="X336" t="s">
        <v>1929</v>
      </c>
      <c r="Y336" s="2">
        <v>619</v>
      </c>
      <c r="Z336" s="3">
        <v>2.21</v>
      </c>
      <c r="AA336" s="4">
        <v>1372</v>
      </c>
      <c r="AN336" s="1">
        <v>1</v>
      </c>
      <c r="AO336" t="s">
        <v>81</v>
      </c>
      <c r="AP336" t="s">
        <v>82</v>
      </c>
      <c r="AQ336" t="s">
        <v>83</v>
      </c>
      <c r="AR336" s="3">
        <v>1.84</v>
      </c>
      <c r="AS336" s="4">
        <v>1656</v>
      </c>
      <c r="AT336" s="1">
        <v>900</v>
      </c>
      <c r="AX336" s="3">
        <v>128156.62</v>
      </c>
      <c r="AY336" s="3">
        <v>2.38</v>
      </c>
      <c r="AZ336" s="4">
        <v>953</v>
      </c>
      <c r="BA336" s="6">
        <v>400</v>
      </c>
      <c r="BB336" t="s">
        <v>84</v>
      </c>
      <c r="BD336" s="3">
        <v>2.2599999999999998</v>
      </c>
      <c r="BE336" s="4">
        <v>1355</v>
      </c>
      <c r="BF336" s="1">
        <v>600</v>
      </c>
      <c r="BG336" s="1">
        <v>61</v>
      </c>
      <c r="BH336" s="1">
        <v>5</v>
      </c>
    </row>
    <row r="337" spans="1:64" x14ac:dyDescent="0.25">
      <c r="A337" t="s">
        <v>1275</v>
      </c>
      <c r="B337" t="s">
        <v>1276</v>
      </c>
      <c r="C337" s="4">
        <f>(AA337*(H337*0.9))*12</f>
        <v>4270579.1999999993</v>
      </c>
      <c r="D337" s="4">
        <f>IF(C337=0,"",(H337*150*12)+C337)</f>
        <v>4788979.1999999993</v>
      </c>
      <c r="E337" s="4">
        <f>IFERROR(D337*0.5,"")</f>
        <v>2394489.5999999996</v>
      </c>
      <c r="F337" s="4">
        <f>IFERROR(E337/0.06,"")</f>
        <v>39908159.999999993</v>
      </c>
      <c r="G337" s="4">
        <f>IFERROR(F337/H337,"")</f>
        <v>138569.99999999997</v>
      </c>
      <c r="H337" s="1">
        <v>288</v>
      </c>
      <c r="I337" s="1">
        <v>1986</v>
      </c>
      <c r="J337" t="s">
        <v>64</v>
      </c>
      <c r="K337" t="s">
        <v>177</v>
      </c>
      <c r="L337" t="s">
        <v>1277</v>
      </c>
      <c r="M337" t="s">
        <v>1278</v>
      </c>
      <c r="N337" t="s">
        <v>1279</v>
      </c>
      <c r="O337" t="s">
        <v>1277</v>
      </c>
      <c r="P337" s="1">
        <v>3</v>
      </c>
      <c r="Q337" t="s">
        <v>91</v>
      </c>
      <c r="R337" t="s">
        <v>70</v>
      </c>
      <c r="S337" t="s">
        <v>71</v>
      </c>
      <c r="U337" t="s">
        <v>72</v>
      </c>
      <c r="V337" t="s">
        <v>172</v>
      </c>
      <c r="W337" t="s">
        <v>74</v>
      </c>
      <c r="X337" t="s">
        <v>1280</v>
      </c>
      <c r="Y337" s="2">
        <v>794</v>
      </c>
      <c r="Z337" s="3">
        <v>1.73</v>
      </c>
      <c r="AA337" s="4">
        <v>1373</v>
      </c>
      <c r="AK337" s="5">
        <v>5.9028</v>
      </c>
      <c r="AN337" s="1">
        <v>3</v>
      </c>
      <c r="AO337" t="s">
        <v>81</v>
      </c>
      <c r="AP337" t="s">
        <v>82</v>
      </c>
      <c r="AQ337" t="s">
        <v>83</v>
      </c>
      <c r="AR337" s="3">
        <v>1.6</v>
      </c>
      <c r="AS337" s="4">
        <v>1669</v>
      </c>
      <c r="AT337" s="1">
        <v>1040</v>
      </c>
      <c r="AX337" s="3">
        <v>404106.3</v>
      </c>
      <c r="BB337" t="s">
        <v>84</v>
      </c>
      <c r="BD337" s="3">
        <v>1.82</v>
      </c>
      <c r="BE337" s="4">
        <v>1226</v>
      </c>
      <c r="BF337" s="1">
        <v>672</v>
      </c>
      <c r="BG337" s="1">
        <v>192</v>
      </c>
      <c r="BH337" s="1">
        <v>96</v>
      </c>
      <c r="BL337" t="s">
        <v>131</v>
      </c>
    </row>
    <row r="338" spans="1:64" x14ac:dyDescent="0.25">
      <c r="A338" t="s">
        <v>3460</v>
      </c>
      <c r="B338" t="s">
        <v>3461</v>
      </c>
      <c r="C338" s="4">
        <f>(AA338*(H338*0.9))*12</f>
        <v>8057685.5999999996</v>
      </c>
      <c r="D338" s="4">
        <f>IF(C338=0,"",(H338*150*12)+C338)</f>
        <v>9035085.5999999996</v>
      </c>
      <c r="E338" s="4">
        <f>IFERROR(D338*0.5,"")</f>
        <v>4517542.8</v>
      </c>
      <c r="F338" s="4">
        <f>IFERROR(E338/0.06,"")</f>
        <v>75292380</v>
      </c>
      <c r="G338" s="4">
        <f>IFERROR(F338/H338,"")</f>
        <v>138660</v>
      </c>
      <c r="H338" s="1">
        <v>543</v>
      </c>
      <c r="I338" s="1">
        <v>1995</v>
      </c>
      <c r="J338" t="s">
        <v>64</v>
      </c>
      <c r="K338" t="s">
        <v>269</v>
      </c>
      <c r="L338" t="s">
        <v>3462</v>
      </c>
      <c r="M338" t="s">
        <v>3463</v>
      </c>
      <c r="N338" t="s">
        <v>3464</v>
      </c>
      <c r="O338" t="s">
        <v>3462</v>
      </c>
      <c r="P338" s="1">
        <v>3</v>
      </c>
      <c r="Q338" t="s">
        <v>91</v>
      </c>
      <c r="R338" t="s">
        <v>70</v>
      </c>
      <c r="S338" t="s">
        <v>71</v>
      </c>
      <c r="U338" t="s">
        <v>72</v>
      </c>
      <c r="V338" t="s">
        <v>73</v>
      </c>
      <c r="W338" t="s">
        <v>74</v>
      </c>
      <c r="X338" t="s">
        <v>1551</v>
      </c>
      <c r="Y338" s="2">
        <v>928</v>
      </c>
      <c r="Z338" s="3">
        <v>1.48</v>
      </c>
      <c r="AA338" s="4">
        <v>1374</v>
      </c>
      <c r="AK338" s="5">
        <v>12.338900000000001</v>
      </c>
      <c r="AN338" s="1">
        <v>3</v>
      </c>
      <c r="AO338" t="s">
        <v>81</v>
      </c>
      <c r="AP338" t="s">
        <v>82</v>
      </c>
      <c r="AQ338" t="s">
        <v>83</v>
      </c>
      <c r="AR338" s="3">
        <v>1.35</v>
      </c>
      <c r="AS338" s="4">
        <v>1644</v>
      </c>
      <c r="AT338" s="1">
        <v>1216</v>
      </c>
      <c r="AX338" s="3">
        <v>1653922.2</v>
      </c>
      <c r="BB338" t="s">
        <v>84</v>
      </c>
      <c r="BD338" s="3">
        <v>1.6</v>
      </c>
      <c r="BE338" s="4">
        <v>1219</v>
      </c>
      <c r="BF338" s="1">
        <v>763</v>
      </c>
      <c r="BG338" s="1">
        <v>345</v>
      </c>
      <c r="BH338" s="1">
        <v>198</v>
      </c>
    </row>
    <row r="339" spans="1:64" x14ac:dyDescent="0.25">
      <c r="A339" t="s">
        <v>3839</v>
      </c>
      <c r="B339" t="s">
        <v>3840</v>
      </c>
      <c r="C339" s="4">
        <f>(AA339*(H339*0.9))*12</f>
        <v>2997518.4000000004</v>
      </c>
      <c r="D339" s="4">
        <f>IF(C339=0,"",(H339*150*12)+C339)</f>
        <v>3361118.4000000004</v>
      </c>
      <c r="E339" s="4">
        <f>IFERROR(D339*0.5,"")</f>
        <v>1680559.2000000002</v>
      </c>
      <c r="F339" s="4">
        <f>IFERROR(E339/0.06,"")</f>
        <v>28009320.000000004</v>
      </c>
      <c r="G339" s="4">
        <f>IFERROR(F339/H339,"")</f>
        <v>138660.00000000003</v>
      </c>
      <c r="H339" s="1">
        <v>202</v>
      </c>
      <c r="I339" s="1">
        <v>1997</v>
      </c>
      <c r="J339" t="s">
        <v>64</v>
      </c>
      <c r="K339" t="s">
        <v>228</v>
      </c>
      <c r="L339" t="s">
        <v>971</v>
      </c>
      <c r="M339" t="s">
        <v>3841</v>
      </c>
      <c r="N339" t="s">
        <v>779</v>
      </c>
      <c r="O339" t="s">
        <v>971</v>
      </c>
      <c r="P339" s="1">
        <v>4</v>
      </c>
      <c r="Q339" t="s">
        <v>91</v>
      </c>
      <c r="R339" t="s">
        <v>70</v>
      </c>
      <c r="S339" t="s">
        <v>71</v>
      </c>
      <c r="T339" t="s">
        <v>118</v>
      </c>
      <c r="U339" t="s">
        <v>72</v>
      </c>
      <c r="V339" t="s">
        <v>152</v>
      </c>
      <c r="W339" t="s">
        <v>74</v>
      </c>
      <c r="X339" t="s">
        <v>233</v>
      </c>
      <c r="Y339" s="2">
        <v>921</v>
      </c>
      <c r="Z339" s="3">
        <v>1.49</v>
      </c>
      <c r="AA339" s="4">
        <v>1374</v>
      </c>
      <c r="AK339" s="5">
        <v>15.8416</v>
      </c>
      <c r="AM339" s="1">
        <v>2016</v>
      </c>
      <c r="AN339" s="1">
        <v>3</v>
      </c>
      <c r="AO339" t="s">
        <v>81</v>
      </c>
      <c r="AP339" t="s">
        <v>82</v>
      </c>
      <c r="AQ339" t="s">
        <v>83</v>
      </c>
      <c r="AR339" s="3">
        <v>1.43</v>
      </c>
      <c r="AS339" s="4">
        <v>1512</v>
      </c>
      <c r="AT339" s="1">
        <v>1061</v>
      </c>
      <c r="AU339" s="3">
        <v>1.29</v>
      </c>
      <c r="AV339" s="4">
        <v>1731</v>
      </c>
      <c r="AW339" s="1">
        <v>1344</v>
      </c>
      <c r="AX339" s="3">
        <v>0</v>
      </c>
      <c r="BB339" t="s">
        <v>84</v>
      </c>
      <c r="BD339" s="3">
        <v>1.56</v>
      </c>
      <c r="BE339" s="4">
        <v>1273</v>
      </c>
      <c r="BF339" s="1">
        <v>815</v>
      </c>
      <c r="BG339" s="1">
        <v>127</v>
      </c>
      <c r="BH339" s="1">
        <v>64</v>
      </c>
      <c r="BI339" s="1">
        <v>11</v>
      </c>
      <c r="BK339" t="s">
        <v>3842</v>
      </c>
      <c r="BL339" t="s">
        <v>131</v>
      </c>
    </row>
    <row r="340" spans="1:64" x14ac:dyDescent="0.25">
      <c r="A340" t="s">
        <v>3011</v>
      </c>
      <c r="B340" t="s">
        <v>3012</v>
      </c>
      <c r="C340" s="4">
        <f>(AA340*(H340*0.9))*12</f>
        <v>5167800</v>
      </c>
      <c r="D340" s="4">
        <f>IF(C340=0,"",(H340*150*12)+C340)</f>
        <v>5794200</v>
      </c>
      <c r="E340" s="4">
        <f>IFERROR(D340*0.5,"")</f>
        <v>2897100</v>
      </c>
      <c r="F340" s="4">
        <f>IFERROR(E340/0.06,"")</f>
        <v>48285000</v>
      </c>
      <c r="G340" s="4">
        <f>IFERROR(F340/H340,"")</f>
        <v>138750</v>
      </c>
      <c r="H340" s="1">
        <v>348</v>
      </c>
      <c r="I340" s="1">
        <v>1996</v>
      </c>
      <c r="J340" t="s">
        <v>64</v>
      </c>
      <c r="K340" t="s">
        <v>734</v>
      </c>
      <c r="L340" t="s">
        <v>199</v>
      </c>
      <c r="M340" t="s">
        <v>3013</v>
      </c>
      <c r="N340" t="s">
        <v>3014</v>
      </c>
      <c r="O340" t="s">
        <v>199</v>
      </c>
      <c r="P340" s="1">
        <v>4</v>
      </c>
      <c r="Q340" t="s">
        <v>91</v>
      </c>
      <c r="R340" t="s">
        <v>70</v>
      </c>
      <c r="S340" t="s">
        <v>71</v>
      </c>
      <c r="U340" t="s">
        <v>72</v>
      </c>
      <c r="V340" t="s">
        <v>73</v>
      </c>
      <c r="W340" t="s">
        <v>74</v>
      </c>
      <c r="X340" t="s">
        <v>730</v>
      </c>
      <c r="Y340" s="2">
        <v>874</v>
      </c>
      <c r="Z340" s="3">
        <v>1.57</v>
      </c>
      <c r="AA340" s="4">
        <v>1375</v>
      </c>
      <c r="AK340" s="5">
        <v>11.206899999999999</v>
      </c>
      <c r="AM340" s="1">
        <v>2014</v>
      </c>
      <c r="AN340" s="1">
        <v>3</v>
      </c>
      <c r="AO340" t="s">
        <v>81</v>
      </c>
      <c r="AP340" t="s">
        <v>82</v>
      </c>
      <c r="AQ340" t="s">
        <v>83</v>
      </c>
      <c r="AR340" s="3">
        <v>1.5</v>
      </c>
      <c r="AS340" s="4">
        <v>1567</v>
      </c>
      <c r="AT340" s="1">
        <v>1045</v>
      </c>
      <c r="AX340" s="3">
        <v>1128922.67</v>
      </c>
      <c r="BB340" t="s">
        <v>84</v>
      </c>
      <c r="BD340" s="3">
        <v>1.64</v>
      </c>
      <c r="BE340" s="4">
        <v>1269</v>
      </c>
      <c r="BF340" s="1">
        <v>775</v>
      </c>
      <c r="BG340" s="1">
        <v>220</v>
      </c>
      <c r="BH340" s="1">
        <v>128</v>
      </c>
      <c r="BK340" t="s">
        <v>174</v>
      </c>
      <c r="BL340" t="s">
        <v>131</v>
      </c>
    </row>
    <row r="341" spans="1:64" x14ac:dyDescent="0.25">
      <c r="A341" t="s">
        <v>2140</v>
      </c>
      <c r="B341" t="s">
        <v>2141</v>
      </c>
      <c r="C341" s="4">
        <f>(AA341*(H341*0.9))*12</f>
        <v>3804364.8000000003</v>
      </c>
      <c r="D341" s="4">
        <f>IF(C341=0,"",(H341*150*12)+C341)</f>
        <v>4265164.8000000007</v>
      </c>
      <c r="E341" s="4">
        <f>IFERROR(D341*0.5,"")</f>
        <v>2132582.4000000004</v>
      </c>
      <c r="F341" s="4">
        <f>IFERROR(E341/0.06,"")</f>
        <v>35543040.000000007</v>
      </c>
      <c r="G341" s="4">
        <f>IFERROR(F341/H341,"")</f>
        <v>138840.00000000003</v>
      </c>
      <c r="H341" s="1">
        <v>256</v>
      </c>
      <c r="I341" s="1">
        <v>1997</v>
      </c>
      <c r="J341" t="s">
        <v>64</v>
      </c>
      <c r="K341" t="s">
        <v>177</v>
      </c>
      <c r="L341" t="s">
        <v>784</v>
      </c>
      <c r="M341" t="s">
        <v>2142</v>
      </c>
      <c r="N341" t="s">
        <v>2143</v>
      </c>
      <c r="O341" t="s">
        <v>784</v>
      </c>
      <c r="P341" s="1">
        <v>3</v>
      </c>
      <c r="Q341" t="s">
        <v>91</v>
      </c>
      <c r="R341" t="s">
        <v>70</v>
      </c>
      <c r="S341" t="s">
        <v>71</v>
      </c>
      <c r="U341" t="s">
        <v>72</v>
      </c>
      <c r="V341" t="s">
        <v>172</v>
      </c>
      <c r="W341" t="s">
        <v>74</v>
      </c>
      <c r="X341" t="s">
        <v>189</v>
      </c>
      <c r="Y341" s="2">
        <v>856</v>
      </c>
      <c r="Z341" s="3">
        <v>1.52</v>
      </c>
      <c r="AA341" s="4">
        <v>1376</v>
      </c>
      <c r="AK341" s="5">
        <v>5.0781000000000001</v>
      </c>
      <c r="AN341" s="1">
        <v>3</v>
      </c>
      <c r="AO341" t="s">
        <v>81</v>
      </c>
      <c r="AP341" t="s">
        <v>82</v>
      </c>
      <c r="AQ341" t="s">
        <v>83</v>
      </c>
      <c r="AR341" s="3">
        <v>1.65</v>
      </c>
      <c r="AS341" s="4">
        <v>1549</v>
      </c>
      <c r="AT341" s="1">
        <v>900</v>
      </c>
      <c r="AU341" s="3">
        <v>1.48</v>
      </c>
      <c r="AV341" s="4">
        <v>1929</v>
      </c>
      <c r="AW341" s="1">
        <v>1300</v>
      </c>
      <c r="AX341" s="3">
        <v>873024.8</v>
      </c>
      <c r="BB341" t="s">
        <v>84</v>
      </c>
      <c r="BD341" s="3">
        <v>1.49</v>
      </c>
      <c r="BE341" s="4">
        <v>1103</v>
      </c>
      <c r="BF341" s="1">
        <v>740</v>
      </c>
      <c r="BG341" s="1">
        <v>112</v>
      </c>
      <c r="BH341" s="1">
        <v>120</v>
      </c>
      <c r="BI341" s="1">
        <v>24</v>
      </c>
      <c r="BL341" t="s">
        <v>131</v>
      </c>
    </row>
    <row r="342" spans="1:64" x14ac:dyDescent="0.25">
      <c r="A342" t="s">
        <v>1125</v>
      </c>
      <c r="B342" t="s">
        <v>1126</v>
      </c>
      <c r="C342" s="4">
        <f>(AA342*(H342*0.9))*12</f>
        <v>6310137.6000000006</v>
      </c>
      <c r="D342" s="4">
        <f>IF(C342=0,"",(H342*150*12)+C342)</f>
        <v>7073337.6000000006</v>
      </c>
      <c r="E342" s="4">
        <f>IFERROR(D342*0.5,"")</f>
        <v>3536668.8000000003</v>
      </c>
      <c r="F342" s="4">
        <f>IFERROR(E342/0.06,"")</f>
        <v>58944480.000000007</v>
      </c>
      <c r="G342" s="4">
        <f>IFERROR(F342/H342,"")</f>
        <v>139020.00000000003</v>
      </c>
      <c r="H342" s="1">
        <v>424</v>
      </c>
      <c r="I342" s="1">
        <v>1990</v>
      </c>
      <c r="J342" t="s">
        <v>64</v>
      </c>
      <c r="K342" t="s">
        <v>514</v>
      </c>
      <c r="L342" t="s">
        <v>575</v>
      </c>
      <c r="M342" t="s">
        <v>1127</v>
      </c>
      <c r="N342" t="s">
        <v>1128</v>
      </c>
      <c r="O342" t="s">
        <v>575</v>
      </c>
      <c r="P342" s="1">
        <v>4</v>
      </c>
      <c r="Q342" t="s">
        <v>91</v>
      </c>
      <c r="R342" t="s">
        <v>70</v>
      </c>
      <c r="S342" t="s">
        <v>71</v>
      </c>
      <c r="U342" t="s">
        <v>72</v>
      </c>
      <c r="V342" t="s">
        <v>264</v>
      </c>
      <c r="W342" t="s">
        <v>74</v>
      </c>
      <c r="X342" t="s">
        <v>1129</v>
      </c>
      <c r="Y342" s="2">
        <v>815</v>
      </c>
      <c r="Z342" s="3">
        <v>1.69</v>
      </c>
      <c r="AA342" s="4">
        <v>1378</v>
      </c>
      <c r="AK342" s="5">
        <v>7.7830000000000004</v>
      </c>
      <c r="AM342" s="1">
        <v>2016</v>
      </c>
      <c r="AN342" s="1">
        <v>3</v>
      </c>
      <c r="AO342" t="s">
        <v>81</v>
      </c>
      <c r="AP342" t="s">
        <v>82</v>
      </c>
      <c r="AQ342" t="s">
        <v>83</v>
      </c>
      <c r="AR342" s="3">
        <v>1.62</v>
      </c>
      <c r="AS342" s="4">
        <v>1543</v>
      </c>
      <c r="AT342" s="1">
        <v>953</v>
      </c>
      <c r="AX342" s="3">
        <v>1994395.81</v>
      </c>
      <c r="BB342" t="s">
        <v>84</v>
      </c>
      <c r="BD342" s="3">
        <v>1.8</v>
      </c>
      <c r="BE342" s="4">
        <v>1193</v>
      </c>
      <c r="BF342" s="1">
        <v>662</v>
      </c>
      <c r="BG342" s="1">
        <v>200</v>
      </c>
      <c r="BH342" s="1">
        <v>224</v>
      </c>
      <c r="BK342" t="s">
        <v>1130</v>
      </c>
      <c r="BL342" t="s">
        <v>104</v>
      </c>
    </row>
    <row r="343" spans="1:64" x14ac:dyDescent="0.25">
      <c r="A343" t="s">
        <v>1374</v>
      </c>
      <c r="B343" t="s">
        <v>1375</v>
      </c>
      <c r="C343" s="4">
        <f>(AA343*(H343*0.9))*12</f>
        <v>4048012.8000000003</v>
      </c>
      <c r="D343" s="4">
        <f>IF(C343=0,"",(H343*150*12)+C343)</f>
        <v>4537612.8000000007</v>
      </c>
      <c r="E343" s="4">
        <f>IFERROR(D343*0.5,"")</f>
        <v>2268806.4000000004</v>
      </c>
      <c r="F343" s="4">
        <f>IFERROR(E343/0.06,"")</f>
        <v>37813440.000000007</v>
      </c>
      <c r="G343" s="4">
        <f>IFERROR(F343/H343,"")</f>
        <v>139020.00000000003</v>
      </c>
      <c r="H343" s="1">
        <v>272</v>
      </c>
      <c r="I343" s="1">
        <v>1985</v>
      </c>
      <c r="J343" t="s">
        <v>64</v>
      </c>
      <c r="K343" t="s">
        <v>123</v>
      </c>
      <c r="L343" t="s">
        <v>1376</v>
      </c>
      <c r="M343" t="s">
        <v>1377</v>
      </c>
      <c r="N343" t="s">
        <v>1378</v>
      </c>
      <c r="O343" t="s">
        <v>1376</v>
      </c>
      <c r="P343" s="1">
        <v>3</v>
      </c>
      <c r="Q343" t="s">
        <v>69</v>
      </c>
      <c r="R343" t="s">
        <v>70</v>
      </c>
      <c r="S343" t="s">
        <v>71</v>
      </c>
      <c r="T343" t="s">
        <v>118</v>
      </c>
      <c r="U343" t="s">
        <v>72</v>
      </c>
      <c r="V343" t="s">
        <v>129</v>
      </c>
      <c r="W343" t="s">
        <v>74</v>
      </c>
      <c r="X343" t="s">
        <v>130</v>
      </c>
      <c r="Y343" s="2">
        <v>896</v>
      </c>
      <c r="Z343" s="3">
        <v>1.54</v>
      </c>
      <c r="AA343" s="4">
        <v>1378</v>
      </c>
      <c r="AK343" s="5">
        <v>2.2059000000000002</v>
      </c>
      <c r="AN343" s="1">
        <v>2</v>
      </c>
      <c r="AO343" t="s">
        <v>81</v>
      </c>
      <c r="AP343" t="s">
        <v>82</v>
      </c>
      <c r="AQ343" t="s">
        <v>83</v>
      </c>
      <c r="AR343" s="3">
        <v>1.53</v>
      </c>
      <c r="AS343" s="4">
        <v>1507</v>
      </c>
      <c r="AT343" s="1">
        <v>984</v>
      </c>
      <c r="AU343" s="3">
        <v>1.45</v>
      </c>
      <c r="AV343" s="4">
        <v>1899</v>
      </c>
      <c r="AW343" s="1">
        <v>1310</v>
      </c>
      <c r="AX343" s="3">
        <v>419227.16</v>
      </c>
      <c r="BB343" t="s">
        <v>84</v>
      </c>
      <c r="BD343" s="3">
        <v>1.57</v>
      </c>
      <c r="BE343" s="4">
        <v>1138</v>
      </c>
      <c r="BF343" s="1">
        <v>725</v>
      </c>
      <c r="BG343" s="1">
        <v>113</v>
      </c>
      <c r="BH343" s="1">
        <v>142</v>
      </c>
      <c r="BI343" s="1">
        <v>17</v>
      </c>
      <c r="BK343" t="s">
        <v>1379</v>
      </c>
      <c r="BL343" t="s">
        <v>104</v>
      </c>
    </row>
    <row r="344" spans="1:64" x14ac:dyDescent="0.25">
      <c r="A344" t="s">
        <v>1125</v>
      </c>
      <c r="B344" t="s">
        <v>1126</v>
      </c>
      <c r="C344" s="4">
        <f>(AA344*(H344*0.9))*12</f>
        <v>6310137.6000000006</v>
      </c>
      <c r="D344" s="4">
        <f>IF(C344=0,"",(H344*150*12)+C344)</f>
        <v>7073337.6000000006</v>
      </c>
      <c r="E344" s="4">
        <f>IFERROR(D344*0.5,"")</f>
        <v>3536668.8000000003</v>
      </c>
      <c r="F344" s="4">
        <f>IFERROR(E344/0.06,"")</f>
        <v>58944480.000000007</v>
      </c>
      <c r="G344" s="4">
        <f>IFERROR(F344/H344,"")</f>
        <v>139020.00000000003</v>
      </c>
      <c r="H344" s="1">
        <v>424</v>
      </c>
      <c r="I344" s="1">
        <v>1990</v>
      </c>
      <c r="J344" t="s">
        <v>64</v>
      </c>
      <c r="K344" t="s">
        <v>514</v>
      </c>
      <c r="L344" t="s">
        <v>575</v>
      </c>
      <c r="M344" t="s">
        <v>1127</v>
      </c>
      <c r="N344" t="s">
        <v>1128</v>
      </c>
      <c r="O344" t="s">
        <v>575</v>
      </c>
      <c r="P344" s="1">
        <v>4</v>
      </c>
      <c r="Q344" t="s">
        <v>91</v>
      </c>
      <c r="R344" t="s">
        <v>70</v>
      </c>
      <c r="S344" t="s">
        <v>71</v>
      </c>
      <c r="U344" t="s">
        <v>72</v>
      </c>
      <c r="V344" t="s">
        <v>264</v>
      </c>
      <c r="W344" t="s">
        <v>74</v>
      </c>
      <c r="X344" t="s">
        <v>1129</v>
      </c>
      <c r="Y344" s="2">
        <v>815</v>
      </c>
      <c r="Z344" s="3">
        <v>1.69</v>
      </c>
      <c r="AA344" s="4">
        <v>1378</v>
      </c>
      <c r="AK344" s="5">
        <v>7.7830000000000004</v>
      </c>
      <c r="AM344" s="1">
        <v>2016</v>
      </c>
      <c r="AN344" s="1">
        <v>3</v>
      </c>
      <c r="AO344" t="s">
        <v>81</v>
      </c>
      <c r="AP344" t="s">
        <v>82</v>
      </c>
      <c r="AQ344" t="s">
        <v>83</v>
      </c>
      <c r="AR344" s="3">
        <v>1.64</v>
      </c>
      <c r="AS344" s="4">
        <v>1561</v>
      </c>
      <c r="AT344" s="1">
        <v>953</v>
      </c>
      <c r="AX344" s="3">
        <v>1994395.81</v>
      </c>
      <c r="BB344" t="s">
        <v>84</v>
      </c>
      <c r="BD344" s="3">
        <v>1.8</v>
      </c>
      <c r="BE344" s="4">
        <v>1193</v>
      </c>
      <c r="BF344" s="1">
        <v>662</v>
      </c>
      <c r="BG344" s="1">
        <v>200</v>
      </c>
      <c r="BH344" s="1">
        <v>224</v>
      </c>
      <c r="BK344" t="s">
        <v>1130</v>
      </c>
      <c r="BL344" t="s">
        <v>104</v>
      </c>
    </row>
    <row r="345" spans="1:64" x14ac:dyDescent="0.25">
      <c r="A345" t="s">
        <v>2411</v>
      </c>
      <c r="B345" t="s">
        <v>2412</v>
      </c>
      <c r="C345" s="4">
        <f>(AA345*(H345*0.9))*12</f>
        <v>4590432</v>
      </c>
      <c r="D345" s="4">
        <f>IF(C345=0,"",(H345*150*12)+C345)</f>
        <v>5144832</v>
      </c>
      <c r="E345" s="4">
        <f>IFERROR(D345*0.5,"")</f>
        <v>2572416</v>
      </c>
      <c r="F345" s="4">
        <f>IFERROR(E345/0.06,"")</f>
        <v>42873600</v>
      </c>
      <c r="G345" s="4">
        <f>IFERROR(F345/H345,"")</f>
        <v>139200</v>
      </c>
      <c r="H345" s="1">
        <v>308</v>
      </c>
      <c r="I345" s="1">
        <v>1997</v>
      </c>
      <c r="J345" t="s">
        <v>64</v>
      </c>
      <c r="K345" t="s">
        <v>611</v>
      </c>
      <c r="L345" t="s">
        <v>854</v>
      </c>
      <c r="M345" t="s">
        <v>2413</v>
      </c>
      <c r="O345" t="s">
        <v>854</v>
      </c>
      <c r="P345" s="1">
        <v>3</v>
      </c>
      <c r="Q345" t="s">
        <v>91</v>
      </c>
      <c r="R345" t="s">
        <v>70</v>
      </c>
      <c r="S345" t="s">
        <v>71</v>
      </c>
      <c r="U345" t="s">
        <v>72</v>
      </c>
      <c r="V345" t="s">
        <v>611</v>
      </c>
      <c r="W345" t="s">
        <v>74</v>
      </c>
      <c r="X345" t="s">
        <v>2414</v>
      </c>
      <c r="Y345" s="2">
        <v>899</v>
      </c>
      <c r="Z345" s="3">
        <v>1.53</v>
      </c>
      <c r="AA345" s="4">
        <v>1380</v>
      </c>
      <c r="AK345" s="5">
        <v>6.1688000000000001</v>
      </c>
      <c r="AN345" s="1">
        <v>3</v>
      </c>
      <c r="AO345" t="s">
        <v>81</v>
      </c>
      <c r="AP345" t="s">
        <v>82</v>
      </c>
      <c r="AQ345" t="s">
        <v>83</v>
      </c>
      <c r="AR345" s="3">
        <v>1.5</v>
      </c>
      <c r="AS345" s="4">
        <v>1540</v>
      </c>
      <c r="AT345" s="1">
        <v>1026</v>
      </c>
      <c r="AU345" s="3">
        <v>1.33</v>
      </c>
      <c r="AV345" s="4">
        <v>1904</v>
      </c>
      <c r="AW345" s="1">
        <v>1427</v>
      </c>
      <c r="AX345" s="3">
        <v>1112996.22</v>
      </c>
      <c r="BB345" t="s">
        <v>84</v>
      </c>
      <c r="BD345" s="3">
        <v>1.59</v>
      </c>
      <c r="BE345" s="4">
        <v>1245</v>
      </c>
      <c r="BF345" s="1">
        <v>785</v>
      </c>
      <c r="BG345" s="1">
        <v>182</v>
      </c>
      <c r="BH345" s="1">
        <v>114</v>
      </c>
      <c r="BI345" s="1">
        <v>12</v>
      </c>
    </row>
    <row r="346" spans="1:64" x14ac:dyDescent="0.25">
      <c r="A346" t="s">
        <v>4223</v>
      </c>
      <c r="B346" t="s">
        <v>4224</v>
      </c>
      <c r="C346" s="4">
        <f>(AA346*(H346*0.9))*12</f>
        <v>2863641.6</v>
      </c>
      <c r="D346" s="4">
        <f>IF(C346=0,"",(H346*150*12)+C346)</f>
        <v>3209241.6</v>
      </c>
      <c r="E346" s="4">
        <f>IFERROR(D346*0.5,"")</f>
        <v>1604620.8</v>
      </c>
      <c r="F346" s="4">
        <f>IFERROR(E346/0.06,"")</f>
        <v>26743680</v>
      </c>
      <c r="G346" s="4">
        <f>IFERROR(F346/H346,"")</f>
        <v>139290</v>
      </c>
      <c r="H346" s="1">
        <v>192</v>
      </c>
      <c r="I346" s="1">
        <v>1999</v>
      </c>
      <c r="J346" t="s">
        <v>64</v>
      </c>
      <c r="K346" t="s">
        <v>660</v>
      </c>
      <c r="L346" t="s">
        <v>2923</v>
      </c>
      <c r="M346" t="s">
        <v>4225</v>
      </c>
      <c r="N346" t="s">
        <v>4226</v>
      </c>
      <c r="O346" t="s">
        <v>2923</v>
      </c>
      <c r="P346" s="1">
        <v>3</v>
      </c>
      <c r="Q346" t="s">
        <v>91</v>
      </c>
      <c r="R346" t="s">
        <v>70</v>
      </c>
      <c r="S346" t="s">
        <v>71</v>
      </c>
      <c r="T346" t="s">
        <v>118</v>
      </c>
      <c r="U346" t="s">
        <v>72</v>
      </c>
      <c r="V346" t="s">
        <v>664</v>
      </c>
      <c r="W346" t="s">
        <v>74</v>
      </c>
      <c r="X346" t="s">
        <v>4227</v>
      </c>
      <c r="Y346" s="2">
        <v>996</v>
      </c>
      <c r="Z346" s="3">
        <v>1.39</v>
      </c>
      <c r="AA346" s="4">
        <v>1381</v>
      </c>
      <c r="AK346" s="5">
        <v>9.375</v>
      </c>
      <c r="AN346" s="1">
        <v>2</v>
      </c>
      <c r="AO346" t="s">
        <v>81</v>
      </c>
      <c r="AP346" t="s">
        <v>82</v>
      </c>
      <c r="AQ346" t="s">
        <v>83</v>
      </c>
      <c r="AR346" s="3">
        <v>1.53</v>
      </c>
      <c r="AS346" s="4">
        <v>1583</v>
      </c>
      <c r="AT346" s="1">
        <v>1032</v>
      </c>
      <c r="AU346" s="3">
        <v>1</v>
      </c>
      <c r="AV346" s="4">
        <v>1174</v>
      </c>
      <c r="AW346" s="1">
        <v>1175</v>
      </c>
      <c r="AX346" s="3">
        <v>212675.08</v>
      </c>
      <c r="BB346" t="s">
        <v>84</v>
      </c>
      <c r="BD346" s="3">
        <v>1.58</v>
      </c>
      <c r="BE346" s="4">
        <v>1183</v>
      </c>
      <c r="BF346" s="1">
        <v>747</v>
      </c>
      <c r="BG346" s="1">
        <v>48</v>
      </c>
      <c r="BH346" s="1">
        <v>96</v>
      </c>
      <c r="BI346" s="1">
        <v>48</v>
      </c>
      <c r="BK346" t="s">
        <v>2293</v>
      </c>
      <c r="BL346" t="s">
        <v>104</v>
      </c>
    </row>
    <row r="347" spans="1:64" x14ac:dyDescent="0.25">
      <c r="A347" t="s">
        <v>4130</v>
      </c>
      <c r="B347" t="s">
        <v>4131</v>
      </c>
      <c r="C347" s="4">
        <f>(AA347*(H347*0.9))*12</f>
        <v>9485812.8000000007</v>
      </c>
      <c r="D347" s="4">
        <f>IF(C347=0,"",(H347*150*12)+C347)</f>
        <v>10630612.800000001</v>
      </c>
      <c r="E347" s="4">
        <f>IFERROR(D347*0.5,"")</f>
        <v>5315306.4000000004</v>
      </c>
      <c r="F347" s="4">
        <f>IFERROR(E347/0.06,"")</f>
        <v>88588440.000000015</v>
      </c>
      <c r="G347" s="4">
        <f>IFERROR(F347/H347,"")</f>
        <v>139290.00000000003</v>
      </c>
      <c r="H347" s="1">
        <v>636</v>
      </c>
      <c r="I347" s="1">
        <v>1998</v>
      </c>
      <c r="J347" t="s">
        <v>64</v>
      </c>
      <c r="K347" t="s">
        <v>995</v>
      </c>
      <c r="L347" t="s">
        <v>4103</v>
      </c>
      <c r="M347" t="s">
        <v>4132</v>
      </c>
      <c r="N347" t="s">
        <v>4133</v>
      </c>
      <c r="O347" t="s">
        <v>4103</v>
      </c>
      <c r="P347" s="1">
        <v>4</v>
      </c>
      <c r="Q347" t="s">
        <v>91</v>
      </c>
      <c r="R347" t="s">
        <v>70</v>
      </c>
      <c r="S347" t="s">
        <v>71</v>
      </c>
      <c r="U347" t="s">
        <v>72</v>
      </c>
      <c r="V347" t="s">
        <v>73</v>
      </c>
      <c r="W347" t="s">
        <v>74</v>
      </c>
      <c r="X347" t="s">
        <v>137</v>
      </c>
      <c r="Y347" s="2">
        <v>907</v>
      </c>
      <c r="Z347" s="3">
        <v>1.52</v>
      </c>
      <c r="AA347" s="4">
        <v>1381</v>
      </c>
      <c r="AK347" s="5">
        <v>7.8616000000000001</v>
      </c>
      <c r="AM347" s="1">
        <v>2010</v>
      </c>
      <c r="AN347" s="1">
        <v>3</v>
      </c>
      <c r="AO347" t="s">
        <v>81</v>
      </c>
      <c r="AP347" t="s">
        <v>82</v>
      </c>
      <c r="AQ347" t="s">
        <v>83</v>
      </c>
      <c r="AR347" s="3">
        <v>1.44</v>
      </c>
      <c r="AS347" s="4">
        <v>1522</v>
      </c>
      <c r="AT347" s="1">
        <v>1054</v>
      </c>
      <c r="AU347" s="3">
        <v>1.59</v>
      </c>
      <c r="AV347" s="4">
        <v>2012</v>
      </c>
      <c r="AW347" s="1">
        <v>1266</v>
      </c>
      <c r="AX347" s="3">
        <v>1171497.5</v>
      </c>
      <c r="BB347" t="s">
        <v>84</v>
      </c>
      <c r="BD347" s="3">
        <v>1.57</v>
      </c>
      <c r="BE347" s="4">
        <v>1178</v>
      </c>
      <c r="BF347" s="1">
        <v>748</v>
      </c>
      <c r="BG347" s="1">
        <v>346</v>
      </c>
      <c r="BH347" s="1">
        <v>230</v>
      </c>
      <c r="BI347" s="1">
        <v>60</v>
      </c>
      <c r="BK347" t="s">
        <v>4134</v>
      </c>
    </row>
    <row r="348" spans="1:64" x14ac:dyDescent="0.25">
      <c r="A348" t="s">
        <v>395</v>
      </c>
      <c r="B348" t="s">
        <v>396</v>
      </c>
      <c r="C348" s="4">
        <f>(AA348*(H348*0.9))*12</f>
        <v>3403036.8000000003</v>
      </c>
      <c r="D348" s="4">
        <f>IF(C348=0,"",(H348*150*12)+C348)</f>
        <v>3813436.8000000003</v>
      </c>
      <c r="E348" s="4">
        <f>IFERROR(D348*0.5,"")</f>
        <v>1906718.4000000001</v>
      </c>
      <c r="F348" s="4">
        <f>IFERROR(E348/0.06,"")</f>
        <v>31778640.000000004</v>
      </c>
      <c r="G348" s="4">
        <f>IFERROR(F348/H348,"")</f>
        <v>139380.00000000003</v>
      </c>
      <c r="H348" s="1">
        <v>228</v>
      </c>
      <c r="I348" s="1">
        <v>1988</v>
      </c>
      <c r="J348" t="s">
        <v>64</v>
      </c>
      <c r="K348" t="s">
        <v>65</v>
      </c>
      <c r="L348" t="s">
        <v>397</v>
      </c>
      <c r="M348" t="s">
        <v>398</v>
      </c>
      <c r="N348" t="s">
        <v>399</v>
      </c>
      <c r="O348" t="s">
        <v>397</v>
      </c>
      <c r="P348" s="1">
        <v>3</v>
      </c>
      <c r="Q348" t="s">
        <v>91</v>
      </c>
      <c r="R348" t="s">
        <v>70</v>
      </c>
      <c r="S348" t="s">
        <v>71</v>
      </c>
      <c r="U348" t="s">
        <v>72</v>
      </c>
      <c r="V348" t="s">
        <v>73</v>
      </c>
      <c r="W348" t="s">
        <v>74</v>
      </c>
      <c r="X348" t="s">
        <v>400</v>
      </c>
      <c r="Y348" s="2">
        <v>721</v>
      </c>
      <c r="Z348" s="3">
        <v>1.91</v>
      </c>
      <c r="AA348" s="4">
        <v>1382</v>
      </c>
      <c r="AK348" s="5">
        <v>6.1403999999999996</v>
      </c>
      <c r="AN348" s="1">
        <v>3</v>
      </c>
      <c r="AO348" t="s">
        <v>81</v>
      </c>
      <c r="AP348" t="s">
        <v>82</v>
      </c>
      <c r="AQ348" t="s">
        <v>83</v>
      </c>
      <c r="AR348" s="3">
        <v>1.9</v>
      </c>
      <c r="AS348" s="4">
        <v>1493</v>
      </c>
      <c r="AT348" s="1">
        <v>788</v>
      </c>
      <c r="AU348" s="3">
        <v>1.84</v>
      </c>
      <c r="AV348" s="4">
        <v>1769</v>
      </c>
      <c r="AW348" s="1">
        <v>960</v>
      </c>
      <c r="AX348" s="3">
        <v>949887.71</v>
      </c>
      <c r="AY348" s="3">
        <v>1.78</v>
      </c>
      <c r="AZ348" s="4">
        <v>1333</v>
      </c>
      <c r="BA348" s="6">
        <v>750</v>
      </c>
      <c r="BB348" t="s">
        <v>84</v>
      </c>
      <c r="BD348" s="3">
        <v>1.97</v>
      </c>
      <c r="BE348" s="4">
        <v>1177</v>
      </c>
      <c r="BF348" s="1">
        <v>597</v>
      </c>
      <c r="BG348" s="1">
        <v>95</v>
      </c>
      <c r="BH348" s="1">
        <v>114</v>
      </c>
      <c r="BI348" s="1">
        <v>18</v>
      </c>
      <c r="BL348" t="s">
        <v>131</v>
      </c>
    </row>
    <row r="349" spans="1:64" x14ac:dyDescent="0.25">
      <c r="A349" t="s">
        <v>3907</v>
      </c>
      <c r="B349" t="s">
        <v>3908</v>
      </c>
      <c r="C349" s="4">
        <f>(AA349*(H349*0.9))*12</f>
        <v>10903572</v>
      </c>
      <c r="D349" s="4">
        <f>IF(C349=0,"",(H349*150*12)+C349)</f>
        <v>12217572</v>
      </c>
      <c r="E349" s="4">
        <f>IFERROR(D349*0.5,"")</f>
        <v>6108786</v>
      </c>
      <c r="F349" s="4">
        <f>IFERROR(E349/0.06,"")</f>
        <v>101813100</v>
      </c>
      <c r="G349" s="4">
        <f>IFERROR(F349/H349,"")</f>
        <v>139470</v>
      </c>
      <c r="H349" s="1">
        <v>730</v>
      </c>
      <c r="I349" s="1">
        <v>1996</v>
      </c>
      <c r="J349" t="s">
        <v>64</v>
      </c>
      <c r="K349" t="s">
        <v>140</v>
      </c>
      <c r="L349" t="s">
        <v>983</v>
      </c>
      <c r="M349" t="s">
        <v>3909</v>
      </c>
      <c r="N349" t="s">
        <v>3910</v>
      </c>
      <c r="O349" t="s">
        <v>983</v>
      </c>
      <c r="P349" s="1">
        <v>3</v>
      </c>
      <c r="Q349" t="s">
        <v>91</v>
      </c>
      <c r="R349" t="s">
        <v>70</v>
      </c>
      <c r="S349" t="s">
        <v>71</v>
      </c>
      <c r="U349" t="s">
        <v>72</v>
      </c>
      <c r="V349" t="s">
        <v>140</v>
      </c>
      <c r="W349" t="s">
        <v>74</v>
      </c>
      <c r="X349" t="s">
        <v>1050</v>
      </c>
      <c r="Y349" s="2">
        <v>902</v>
      </c>
      <c r="Z349" s="3">
        <v>1.53</v>
      </c>
      <c r="AA349" s="4">
        <v>1383</v>
      </c>
      <c r="AK349" s="5">
        <v>7.2603</v>
      </c>
      <c r="AM349" s="1">
        <v>2009</v>
      </c>
      <c r="AN349" s="1">
        <v>3</v>
      </c>
      <c r="AO349" t="s">
        <v>81</v>
      </c>
      <c r="AP349" t="s">
        <v>82</v>
      </c>
      <c r="AQ349" t="s">
        <v>83</v>
      </c>
      <c r="AR349" s="3">
        <v>1.49</v>
      </c>
      <c r="AS349" s="4">
        <v>1578</v>
      </c>
      <c r="AT349" s="1">
        <v>1062</v>
      </c>
      <c r="AU349" s="3">
        <v>1.38</v>
      </c>
      <c r="AV349" s="4">
        <v>1819</v>
      </c>
      <c r="AW349" s="1">
        <v>1315</v>
      </c>
      <c r="AX349" s="3">
        <v>1831060.66</v>
      </c>
      <c r="BB349" t="s">
        <v>84</v>
      </c>
      <c r="BD349" s="3">
        <v>1.62</v>
      </c>
      <c r="BE349" s="4">
        <v>1167</v>
      </c>
      <c r="BF349" s="1">
        <v>719</v>
      </c>
      <c r="BG349" s="1">
        <v>368</v>
      </c>
      <c r="BH349" s="1">
        <v>323</v>
      </c>
      <c r="BI349" s="1">
        <v>39</v>
      </c>
      <c r="BK349" t="s">
        <v>3911</v>
      </c>
      <c r="BL349" t="s">
        <v>131</v>
      </c>
    </row>
    <row r="350" spans="1:64" x14ac:dyDescent="0.25">
      <c r="A350" t="s">
        <v>1326</v>
      </c>
      <c r="B350" t="s">
        <v>1327</v>
      </c>
      <c r="C350" s="4">
        <f>(AA350*(H350*0.9))*12</f>
        <v>8714217.6000000015</v>
      </c>
      <c r="D350" s="4">
        <f>IF(C350=0,"",(H350*150*12)+C350)</f>
        <v>9763617.6000000015</v>
      </c>
      <c r="E350" s="4">
        <f>IFERROR(D350*0.5,"")</f>
        <v>4881808.8000000007</v>
      </c>
      <c r="F350" s="4">
        <f>IFERROR(E350/0.06,"")</f>
        <v>81363480.000000015</v>
      </c>
      <c r="G350" s="4">
        <f>IFERROR(F350/H350,"")</f>
        <v>139560.00000000003</v>
      </c>
      <c r="H350" s="1">
        <v>583</v>
      </c>
      <c r="I350" s="1">
        <v>1985</v>
      </c>
      <c r="J350" t="s">
        <v>64</v>
      </c>
      <c r="K350" t="s">
        <v>256</v>
      </c>
      <c r="L350" t="s">
        <v>1328</v>
      </c>
      <c r="M350" t="s">
        <v>1329</v>
      </c>
      <c r="N350" t="s">
        <v>1330</v>
      </c>
      <c r="O350" t="s">
        <v>1328</v>
      </c>
      <c r="P350" s="1">
        <v>3</v>
      </c>
      <c r="Q350" t="s">
        <v>91</v>
      </c>
      <c r="R350" t="s">
        <v>70</v>
      </c>
      <c r="S350" t="s">
        <v>71</v>
      </c>
      <c r="T350" t="s">
        <v>118</v>
      </c>
      <c r="U350" t="s">
        <v>72</v>
      </c>
      <c r="V350" t="s">
        <v>152</v>
      </c>
      <c r="W350" t="s">
        <v>74</v>
      </c>
      <c r="X350" t="s">
        <v>1331</v>
      </c>
      <c r="Y350" s="2">
        <v>795</v>
      </c>
      <c r="Z350" s="3">
        <v>1.74</v>
      </c>
      <c r="AA350" s="4">
        <v>1384</v>
      </c>
      <c r="AK350" s="5">
        <v>11.4923</v>
      </c>
      <c r="AN350" s="1">
        <v>3</v>
      </c>
      <c r="AO350" t="s">
        <v>81</v>
      </c>
      <c r="AP350" t="s">
        <v>82</v>
      </c>
      <c r="AQ350" t="s">
        <v>83</v>
      </c>
      <c r="AR350" s="3">
        <v>1.6</v>
      </c>
      <c r="AS350" s="4">
        <v>1536</v>
      </c>
      <c r="AT350" s="1">
        <v>958</v>
      </c>
      <c r="AU350" s="3">
        <v>1.59</v>
      </c>
      <c r="AV350" s="4">
        <v>2041</v>
      </c>
      <c r="AW350" s="1">
        <v>1280</v>
      </c>
      <c r="AX350" s="3">
        <v>1929736.8</v>
      </c>
      <c r="BB350" t="s">
        <v>84</v>
      </c>
      <c r="BD350" s="3">
        <v>1.92</v>
      </c>
      <c r="BE350" s="4">
        <v>1221</v>
      </c>
      <c r="BF350" s="1">
        <v>637</v>
      </c>
      <c r="BG350" s="1">
        <v>316</v>
      </c>
      <c r="BH350" s="1">
        <v>245</v>
      </c>
      <c r="BI350" s="1">
        <v>22</v>
      </c>
      <c r="BK350" t="s">
        <v>174</v>
      </c>
      <c r="BL350" t="s">
        <v>131</v>
      </c>
    </row>
    <row r="351" spans="1:64" x14ac:dyDescent="0.25">
      <c r="A351" t="s">
        <v>1530</v>
      </c>
      <c r="B351" t="s">
        <v>1531</v>
      </c>
      <c r="C351" s="4">
        <f>(AA351*(H351*0.9))*12</f>
        <v>4005849.6000000006</v>
      </c>
      <c r="D351" s="4">
        <f>IF(C351=0,"",(H351*150*12)+C351)</f>
        <v>4488249.6000000006</v>
      </c>
      <c r="E351" s="4">
        <f>IFERROR(D351*0.5,"")</f>
        <v>2244124.8000000003</v>
      </c>
      <c r="F351" s="4">
        <f>IFERROR(E351/0.06,"")</f>
        <v>37402080.000000007</v>
      </c>
      <c r="G351" s="4">
        <f>IFERROR(F351/H351,"")</f>
        <v>139560.00000000003</v>
      </c>
      <c r="H351" s="1">
        <v>268</v>
      </c>
      <c r="I351" s="1">
        <v>1990</v>
      </c>
      <c r="J351" t="s">
        <v>64</v>
      </c>
      <c r="K351" t="s">
        <v>140</v>
      </c>
      <c r="L351" t="s">
        <v>1532</v>
      </c>
      <c r="M351" t="s">
        <v>1533</v>
      </c>
      <c r="N351" t="s">
        <v>1534</v>
      </c>
      <c r="O351" t="s">
        <v>1532</v>
      </c>
      <c r="P351" s="1">
        <v>3</v>
      </c>
      <c r="Q351" t="s">
        <v>91</v>
      </c>
      <c r="R351" t="s">
        <v>70</v>
      </c>
      <c r="S351" t="s">
        <v>71</v>
      </c>
      <c r="U351" t="s">
        <v>72</v>
      </c>
      <c r="V351" t="s">
        <v>140</v>
      </c>
      <c r="W351" t="s">
        <v>74</v>
      </c>
      <c r="X351" t="s">
        <v>1535</v>
      </c>
      <c r="Y351" s="2">
        <v>797</v>
      </c>
      <c r="Z351" s="3">
        <v>1.74</v>
      </c>
      <c r="AA351" s="4">
        <v>1384</v>
      </c>
      <c r="AK351" s="5">
        <v>8.2089999999999996</v>
      </c>
      <c r="AN351" s="1">
        <v>3</v>
      </c>
      <c r="AO351" t="s">
        <v>81</v>
      </c>
      <c r="AP351" t="s">
        <v>82</v>
      </c>
      <c r="AQ351" t="s">
        <v>83</v>
      </c>
      <c r="AR351" s="3">
        <v>1.66</v>
      </c>
      <c r="AS351" s="4">
        <v>1782</v>
      </c>
      <c r="AT351" s="1">
        <v>1072</v>
      </c>
      <c r="AX351" s="3">
        <v>686973.37</v>
      </c>
      <c r="BB351" t="s">
        <v>84</v>
      </c>
      <c r="BD351" s="3">
        <v>1.78</v>
      </c>
      <c r="BE351" s="4">
        <v>1238</v>
      </c>
      <c r="BF351" s="1">
        <v>696</v>
      </c>
      <c r="BG351" s="1">
        <v>196</v>
      </c>
      <c r="BH351" s="1">
        <v>72</v>
      </c>
    </row>
    <row r="352" spans="1:64" x14ac:dyDescent="0.25">
      <c r="A352" t="s">
        <v>2332</v>
      </c>
      <c r="B352" t="s">
        <v>2333</v>
      </c>
      <c r="C352" s="4">
        <f>(AA352*(H352*0.9))*12</f>
        <v>2854915.2</v>
      </c>
      <c r="D352" s="4">
        <f>IF(C352=0,"",(H352*150*12)+C352)</f>
        <v>3198715.2</v>
      </c>
      <c r="E352" s="4">
        <f>IFERROR(D352*0.5,"")</f>
        <v>1599357.6</v>
      </c>
      <c r="F352" s="4">
        <f>IFERROR(E352/0.06,"")</f>
        <v>26655960.000000004</v>
      </c>
      <c r="G352" s="4">
        <f>IFERROR(F352/H352,"")</f>
        <v>139560.00000000003</v>
      </c>
      <c r="H352" s="1">
        <v>191</v>
      </c>
      <c r="I352" s="1">
        <v>1997</v>
      </c>
      <c r="J352" t="s">
        <v>64</v>
      </c>
      <c r="K352" t="s">
        <v>725</v>
      </c>
      <c r="L352" t="s">
        <v>1038</v>
      </c>
      <c r="M352" t="s">
        <v>2334</v>
      </c>
      <c r="N352" t="s">
        <v>2335</v>
      </c>
      <c r="O352" t="s">
        <v>1038</v>
      </c>
      <c r="P352" s="1">
        <v>4</v>
      </c>
      <c r="Q352" t="s">
        <v>91</v>
      </c>
      <c r="R352" t="s">
        <v>70</v>
      </c>
      <c r="S352" t="s">
        <v>71</v>
      </c>
      <c r="U352" t="s">
        <v>72</v>
      </c>
      <c r="V352" t="s">
        <v>73</v>
      </c>
      <c r="W352" t="s">
        <v>74</v>
      </c>
      <c r="X352" t="s">
        <v>730</v>
      </c>
      <c r="Y352" s="2">
        <v>789</v>
      </c>
      <c r="Z352" s="3">
        <v>1.75</v>
      </c>
      <c r="AA352" s="4">
        <v>1384</v>
      </c>
      <c r="AK352" s="5">
        <v>9.4240999999999993</v>
      </c>
      <c r="AN352" s="1">
        <v>3</v>
      </c>
      <c r="AO352" t="s">
        <v>81</v>
      </c>
      <c r="AP352" t="s">
        <v>82</v>
      </c>
      <c r="AQ352" t="s">
        <v>83</v>
      </c>
      <c r="AR352" s="3">
        <v>1.54</v>
      </c>
      <c r="AS352" s="4">
        <v>1728</v>
      </c>
      <c r="AT352" s="1">
        <v>1119</v>
      </c>
      <c r="AX352" s="3">
        <v>506565.63</v>
      </c>
      <c r="BB352" t="s">
        <v>84</v>
      </c>
      <c r="BD352" s="3">
        <v>1.87</v>
      </c>
      <c r="BE352" s="4">
        <v>1268</v>
      </c>
      <c r="BF352" s="1">
        <v>679</v>
      </c>
      <c r="BG352" s="1">
        <v>143</v>
      </c>
      <c r="BH352" s="1">
        <v>48</v>
      </c>
    </row>
    <row r="353" spans="1:64" x14ac:dyDescent="0.25">
      <c r="A353" t="s">
        <v>1530</v>
      </c>
      <c r="B353" t="s">
        <v>1531</v>
      </c>
      <c r="C353" s="4">
        <f>(AA353*(H353*0.9))*12</f>
        <v>4005849.6000000006</v>
      </c>
      <c r="D353" s="4">
        <f>IF(C353=0,"",(H353*150*12)+C353)</f>
        <v>4488249.6000000006</v>
      </c>
      <c r="E353" s="4">
        <f>IFERROR(D353*0.5,"")</f>
        <v>2244124.8000000003</v>
      </c>
      <c r="F353" s="4">
        <f>IFERROR(E353/0.06,"")</f>
        <v>37402080.000000007</v>
      </c>
      <c r="G353" s="4">
        <f>IFERROR(F353/H353,"")</f>
        <v>139560.00000000003</v>
      </c>
      <c r="H353" s="1">
        <v>268</v>
      </c>
      <c r="I353" s="1">
        <v>1990</v>
      </c>
      <c r="J353" t="s">
        <v>64</v>
      </c>
      <c r="K353" t="s">
        <v>140</v>
      </c>
      <c r="L353" t="s">
        <v>1532</v>
      </c>
      <c r="M353" t="s">
        <v>1533</v>
      </c>
      <c r="N353" t="s">
        <v>1534</v>
      </c>
      <c r="O353" t="s">
        <v>1532</v>
      </c>
      <c r="P353" s="1">
        <v>3</v>
      </c>
      <c r="Q353" t="s">
        <v>91</v>
      </c>
      <c r="R353" t="s">
        <v>70</v>
      </c>
      <c r="S353" t="s">
        <v>71</v>
      </c>
      <c r="U353" t="s">
        <v>72</v>
      </c>
      <c r="V353" t="s">
        <v>140</v>
      </c>
      <c r="W353" t="s">
        <v>74</v>
      </c>
      <c r="X353" t="s">
        <v>1535</v>
      </c>
      <c r="Y353" s="2">
        <v>797</v>
      </c>
      <c r="Z353" s="3">
        <v>1.74</v>
      </c>
      <c r="AA353" s="4">
        <v>1384</v>
      </c>
      <c r="AK353" s="5">
        <v>8.2089999999999996</v>
      </c>
      <c r="AN353" s="1">
        <v>3</v>
      </c>
      <c r="AO353" t="s">
        <v>81</v>
      </c>
      <c r="AP353" t="s">
        <v>82</v>
      </c>
      <c r="AQ353" t="s">
        <v>83</v>
      </c>
      <c r="AR353" s="3">
        <v>1.66</v>
      </c>
      <c r="AS353" s="4">
        <v>1782</v>
      </c>
      <c r="AT353" s="1">
        <v>1072</v>
      </c>
      <c r="AX353" s="3">
        <v>686973.37</v>
      </c>
      <c r="BB353" t="s">
        <v>84</v>
      </c>
      <c r="BD353" s="3">
        <v>1.78</v>
      </c>
      <c r="BE353" s="4">
        <v>1238</v>
      </c>
      <c r="BF353" s="1">
        <v>696</v>
      </c>
      <c r="BG353" s="1">
        <v>196</v>
      </c>
      <c r="BH353" s="1">
        <v>72</v>
      </c>
    </row>
    <row r="354" spans="1:64" x14ac:dyDescent="0.25">
      <c r="A354" t="s">
        <v>4204</v>
      </c>
      <c r="B354" t="s">
        <v>4205</v>
      </c>
      <c r="C354" s="4">
        <f>(AA354*(H354*0.9))*12</f>
        <v>3592512</v>
      </c>
      <c r="D354" s="4">
        <f>IF(C354=0,"",(H354*150*12)+C354)</f>
        <v>4024512</v>
      </c>
      <c r="E354" s="4">
        <f>IFERROR(D354*0.5,"")</f>
        <v>2012256</v>
      </c>
      <c r="F354" s="4">
        <f>IFERROR(E354/0.06,"")</f>
        <v>33537600</v>
      </c>
      <c r="G354" s="4">
        <f>IFERROR(F354/H354,"")</f>
        <v>139740</v>
      </c>
      <c r="H354" s="1">
        <v>240</v>
      </c>
      <c r="I354" s="1">
        <v>1997</v>
      </c>
      <c r="J354" t="s">
        <v>64</v>
      </c>
      <c r="K354" t="s">
        <v>660</v>
      </c>
      <c r="L354" t="s">
        <v>687</v>
      </c>
      <c r="M354" t="s">
        <v>4206</v>
      </c>
      <c r="N354" t="s">
        <v>779</v>
      </c>
      <c r="O354" t="s">
        <v>687</v>
      </c>
      <c r="P354" s="1">
        <v>4</v>
      </c>
      <c r="Q354" t="s">
        <v>91</v>
      </c>
      <c r="R354" t="s">
        <v>70</v>
      </c>
      <c r="S354" t="s">
        <v>71</v>
      </c>
      <c r="U354" t="s">
        <v>72</v>
      </c>
      <c r="V354" t="s">
        <v>664</v>
      </c>
      <c r="W354" t="s">
        <v>74</v>
      </c>
      <c r="X354" t="s">
        <v>4207</v>
      </c>
      <c r="Y354" s="2">
        <v>864</v>
      </c>
      <c r="Z354" s="3">
        <v>1.6</v>
      </c>
      <c r="AA354" s="4">
        <v>1386</v>
      </c>
      <c r="AK354" s="5">
        <v>20.833300000000001</v>
      </c>
      <c r="AN354" s="1">
        <v>3</v>
      </c>
      <c r="AO354" t="s">
        <v>81</v>
      </c>
      <c r="AP354" t="s">
        <v>82</v>
      </c>
      <c r="AQ354" t="s">
        <v>83</v>
      </c>
      <c r="AR354" s="3">
        <v>1.56</v>
      </c>
      <c r="AS354" s="4">
        <v>1401</v>
      </c>
      <c r="AT354" s="1">
        <v>901</v>
      </c>
      <c r="AU354" s="3">
        <v>1.58</v>
      </c>
      <c r="AV354" s="4">
        <v>1726</v>
      </c>
      <c r="AW354" s="1">
        <v>1094</v>
      </c>
      <c r="AX354" s="3">
        <v>0</v>
      </c>
      <c r="BB354" t="s">
        <v>84</v>
      </c>
      <c r="BD354" s="3">
        <v>1.77</v>
      </c>
      <c r="BE354" s="4">
        <v>1142</v>
      </c>
      <c r="BF354" s="1">
        <v>645</v>
      </c>
      <c r="BG354" s="1">
        <v>64</v>
      </c>
      <c r="BH354" s="1">
        <v>136</v>
      </c>
      <c r="BI354" s="1">
        <v>40</v>
      </c>
      <c r="BK354" t="s">
        <v>1202</v>
      </c>
      <c r="BL354" t="s">
        <v>104</v>
      </c>
    </row>
    <row r="355" spans="1:64" x14ac:dyDescent="0.25">
      <c r="A355" t="s">
        <v>680</v>
      </c>
      <c r="B355" t="s">
        <v>681</v>
      </c>
      <c r="C355" s="4">
        <f>(AA355*(H355*0.9))*12</f>
        <v>4793472</v>
      </c>
      <c r="D355" s="4">
        <f>IF(C355=0,"",(H355*150*12)+C355)</f>
        <v>5369472</v>
      </c>
      <c r="E355" s="4">
        <f>IFERROR(D355*0.5,"")</f>
        <v>2684736</v>
      </c>
      <c r="F355" s="4">
        <f>IFERROR(E355/0.06,"")</f>
        <v>44745600</v>
      </c>
      <c r="G355" s="4">
        <f>IFERROR(F355/H355,"")</f>
        <v>139830</v>
      </c>
      <c r="H355" s="1">
        <v>320</v>
      </c>
      <c r="I355" s="1">
        <v>1985</v>
      </c>
      <c r="J355" t="s">
        <v>64</v>
      </c>
      <c r="K355" t="s">
        <v>264</v>
      </c>
      <c r="L355" t="s">
        <v>682</v>
      </c>
      <c r="M355" t="s">
        <v>683</v>
      </c>
      <c r="N355" t="s">
        <v>684</v>
      </c>
      <c r="O355" t="s">
        <v>682</v>
      </c>
      <c r="P355" s="1">
        <v>3</v>
      </c>
      <c r="Q355" t="s">
        <v>69</v>
      </c>
      <c r="R355" t="s">
        <v>70</v>
      </c>
      <c r="S355" t="s">
        <v>71</v>
      </c>
      <c r="U355" t="s">
        <v>72</v>
      </c>
      <c r="V355" t="s">
        <v>264</v>
      </c>
      <c r="W355" t="s">
        <v>74</v>
      </c>
      <c r="X355" t="s">
        <v>678</v>
      </c>
      <c r="Y355" s="2">
        <v>866</v>
      </c>
      <c r="Z355" s="3">
        <v>1.6</v>
      </c>
      <c r="AA355" s="4">
        <v>1387</v>
      </c>
      <c r="AK355" s="5">
        <v>6.5625</v>
      </c>
      <c r="AN355" s="1">
        <v>2</v>
      </c>
      <c r="AO355" t="s">
        <v>81</v>
      </c>
      <c r="AP355" t="s">
        <v>82</v>
      </c>
      <c r="AQ355" t="s">
        <v>83</v>
      </c>
      <c r="AR355" s="3">
        <v>1.61</v>
      </c>
      <c r="AS355" s="4">
        <v>1421</v>
      </c>
      <c r="AT355" s="1">
        <v>885</v>
      </c>
      <c r="AX355" s="3">
        <v>1069047.5</v>
      </c>
      <c r="BB355" t="s">
        <v>84</v>
      </c>
      <c r="BD355" s="3">
        <v>1.57</v>
      </c>
      <c r="BE355" s="4">
        <v>1152</v>
      </c>
      <c r="BF355" s="1">
        <v>735</v>
      </c>
      <c r="BG355" s="1">
        <v>40</v>
      </c>
      <c r="BH355" s="1">
        <v>280</v>
      </c>
      <c r="BL355" t="s">
        <v>131</v>
      </c>
    </row>
    <row r="356" spans="1:64" x14ac:dyDescent="0.25">
      <c r="A356" t="s">
        <v>1380</v>
      </c>
      <c r="B356" t="s">
        <v>1381</v>
      </c>
      <c r="C356" s="4">
        <f>(AA356*(H356*0.9))*12</f>
        <v>2756246.4</v>
      </c>
      <c r="D356" s="4">
        <f>IF(C356=0,"",(H356*150*12)+C356)</f>
        <v>3087446.4</v>
      </c>
      <c r="E356" s="4">
        <f>IFERROR(D356*0.5,"")</f>
        <v>1543723.2</v>
      </c>
      <c r="F356" s="4">
        <f>IFERROR(E356/0.06,"")</f>
        <v>25728720</v>
      </c>
      <c r="G356" s="4">
        <f>IFERROR(F356/H356,"")</f>
        <v>139830</v>
      </c>
      <c r="H356" s="1">
        <v>184</v>
      </c>
      <c r="I356" s="1">
        <v>1987</v>
      </c>
      <c r="J356" t="s">
        <v>64</v>
      </c>
      <c r="K356" t="s">
        <v>215</v>
      </c>
      <c r="L356" t="s">
        <v>1382</v>
      </c>
      <c r="M356" t="s">
        <v>1383</v>
      </c>
      <c r="O356" t="s">
        <v>1382</v>
      </c>
      <c r="P356" s="1">
        <v>3</v>
      </c>
      <c r="Q356" t="s">
        <v>69</v>
      </c>
      <c r="R356" t="s">
        <v>70</v>
      </c>
      <c r="S356" t="s">
        <v>71</v>
      </c>
      <c r="T356" t="s">
        <v>118</v>
      </c>
      <c r="U356" t="s">
        <v>72</v>
      </c>
      <c r="V356" t="s">
        <v>1384</v>
      </c>
      <c r="W356" t="s">
        <v>74</v>
      </c>
      <c r="X356" t="s">
        <v>1385</v>
      </c>
      <c r="Y356" s="2">
        <v>779</v>
      </c>
      <c r="Z356" s="3">
        <v>1.78</v>
      </c>
      <c r="AA356" s="4">
        <v>1387</v>
      </c>
      <c r="AK356" s="5">
        <v>18.478300000000001</v>
      </c>
      <c r="AM356" s="1">
        <v>1993</v>
      </c>
      <c r="AN356" s="1">
        <v>2</v>
      </c>
      <c r="AO356" t="s">
        <v>81</v>
      </c>
      <c r="AP356" t="s">
        <v>82</v>
      </c>
      <c r="AQ356" t="s">
        <v>83</v>
      </c>
      <c r="AR356" s="3">
        <v>1.77</v>
      </c>
      <c r="AS356" s="4">
        <v>1397</v>
      </c>
      <c r="AT356" s="1">
        <v>787</v>
      </c>
      <c r="AU356" s="3">
        <v>1.48</v>
      </c>
      <c r="AV356" s="4">
        <v>1623</v>
      </c>
      <c r="AW356" s="1">
        <v>1100</v>
      </c>
      <c r="AX356" s="3">
        <v>426752.49</v>
      </c>
      <c r="BB356" t="s">
        <v>84</v>
      </c>
      <c r="BD356" s="3">
        <v>1.96</v>
      </c>
      <c r="BE356" s="4">
        <v>1282</v>
      </c>
      <c r="BF356" s="1">
        <v>653</v>
      </c>
      <c r="BG356" s="1">
        <v>48</v>
      </c>
      <c r="BH356" s="1">
        <v>120</v>
      </c>
      <c r="BI356" s="1">
        <v>16</v>
      </c>
    </row>
    <row r="357" spans="1:64" x14ac:dyDescent="0.25">
      <c r="A357" t="s">
        <v>2618</v>
      </c>
      <c r="B357" t="s">
        <v>2619</v>
      </c>
      <c r="C357" s="4">
        <f>(AA357*(H357*0.9))*12</f>
        <v>5640451.2000000002</v>
      </c>
      <c r="D357" s="4">
        <f>IF(C357=0,"",(H357*150*12)+C357)</f>
        <v>6317251.2000000002</v>
      </c>
      <c r="E357" s="4">
        <f>IFERROR(D357*0.5,"")</f>
        <v>3158625.6</v>
      </c>
      <c r="F357" s="4">
        <f>IFERROR(E357/0.06,"")</f>
        <v>52643760</v>
      </c>
      <c r="G357" s="4">
        <f>IFERROR(F357/H357,"")</f>
        <v>140010</v>
      </c>
      <c r="H357" s="1">
        <v>376</v>
      </c>
      <c r="I357" s="1">
        <v>1994</v>
      </c>
      <c r="J357" t="s">
        <v>64</v>
      </c>
      <c r="K357" t="s">
        <v>734</v>
      </c>
      <c r="L357" t="s">
        <v>697</v>
      </c>
      <c r="M357" t="s">
        <v>2620</v>
      </c>
      <c r="N357" t="s">
        <v>2621</v>
      </c>
      <c r="O357" t="s">
        <v>697</v>
      </c>
      <c r="P357" s="1">
        <v>3</v>
      </c>
      <c r="Q357" t="s">
        <v>91</v>
      </c>
      <c r="R357" t="s">
        <v>70</v>
      </c>
      <c r="S357" t="s">
        <v>71</v>
      </c>
      <c r="U357" t="s">
        <v>72</v>
      </c>
      <c r="V357" t="s">
        <v>73</v>
      </c>
      <c r="W357" t="s">
        <v>74</v>
      </c>
      <c r="X357" t="s">
        <v>730</v>
      </c>
      <c r="Y357" s="2">
        <v>904</v>
      </c>
      <c r="Z357" s="3">
        <v>1.54</v>
      </c>
      <c r="AA357" s="4">
        <v>1389</v>
      </c>
      <c r="AK357" s="5">
        <v>6.383</v>
      </c>
      <c r="AN357" s="1">
        <v>3</v>
      </c>
      <c r="AO357" t="s">
        <v>81</v>
      </c>
      <c r="AP357" t="s">
        <v>82</v>
      </c>
      <c r="AQ357" t="s">
        <v>83</v>
      </c>
      <c r="AR357" s="3">
        <v>1.43</v>
      </c>
      <c r="AS357" s="4">
        <v>1515</v>
      </c>
      <c r="AT357" s="1">
        <v>1056</v>
      </c>
      <c r="AU357" s="3">
        <v>1.57</v>
      </c>
      <c r="AV357" s="4">
        <v>2124</v>
      </c>
      <c r="AW357" s="1">
        <v>1352</v>
      </c>
      <c r="AX357" s="3">
        <v>1132124.98</v>
      </c>
      <c r="BB357" t="s">
        <v>84</v>
      </c>
      <c r="BD357" s="3">
        <v>1.66</v>
      </c>
      <c r="BE357" s="4">
        <v>1190</v>
      </c>
      <c r="BF357" s="1">
        <v>718</v>
      </c>
      <c r="BG357" s="1">
        <v>190</v>
      </c>
      <c r="BH357" s="1">
        <v>162</v>
      </c>
      <c r="BI357" s="1">
        <v>24</v>
      </c>
      <c r="BK357" t="s">
        <v>2622</v>
      </c>
      <c r="BL357" t="s">
        <v>131</v>
      </c>
    </row>
    <row r="358" spans="1:64" x14ac:dyDescent="0.25">
      <c r="A358" t="s">
        <v>549</v>
      </c>
      <c r="B358" t="s">
        <v>550</v>
      </c>
      <c r="C358" s="4">
        <f>(AA358*(H358*0.9))*12</f>
        <v>1921536</v>
      </c>
      <c r="D358" s="4">
        <f>IF(C358=0,"",(H358*150*12)+C358)</f>
        <v>2151936</v>
      </c>
      <c r="E358" s="4">
        <f>IFERROR(D358*0.5,"")</f>
        <v>1075968</v>
      </c>
      <c r="F358" s="4">
        <f>IFERROR(E358/0.06,"")</f>
        <v>17932800</v>
      </c>
      <c r="G358" s="4">
        <f>IFERROR(F358/H358,"")</f>
        <v>140100</v>
      </c>
      <c r="H358" s="1">
        <v>128</v>
      </c>
      <c r="I358" s="1">
        <v>1985</v>
      </c>
      <c r="J358" t="s">
        <v>64</v>
      </c>
      <c r="K358" t="s">
        <v>551</v>
      </c>
      <c r="L358" t="s">
        <v>552</v>
      </c>
      <c r="M358" t="s">
        <v>553</v>
      </c>
      <c r="O358" t="s">
        <v>552</v>
      </c>
      <c r="P358" s="1">
        <v>3</v>
      </c>
      <c r="Q358" t="s">
        <v>91</v>
      </c>
      <c r="R358" t="s">
        <v>70</v>
      </c>
      <c r="S358" t="s">
        <v>71</v>
      </c>
      <c r="U358" t="s">
        <v>72</v>
      </c>
      <c r="V358" t="s">
        <v>551</v>
      </c>
      <c r="W358" t="s">
        <v>74</v>
      </c>
      <c r="X358" t="s">
        <v>554</v>
      </c>
      <c r="Y358" s="2">
        <v>910</v>
      </c>
      <c r="Z358" s="3">
        <v>1.53</v>
      </c>
      <c r="AA358" s="4">
        <v>1390</v>
      </c>
      <c r="AK358" s="5">
        <v>12.5</v>
      </c>
      <c r="AM358" s="1">
        <v>2006</v>
      </c>
      <c r="AN358" s="1">
        <v>2</v>
      </c>
      <c r="AO358" t="s">
        <v>81</v>
      </c>
      <c r="AP358" t="s">
        <v>82</v>
      </c>
      <c r="AQ358" t="s">
        <v>83</v>
      </c>
      <c r="AR358" s="3">
        <v>1.5</v>
      </c>
      <c r="AS358" s="4">
        <v>1411</v>
      </c>
      <c r="AT358" s="1">
        <v>939</v>
      </c>
      <c r="AX358" s="3">
        <v>372330.95</v>
      </c>
      <c r="BB358" t="s">
        <v>84</v>
      </c>
      <c r="BD358" s="3">
        <v>1.69</v>
      </c>
      <c r="BE358" s="4">
        <v>1279</v>
      </c>
      <c r="BF358" s="1">
        <v>757</v>
      </c>
      <c r="BG358" s="1">
        <v>20</v>
      </c>
      <c r="BH358" s="1">
        <v>108</v>
      </c>
    </row>
    <row r="359" spans="1:64" x14ac:dyDescent="0.25">
      <c r="A359" t="s">
        <v>3401</v>
      </c>
      <c r="B359" t="s">
        <v>3402</v>
      </c>
      <c r="C359" s="4">
        <f>(AA359*(H359*0.9))*12</f>
        <v>3422736</v>
      </c>
      <c r="D359" s="4">
        <f>IF(C359=0,"",(H359*150*12)+C359)</f>
        <v>3833136</v>
      </c>
      <c r="E359" s="4">
        <f>IFERROR(D359*0.5,"")</f>
        <v>1916568</v>
      </c>
      <c r="F359" s="4">
        <f>IFERROR(E359/0.06,"")</f>
        <v>31942800</v>
      </c>
      <c r="G359" s="4">
        <f>IFERROR(F359/H359,"")</f>
        <v>140100</v>
      </c>
      <c r="H359" s="1">
        <v>228</v>
      </c>
      <c r="I359" s="1">
        <v>1999</v>
      </c>
      <c r="J359" t="s">
        <v>64</v>
      </c>
      <c r="K359" t="s">
        <v>409</v>
      </c>
      <c r="L359" t="s">
        <v>3403</v>
      </c>
      <c r="M359" t="s">
        <v>3404</v>
      </c>
      <c r="N359" t="s">
        <v>3405</v>
      </c>
      <c r="O359" t="s">
        <v>3403</v>
      </c>
      <c r="P359" s="1">
        <v>3</v>
      </c>
      <c r="Q359" t="s">
        <v>91</v>
      </c>
      <c r="R359" t="s">
        <v>70</v>
      </c>
      <c r="S359" t="s">
        <v>71</v>
      </c>
      <c r="U359" t="s">
        <v>72</v>
      </c>
      <c r="V359" t="s">
        <v>110</v>
      </c>
      <c r="W359" t="s">
        <v>74</v>
      </c>
      <c r="X359" t="s">
        <v>3406</v>
      </c>
      <c r="Y359" s="2">
        <v>878</v>
      </c>
      <c r="Z359" s="3">
        <v>1.58</v>
      </c>
      <c r="AA359" s="4">
        <v>1390</v>
      </c>
      <c r="AK359" s="5">
        <v>6.5789</v>
      </c>
      <c r="AN359" s="1">
        <v>3</v>
      </c>
      <c r="AO359" t="s">
        <v>81</v>
      </c>
      <c r="AP359" t="s">
        <v>82</v>
      </c>
      <c r="AQ359" t="s">
        <v>83</v>
      </c>
      <c r="AR359" s="3">
        <v>1.5</v>
      </c>
      <c r="AS359" s="4">
        <v>1432</v>
      </c>
      <c r="AT359" s="1">
        <v>955</v>
      </c>
      <c r="AU359" s="3">
        <v>1.47</v>
      </c>
      <c r="AV359" s="4">
        <v>1817</v>
      </c>
      <c r="AW359" s="1">
        <v>1234</v>
      </c>
      <c r="AX359" s="3">
        <v>771613.44</v>
      </c>
      <c r="BB359" t="s">
        <v>84</v>
      </c>
      <c r="BD359" s="3">
        <v>1.71</v>
      </c>
      <c r="BE359" s="4">
        <v>1201</v>
      </c>
      <c r="BF359" s="1">
        <v>703</v>
      </c>
      <c r="BG359" s="1">
        <v>96</v>
      </c>
      <c r="BH359" s="1">
        <v>108</v>
      </c>
      <c r="BI359" s="1">
        <v>24</v>
      </c>
      <c r="BK359" t="s">
        <v>774</v>
      </c>
      <c r="BL359" t="s">
        <v>131</v>
      </c>
    </row>
    <row r="360" spans="1:64" x14ac:dyDescent="0.25">
      <c r="A360" t="s">
        <v>700</v>
      </c>
      <c r="B360" t="s">
        <v>701</v>
      </c>
      <c r="C360" s="4">
        <f>(AA360*(H360*0.9))*12</f>
        <v>3305016</v>
      </c>
      <c r="D360" s="4">
        <f>IF(C360=0,"",(H360*150*12)+C360)</f>
        <v>3701016</v>
      </c>
      <c r="E360" s="4">
        <f>IFERROR(D360*0.5,"")</f>
        <v>1850508</v>
      </c>
      <c r="F360" s="4">
        <f>IFERROR(E360/0.06,"")</f>
        <v>30841800</v>
      </c>
      <c r="G360" s="4">
        <f>IFERROR(F360/H360,"")</f>
        <v>140190</v>
      </c>
      <c r="H360" s="1">
        <v>220</v>
      </c>
      <c r="I360" s="1">
        <v>1985</v>
      </c>
      <c r="J360" t="s">
        <v>64</v>
      </c>
      <c r="K360" t="s">
        <v>477</v>
      </c>
      <c r="L360" t="s">
        <v>229</v>
      </c>
      <c r="M360" t="s">
        <v>702</v>
      </c>
      <c r="N360" t="s">
        <v>703</v>
      </c>
      <c r="O360" t="s">
        <v>229</v>
      </c>
      <c r="P360" s="1">
        <v>3</v>
      </c>
      <c r="Q360" t="s">
        <v>91</v>
      </c>
      <c r="R360" t="s">
        <v>70</v>
      </c>
      <c r="S360" t="s">
        <v>71</v>
      </c>
      <c r="U360" t="s">
        <v>72</v>
      </c>
      <c r="V360" t="s">
        <v>110</v>
      </c>
      <c r="W360" t="s">
        <v>74</v>
      </c>
      <c r="X360" t="s">
        <v>704</v>
      </c>
      <c r="Y360" s="2">
        <v>750</v>
      </c>
      <c r="Z360" s="3">
        <v>1.85</v>
      </c>
      <c r="AA360" s="4">
        <v>1391</v>
      </c>
      <c r="AK360" s="5">
        <v>11.3636</v>
      </c>
      <c r="AM360" s="1">
        <v>2001</v>
      </c>
      <c r="AN360" s="1">
        <v>2</v>
      </c>
      <c r="AO360" t="s">
        <v>81</v>
      </c>
      <c r="AP360" t="s">
        <v>82</v>
      </c>
      <c r="AQ360" t="s">
        <v>83</v>
      </c>
      <c r="AR360" s="3">
        <v>1.82</v>
      </c>
      <c r="AS360" s="4">
        <v>1734</v>
      </c>
      <c r="AT360" s="1">
        <v>955</v>
      </c>
      <c r="AX360" s="3">
        <v>631897.54</v>
      </c>
      <c r="AY360" s="3">
        <v>1.9</v>
      </c>
      <c r="AZ360" s="4">
        <v>914</v>
      </c>
      <c r="BA360" s="6">
        <v>480</v>
      </c>
      <c r="BB360" t="s">
        <v>84</v>
      </c>
      <c r="BD360" s="3">
        <v>1.88</v>
      </c>
      <c r="BE360" s="4">
        <v>1261</v>
      </c>
      <c r="BF360" s="1">
        <v>670</v>
      </c>
      <c r="BG360" s="1">
        <v>118</v>
      </c>
      <c r="BH360" s="1">
        <v>78</v>
      </c>
    </row>
    <row r="361" spans="1:64" x14ac:dyDescent="0.25">
      <c r="A361" t="s">
        <v>1321</v>
      </c>
      <c r="B361" t="s">
        <v>1322</v>
      </c>
      <c r="C361" s="4">
        <f>(AA361*(H361*0.9))*12</f>
        <v>6238944</v>
      </c>
      <c r="D361" s="4">
        <f>IF(C361=0,"",(H361*150*12)+C361)</f>
        <v>6985944</v>
      </c>
      <c r="E361" s="4">
        <f>IFERROR(D361*0.5,"")</f>
        <v>3492972</v>
      </c>
      <c r="F361" s="4">
        <f>IFERROR(E361/0.06,"")</f>
        <v>58216200</v>
      </c>
      <c r="G361" s="4">
        <f>IFERROR(F361/H361,"")</f>
        <v>140280</v>
      </c>
      <c r="H361" s="1">
        <v>415</v>
      </c>
      <c r="I361" s="1">
        <v>1985</v>
      </c>
      <c r="J361" t="s">
        <v>64</v>
      </c>
      <c r="K361" t="s">
        <v>514</v>
      </c>
      <c r="L361" t="s">
        <v>1205</v>
      </c>
      <c r="M361" t="s">
        <v>1323</v>
      </c>
      <c r="N361" t="s">
        <v>1324</v>
      </c>
      <c r="O361" t="s">
        <v>1205</v>
      </c>
      <c r="P361" s="1">
        <v>3</v>
      </c>
      <c r="Q361" t="s">
        <v>91</v>
      </c>
      <c r="R361" t="s">
        <v>70</v>
      </c>
      <c r="S361" t="s">
        <v>71</v>
      </c>
      <c r="U361" t="s">
        <v>72</v>
      </c>
      <c r="V361" t="s">
        <v>264</v>
      </c>
      <c r="W361" t="s">
        <v>74</v>
      </c>
      <c r="X361" t="s">
        <v>1325</v>
      </c>
      <c r="Y361" s="2">
        <v>916</v>
      </c>
      <c r="Z361" s="3">
        <v>1.52</v>
      </c>
      <c r="AA361" s="4">
        <v>1392</v>
      </c>
      <c r="AK361" s="5">
        <v>4.3372999999999999</v>
      </c>
      <c r="AN361" s="1">
        <v>3</v>
      </c>
      <c r="AO361" t="s">
        <v>81</v>
      </c>
      <c r="AP361" t="s">
        <v>82</v>
      </c>
      <c r="AQ361" t="s">
        <v>83</v>
      </c>
      <c r="AR361" s="3">
        <v>1.5</v>
      </c>
      <c r="AS361" s="4">
        <v>1510</v>
      </c>
      <c r="AT361" s="1">
        <v>1009</v>
      </c>
      <c r="AX361" s="3">
        <v>1411142.69</v>
      </c>
      <c r="BB361" t="s">
        <v>84</v>
      </c>
      <c r="BD361" s="3">
        <v>1.56</v>
      </c>
      <c r="BE361" s="4">
        <v>1219</v>
      </c>
      <c r="BF361" s="1">
        <v>780</v>
      </c>
      <c r="BG361" s="1">
        <v>168</v>
      </c>
      <c r="BH361" s="1">
        <v>247</v>
      </c>
    </row>
    <row r="362" spans="1:64" x14ac:dyDescent="0.25">
      <c r="A362" t="s">
        <v>315</v>
      </c>
      <c r="B362" t="s">
        <v>316</v>
      </c>
      <c r="C362" s="4">
        <f>(AA362*(H362*0.9))*12</f>
        <v>1114084.8</v>
      </c>
      <c r="D362" s="4">
        <f>IF(C362=0,"",(H362*150*12)+C362)</f>
        <v>1247284.8</v>
      </c>
      <c r="E362" s="4">
        <f>IFERROR(D362*0.5,"")</f>
        <v>623642.4</v>
      </c>
      <c r="F362" s="4">
        <f>IFERROR(E362/0.06,"")</f>
        <v>10394040</v>
      </c>
      <c r="G362" s="4">
        <f>IFERROR(F362/H362,"")</f>
        <v>140460</v>
      </c>
      <c r="H362" s="1">
        <v>74</v>
      </c>
      <c r="I362" s="1">
        <v>1985</v>
      </c>
      <c r="J362" t="s">
        <v>64</v>
      </c>
      <c r="K362" t="s">
        <v>308</v>
      </c>
      <c r="L362" t="s">
        <v>317</v>
      </c>
      <c r="M362" t="s">
        <v>318</v>
      </c>
      <c r="N362" t="s">
        <v>319</v>
      </c>
      <c r="O362" t="s">
        <v>317</v>
      </c>
      <c r="P362" s="1">
        <v>3</v>
      </c>
      <c r="Q362" t="s">
        <v>69</v>
      </c>
      <c r="R362" t="s">
        <v>70</v>
      </c>
      <c r="S362" t="s">
        <v>71</v>
      </c>
      <c r="U362" t="s">
        <v>72</v>
      </c>
      <c r="V362" t="s">
        <v>320</v>
      </c>
      <c r="W362" t="s">
        <v>74</v>
      </c>
      <c r="X362" t="s">
        <v>321</v>
      </c>
      <c r="Y362" s="2">
        <v>978</v>
      </c>
      <c r="Z362" s="3">
        <v>1.42</v>
      </c>
      <c r="AA362" s="4">
        <v>1394</v>
      </c>
      <c r="AK362" s="5">
        <v>9.4595000000000002</v>
      </c>
      <c r="AN362" s="1">
        <v>2</v>
      </c>
      <c r="AO362" t="s">
        <v>81</v>
      </c>
      <c r="AP362" t="s">
        <v>82</v>
      </c>
      <c r="AQ362" t="s">
        <v>83</v>
      </c>
      <c r="AR362" s="3">
        <v>1.42</v>
      </c>
      <c r="AS362" s="4">
        <v>1394</v>
      </c>
      <c r="AT362" s="1">
        <v>978</v>
      </c>
      <c r="AX362" s="3">
        <v>59121.46</v>
      </c>
      <c r="BB362" t="s">
        <v>84</v>
      </c>
      <c r="BH362" s="1">
        <v>74</v>
      </c>
      <c r="BK362" t="s">
        <v>322</v>
      </c>
      <c r="BL362" t="s">
        <v>104</v>
      </c>
    </row>
    <row r="363" spans="1:64" x14ac:dyDescent="0.25">
      <c r="A363" t="s">
        <v>2778</v>
      </c>
      <c r="B363" t="s">
        <v>2779</v>
      </c>
      <c r="C363" s="4">
        <f>(AA363*(H363*0.9))*12</f>
        <v>6293073.5999999996</v>
      </c>
      <c r="D363" s="4">
        <f>IF(C363=0,"",(H363*150*12)+C363)</f>
        <v>7045473.5999999996</v>
      </c>
      <c r="E363" s="4">
        <f>IFERROR(D363*0.5,"")</f>
        <v>3522736.8</v>
      </c>
      <c r="F363" s="4">
        <f>IFERROR(E363/0.06,"")</f>
        <v>58712280</v>
      </c>
      <c r="G363" s="4">
        <f>IFERROR(F363/H363,"")</f>
        <v>140460</v>
      </c>
      <c r="H363" s="1">
        <v>418</v>
      </c>
      <c r="I363" s="1">
        <v>2000</v>
      </c>
      <c r="J363" t="s">
        <v>64</v>
      </c>
      <c r="K363" t="s">
        <v>110</v>
      </c>
      <c r="L363" t="s">
        <v>2780</v>
      </c>
      <c r="M363" t="s">
        <v>2781</v>
      </c>
      <c r="N363" t="s">
        <v>2782</v>
      </c>
      <c r="O363" t="s">
        <v>2780</v>
      </c>
      <c r="P363" s="1">
        <v>4</v>
      </c>
      <c r="Q363" t="s">
        <v>91</v>
      </c>
      <c r="R363" t="s">
        <v>70</v>
      </c>
      <c r="S363" t="s">
        <v>71</v>
      </c>
      <c r="U363" t="s">
        <v>72</v>
      </c>
      <c r="V363" t="s">
        <v>110</v>
      </c>
      <c r="W363" t="s">
        <v>74</v>
      </c>
      <c r="X363" t="s">
        <v>2783</v>
      </c>
      <c r="Y363" s="2">
        <v>888</v>
      </c>
      <c r="Z363" s="3">
        <v>1.57</v>
      </c>
      <c r="AA363" s="4">
        <v>1394</v>
      </c>
      <c r="AK363" s="5">
        <v>5.0239000000000003</v>
      </c>
      <c r="AM363" s="1">
        <v>2016</v>
      </c>
      <c r="AN363" s="1">
        <v>3</v>
      </c>
      <c r="AO363" t="s">
        <v>81</v>
      </c>
      <c r="AP363" t="s">
        <v>82</v>
      </c>
      <c r="AQ363" t="s">
        <v>83</v>
      </c>
      <c r="AR363" s="3">
        <v>1.46</v>
      </c>
      <c r="AS363" s="4">
        <v>1505</v>
      </c>
      <c r="AT363" s="1">
        <v>1029</v>
      </c>
      <c r="AU363" s="3">
        <v>1.37</v>
      </c>
      <c r="AV363" s="4">
        <v>1790</v>
      </c>
      <c r="AW363" s="1">
        <v>1306</v>
      </c>
      <c r="AX363" s="3">
        <v>1617329.22</v>
      </c>
      <c r="BB363" t="s">
        <v>84</v>
      </c>
      <c r="BD363" s="3">
        <v>1.76</v>
      </c>
      <c r="BE363" s="4">
        <v>1234</v>
      </c>
      <c r="BF363" s="1">
        <v>702</v>
      </c>
      <c r="BG363" s="1">
        <v>210</v>
      </c>
      <c r="BH363" s="1">
        <v>172</v>
      </c>
      <c r="BI363" s="1">
        <v>36</v>
      </c>
      <c r="BK363" t="s">
        <v>987</v>
      </c>
      <c r="BL363" t="s">
        <v>131</v>
      </c>
    </row>
    <row r="364" spans="1:64" x14ac:dyDescent="0.25">
      <c r="A364" t="s">
        <v>3818</v>
      </c>
      <c r="B364" t="s">
        <v>3819</v>
      </c>
      <c r="C364" s="4">
        <f>(AA364*(H364*0.9))*12</f>
        <v>6091027.2000000002</v>
      </c>
      <c r="D364" s="4">
        <f>IF(C364=0,"",(H364*150*12)+C364)</f>
        <v>6818227.2000000002</v>
      </c>
      <c r="E364" s="4">
        <f>IFERROR(D364*0.5,"")</f>
        <v>3409113.6</v>
      </c>
      <c r="F364" s="4">
        <f>IFERROR(E364/0.06,"")</f>
        <v>56818560</v>
      </c>
      <c r="G364" s="4">
        <f>IFERROR(F364/H364,"")</f>
        <v>140640</v>
      </c>
      <c r="H364" s="1">
        <v>404</v>
      </c>
      <c r="I364" s="1">
        <v>1994</v>
      </c>
      <c r="J364" t="s">
        <v>64</v>
      </c>
      <c r="K364" t="s">
        <v>123</v>
      </c>
      <c r="L364" t="s">
        <v>3820</v>
      </c>
      <c r="M364" t="s">
        <v>3821</v>
      </c>
      <c r="N364" t="s">
        <v>3822</v>
      </c>
      <c r="O364" t="s">
        <v>3820</v>
      </c>
      <c r="P364" s="1">
        <v>3</v>
      </c>
      <c r="Q364" t="s">
        <v>91</v>
      </c>
      <c r="R364" t="s">
        <v>70</v>
      </c>
      <c r="S364" t="s">
        <v>71</v>
      </c>
      <c r="U364" t="s">
        <v>72</v>
      </c>
      <c r="V364" t="s">
        <v>129</v>
      </c>
      <c r="W364" t="s">
        <v>74</v>
      </c>
      <c r="X364" t="s">
        <v>3823</v>
      </c>
      <c r="Y364" s="2">
        <v>890</v>
      </c>
      <c r="Z364" s="3">
        <v>1.57</v>
      </c>
      <c r="AA364" s="4">
        <v>1396</v>
      </c>
      <c r="AK364" s="5">
        <v>7.9207999999999998</v>
      </c>
      <c r="AN364" s="1">
        <v>2</v>
      </c>
      <c r="AO364" t="s">
        <v>81</v>
      </c>
      <c r="AP364" t="s">
        <v>82</v>
      </c>
      <c r="AQ364" t="s">
        <v>83</v>
      </c>
      <c r="AR364" s="3">
        <v>1.5</v>
      </c>
      <c r="AS364" s="4">
        <v>1577</v>
      </c>
      <c r="AT364" s="1">
        <v>1052</v>
      </c>
      <c r="AU364" s="3">
        <v>1.6</v>
      </c>
      <c r="AV364" s="4">
        <v>2122</v>
      </c>
      <c r="AW364" s="1">
        <v>1322</v>
      </c>
      <c r="AX364" s="3">
        <v>0</v>
      </c>
      <c r="BB364" t="s">
        <v>84</v>
      </c>
      <c r="BD364" s="3">
        <v>1.63</v>
      </c>
      <c r="BE364" s="4">
        <v>1225</v>
      </c>
      <c r="BF364" s="1">
        <v>753</v>
      </c>
      <c r="BG364" s="1">
        <v>234</v>
      </c>
      <c r="BH364" s="1">
        <v>153</v>
      </c>
      <c r="BI364" s="1">
        <v>17</v>
      </c>
      <c r="BL364" t="s">
        <v>131</v>
      </c>
    </row>
    <row r="365" spans="1:64" x14ac:dyDescent="0.25">
      <c r="A365" t="s">
        <v>667</v>
      </c>
      <c r="B365" t="s">
        <v>668</v>
      </c>
      <c r="C365" s="4">
        <f>(AA365*(H365*0.9))*12</f>
        <v>1510920</v>
      </c>
      <c r="D365" s="4">
        <f>IF(C365=0,"",(H365*150*12)+C365)</f>
        <v>1690920</v>
      </c>
      <c r="E365" s="4">
        <f>IFERROR(D365*0.5,"")</f>
        <v>845460</v>
      </c>
      <c r="F365" s="4">
        <f>IFERROR(E365/0.06,"")</f>
        <v>14091000</v>
      </c>
      <c r="G365" s="4">
        <f>IFERROR(F365/H365,"")</f>
        <v>140910</v>
      </c>
      <c r="H365" s="1">
        <v>100</v>
      </c>
      <c r="I365" s="1">
        <v>1985</v>
      </c>
      <c r="J365" t="s">
        <v>64</v>
      </c>
      <c r="K365" t="s">
        <v>301</v>
      </c>
      <c r="L365" t="s">
        <v>669</v>
      </c>
      <c r="M365" t="s">
        <v>670</v>
      </c>
      <c r="N365" t="s">
        <v>671</v>
      </c>
      <c r="O365" t="s">
        <v>669</v>
      </c>
      <c r="P365" s="1">
        <v>3</v>
      </c>
      <c r="Q365" t="s">
        <v>69</v>
      </c>
      <c r="R365" t="s">
        <v>70</v>
      </c>
      <c r="S365" t="s">
        <v>71</v>
      </c>
      <c r="U365" t="s">
        <v>72</v>
      </c>
      <c r="V365" t="s">
        <v>152</v>
      </c>
      <c r="W365" t="s">
        <v>74</v>
      </c>
      <c r="X365" t="s">
        <v>672</v>
      </c>
      <c r="Y365" s="2">
        <v>855</v>
      </c>
      <c r="Z365" s="3">
        <v>1.64</v>
      </c>
      <c r="AA365" s="4">
        <v>1399</v>
      </c>
      <c r="AK365" s="5">
        <v>7</v>
      </c>
      <c r="AN365" s="1">
        <v>2</v>
      </c>
      <c r="AO365" t="s">
        <v>81</v>
      </c>
      <c r="AP365" t="s">
        <v>82</v>
      </c>
      <c r="AQ365" t="s">
        <v>83</v>
      </c>
      <c r="AR365" s="3">
        <v>1.55</v>
      </c>
      <c r="AS365" s="4">
        <v>1432</v>
      </c>
      <c r="AT365" s="1">
        <v>926</v>
      </c>
      <c r="AX365" s="3">
        <v>320874.84000000003</v>
      </c>
      <c r="BB365" t="s">
        <v>84</v>
      </c>
      <c r="BD365" s="3">
        <v>1.7</v>
      </c>
      <c r="BE365" s="4">
        <v>1380</v>
      </c>
      <c r="BF365" s="1">
        <v>814</v>
      </c>
      <c r="BG365" s="1">
        <v>63</v>
      </c>
      <c r="BH365" s="1">
        <v>37</v>
      </c>
      <c r="BL365" t="s">
        <v>131</v>
      </c>
    </row>
    <row r="366" spans="1:64" x14ac:dyDescent="0.25">
      <c r="A366" t="s">
        <v>3195</v>
      </c>
      <c r="B366" t="s">
        <v>3196</v>
      </c>
      <c r="C366" s="4">
        <f>(AA366*(H366*0.9))*12</f>
        <v>4925599.2</v>
      </c>
      <c r="D366" s="4">
        <f>IF(C366=0,"",(H366*150*12)+C366)</f>
        <v>5512399.2000000002</v>
      </c>
      <c r="E366" s="4">
        <f>IFERROR(D366*0.5,"")</f>
        <v>2756199.6</v>
      </c>
      <c r="F366" s="4">
        <f>IFERROR(E366/0.06,"")</f>
        <v>45936660</v>
      </c>
      <c r="G366" s="4">
        <f>IFERROR(F366/H366,"")</f>
        <v>140910</v>
      </c>
      <c r="H366" s="1">
        <v>326</v>
      </c>
      <c r="I366" s="1">
        <v>1992</v>
      </c>
      <c r="J366" t="s">
        <v>64</v>
      </c>
      <c r="K366" t="s">
        <v>140</v>
      </c>
      <c r="L366" t="s">
        <v>257</v>
      </c>
      <c r="M366" t="s">
        <v>3197</v>
      </c>
      <c r="N366" t="s">
        <v>3198</v>
      </c>
      <c r="O366" t="s">
        <v>257</v>
      </c>
      <c r="P366" s="1">
        <v>4</v>
      </c>
      <c r="Q366" t="s">
        <v>91</v>
      </c>
      <c r="R366" t="s">
        <v>70</v>
      </c>
      <c r="S366" t="s">
        <v>71</v>
      </c>
      <c r="T366" t="s">
        <v>128</v>
      </c>
      <c r="U366" t="s">
        <v>72</v>
      </c>
      <c r="V366" t="s">
        <v>140</v>
      </c>
      <c r="W366" t="s">
        <v>74</v>
      </c>
      <c r="X366" t="s">
        <v>565</v>
      </c>
      <c r="Y366" s="2">
        <v>893</v>
      </c>
      <c r="Z366" s="3">
        <v>1.57</v>
      </c>
      <c r="AA366" s="4">
        <v>1399</v>
      </c>
      <c r="AK366" s="5">
        <v>10.429399999999999</v>
      </c>
      <c r="AM366" s="1">
        <v>2015</v>
      </c>
      <c r="AN366" s="1">
        <v>2</v>
      </c>
      <c r="AO366" t="s">
        <v>81</v>
      </c>
      <c r="AP366" t="s">
        <v>82</v>
      </c>
      <c r="AQ366" t="s">
        <v>83</v>
      </c>
      <c r="AR366" s="3">
        <v>1.55</v>
      </c>
      <c r="AS366" s="4">
        <v>1565</v>
      </c>
      <c r="AT366" s="1">
        <v>1013</v>
      </c>
      <c r="AU366" s="3">
        <v>1.48</v>
      </c>
      <c r="AV366" s="4">
        <v>1728</v>
      </c>
      <c r="AW366" s="1">
        <v>1170</v>
      </c>
      <c r="AX366" s="3">
        <v>372256.85</v>
      </c>
      <c r="BB366" t="s">
        <v>84</v>
      </c>
      <c r="BD366" s="3">
        <v>1.63</v>
      </c>
      <c r="BE366" s="4">
        <v>1121</v>
      </c>
      <c r="BF366" s="1">
        <v>689</v>
      </c>
      <c r="BG366" s="1">
        <v>128</v>
      </c>
      <c r="BH366" s="1">
        <v>182</v>
      </c>
      <c r="BI366" s="1">
        <v>16</v>
      </c>
      <c r="BL366" t="s">
        <v>131</v>
      </c>
    </row>
    <row r="367" spans="1:64" x14ac:dyDescent="0.25">
      <c r="A367" t="s">
        <v>1459</v>
      </c>
      <c r="B367" t="s">
        <v>1460</v>
      </c>
      <c r="C367" s="4">
        <f>(AA367*(H367*0.9))*12</f>
        <v>4744288.8000000007</v>
      </c>
      <c r="D367" s="4">
        <f>IF(C367=0,"",(H367*150*12)+C367)</f>
        <v>5309488.8000000007</v>
      </c>
      <c r="E367" s="4">
        <f>IFERROR(D367*0.5,"")</f>
        <v>2654744.4000000004</v>
      </c>
      <c r="F367" s="4">
        <f>IFERROR(E367/0.06,"")</f>
        <v>44245740.000000007</v>
      </c>
      <c r="G367" s="4">
        <f>IFERROR(F367/H367,"")</f>
        <v>140910.00000000003</v>
      </c>
      <c r="H367" s="1">
        <v>314</v>
      </c>
      <c r="I367" s="1">
        <v>1988</v>
      </c>
      <c r="J367" t="s">
        <v>64</v>
      </c>
      <c r="K367" t="s">
        <v>140</v>
      </c>
      <c r="L367" t="s">
        <v>353</v>
      </c>
      <c r="M367" t="s">
        <v>1461</v>
      </c>
      <c r="N367" t="s">
        <v>1462</v>
      </c>
      <c r="O367" t="s">
        <v>353</v>
      </c>
      <c r="P367" s="1">
        <v>3</v>
      </c>
      <c r="Q367" t="s">
        <v>91</v>
      </c>
      <c r="R367" t="s">
        <v>70</v>
      </c>
      <c r="S367" t="s">
        <v>71</v>
      </c>
      <c r="U367" t="s">
        <v>72</v>
      </c>
      <c r="V367" t="s">
        <v>140</v>
      </c>
      <c r="W367" t="s">
        <v>74</v>
      </c>
      <c r="X367" t="s">
        <v>165</v>
      </c>
      <c r="Y367" s="2">
        <v>849</v>
      </c>
      <c r="Z367" s="3">
        <v>1.65</v>
      </c>
      <c r="AA367" s="4">
        <v>1399</v>
      </c>
      <c r="AK367" s="5">
        <v>7.9618000000000002</v>
      </c>
      <c r="AM367" s="1">
        <v>2013</v>
      </c>
      <c r="AN367" s="1">
        <v>2</v>
      </c>
      <c r="AO367" t="s">
        <v>81</v>
      </c>
      <c r="AP367" t="s">
        <v>82</v>
      </c>
      <c r="AQ367" t="s">
        <v>83</v>
      </c>
      <c r="AR367" s="3">
        <v>1.6</v>
      </c>
      <c r="AS367" s="4">
        <v>1519</v>
      </c>
      <c r="AT367" s="1">
        <v>952</v>
      </c>
      <c r="AU367" s="3">
        <v>1.68</v>
      </c>
      <c r="AV367" s="4">
        <v>1992</v>
      </c>
      <c r="AW367" s="1">
        <v>1186</v>
      </c>
      <c r="AX367" s="3">
        <v>172677.35</v>
      </c>
      <c r="AY367" s="3">
        <v>1.8</v>
      </c>
      <c r="AZ367" s="4">
        <v>1082</v>
      </c>
      <c r="BA367" s="6">
        <v>600</v>
      </c>
      <c r="BB367" t="s">
        <v>84</v>
      </c>
      <c r="BD367" s="3">
        <v>1.64</v>
      </c>
      <c r="BE367" s="4">
        <v>1230</v>
      </c>
      <c r="BF367" s="1">
        <v>750</v>
      </c>
      <c r="BG367" s="1">
        <v>80</v>
      </c>
      <c r="BH367" s="1">
        <v>142</v>
      </c>
      <c r="BI367" s="1">
        <v>28</v>
      </c>
    </row>
    <row r="368" spans="1:64" x14ac:dyDescent="0.25">
      <c r="A368" t="s">
        <v>3661</v>
      </c>
      <c r="B368" t="s">
        <v>3662</v>
      </c>
      <c r="C368" s="4">
        <f>(AA368*(H368*0.9))*12</f>
        <v>4562978.4000000004</v>
      </c>
      <c r="D368" s="4">
        <f>IF(C368=0,"",(H368*150*12)+C368)</f>
        <v>5106578.4000000004</v>
      </c>
      <c r="E368" s="4">
        <f>IFERROR(D368*0.5,"")</f>
        <v>2553289.2000000002</v>
      </c>
      <c r="F368" s="4">
        <f>IFERROR(E368/0.06,"")</f>
        <v>42554820.000000007</v>
      </c>
      <c r="G368" s="4">
        <f>IFERROR(F368/H368,"")</f>
        <v>140910.00000000003</v>
      </c>
      <c r="H368" s="1">
        <v>302</v>
      </c>
      <c r="I368" s="1">
        <v>1992</v>
      </c>
      <c r="J368" t="s">
        <v>64</v>
      </c>
      <c r="K368" t="s">
        <v>140</v>
      </c>
      <c r="L368" t="s">
        <v>3663</v>
      </c>
      <c r="M368" t="s">
        <v>3664</v>
      </c>
      <c r="N368" t="s">
        <v>3665</v>
      </c>
      <c r="O368" t="s">
        <v>3663</v>
      </c>
      <c r="P368" s="1">
        <v>3</v>
      </c>
      <c r="Q368" t="s">
        <v>91</v>
      </c>
      <c r="R368" t="s">
        <v>70</v>
      </c>
      <c r="S368" t="s">
        <v>71</v>
      </c>
      <c r="U368" t="s">
        <v>72</v>
      </c>
      <c r="V368" t="s">
        <v>140</v>
      </c>
      <c r="W368" t="s">
        <v>74</v>
      </c>
      <c r="X368" t="s">
        <v>1351</v>
      </c>
      <c r="Y368" s="2">
        <v>810</v>
      </c>
      <c r="Z368" s="3">
        <v>1.73</v>
      </c>
      <c r="AA368" s="4">
        <v>1399</v>
      </c>
      <c r="AK368" s="5">
        <v>8.6092999999999993</v>
      </c>
      <c r="AM368" s="1">
        <v>2011</v>
      </c>
      <c r="AN368" s="1">
        <v>3</v>
      </c>
      <c r="AO368" t="s">
        <v>81</v>
      </c>
      <c r="AP368" t="s">
        <v>82</v>
      </c>
      <c r="AQ368" t="s">
        <v>83</v>
      </c>
      <c r="AR368" s="3">
        <v>1.53</v>
      </c>
      <c r="AS368" s="4">
        <v>1695</v>
      </c>
      <c r="AT368" s="1">
        <v>1110</v>
      </c>
      <c r="AX368" s="3">
        <v>819143.2</v>
      </c>
      <c r="BB368" t="s">
        <v>84</v>
      </c>
      <c r="BD368" s="3">
        <v>1.79</v>
      </c>
      <c r="BE368" s="4">
        <v>1340</v>
      </c>
      <c r="BF368" s="1">
        <v>751</v>
      </c>
      <c r="BG368" s="1">
        <v>252</v>
      </c>
      <c r="BH368" s="1">
        <v>50</v>
      </c>
      <c r="BK368" t="s">
        <v>261</v>
      </c>
      <c r="BL368" t="s">
        <v>104</v>
      </c>
    </row>
    <row r="369" spans="1:64" x14ac:dyDescent="0.25">
      <c r="A369" t="s">
        <v>2241</v>
      </c>
      <c r="B369" t="s">
        <v>2242</v>
      </c>
      <c r="C369" s="4">
        <f>(AA369*(H369*0.9))*12</f>
        <v>6894720</v>
      </c>
      <c r="D369" s="4">
        <f>IF(C369=0,"",(H369*150*12)+C369)</f>
        <v>7715520</v>
      </c>
      <c r="E369" s="4">
        <f>IFERROR(D369*0.5,"")</f>
        <v>3857760</v>
      </c>
      <c r="F369" s="4">
        <f>IFERROR(E369/0.06,"")</f>
        <v>64296000</v>
      </c>
      <c r="G369" s="4">
        <f>IFERROR(F369/H369,"")</f>
        <v>141000</v>
      </c>
      <c r="H369" s="1">
        <v>456</v>
      </c>
      <c r="I369" s="1">
        <v>1998</v>
      </c>
      <c r="J369" t="s">
        <v>64</v>
      </c>
      <c r="K369" t="s">
        <v>660</v>
      </c>
      <c r="L369" t="s">
        <v>2243</v>
      </c>
      <c r="M369" t="s">
        <v>2244</v>
      </c>
      <c r="N369" t="s">
        <v>2245</v>
      </c>
      <c r="O369" t="s">
        <v>2243</v>
      </c>
      <c r="P369" s="1">
        <v>4</v>
      </c>
      <c r="Q369" t="s">
        <v>729</v>
      </c>
      <c r="R369" t="s">
        <v>70</v>
      </c>
      <c r="S369" t="s">
        <v>71</v>
      </c>
      <c r="U369" t="s">
        <v>72</v>
      </c>
      <c r="V369" t="s">
        <v>1012</v>
      </c>
      <c r="W369" t="s">
        <v>74</v>
      </c>
      <c r="X369" t="s">
        <v>2246</v>
      </c>
      <c r="Y369" s="2">
        <v>956</v>
      </c>
      <c r="Z369" s="3">
        <v>1.46</v>
      </c>
      <c r="AA369" s="4">
        <v>1400</v>
      </c>
      <c r="AK369" s="5">
        <v>11.184200000000001</v>
      </c>
      <c r="AM369" s="1">
        <v>2005</v>
      </c>
      <c r="AN369" s="1">
        <v>3</v>
      </c>
      <c r="AO369" t="s">
        <v>81</v>
      </c>
      <c r="AP369" t="s">
        <v>82</v>
      </c>
      <c r="AQ369" t="s">
        <v>83</v>
      </c>
      <c r="AR369" s="3">
        <v>1.43</v>
      </c>
      <c r="AS369" s="4">
        <v>1549</v>
      </c>
      <c r="AT369" s="1">
        <v>1087</v>
      </c>
      <c r="AU369" s="3">
        <v>1.49</v>
      </c>
      <c r="AV369" s="4">
        <v>1875</v>
      </c>
      <c r="AW369" s="1">
        <v>1262</v>
      </c>
      <c r="AX369" s="3">
        <v>1311815.49</v>
      </c>
      <c r="BB369" t="s">
        <v>84</v>
      </c>
      <c r="BD369" s="3">
        <v>1.52</v>
      </c>
      <c r="BE369" s="4">
        <v>1113</v>
      </c>
      <c r="BF369" s="1">
        <v>734</v>
      </c>
      <c r="BG369" s="1">
        <v>192</v>
      </c>
      <c r="BH369" s="1">
        <v>216</v>
      </c>
      <c r="BI369" s="1">
        <v>48</v>
      </c>
      <c r="BK369" t="s">
        <v>2247</v>
      </c>
      <c r="BL369" t="s">
        <v>104</v>
      </c>
    </row>
    <row r="370" spans="1:64" x14ac:dyDescent="0.25">
      <c r="A370" t="s">
        <v>4097</v>
      </c>
      <c r="B370" t="s">
        <v>4098</v>
      </c>
      <c r="C370" s="4">
        <f>(AA370*(H370*0.9))*12</f>
        <v>3931200</v>
      </c>
      <c r="D370" s="4">
        <f>IF(C370=0,"",(H370*150*12)+C370)</f>
        <v>4399200</v>
      </c>
      <c r="E370" s="4">
        <f>IFERROR(D370*0.5,"")</f>
        <v>2199600</v>
      </c>
      <c r="F370" s="4">
        <f>IFERROR(E370/0.06,"")</f>
        <v>36660000</v>
      </c>
      <c r="G370" s="4">
        <f>IFERROR(F370/H370,"")</f>
        <v>141000</v>
      </c>
      <c r="H370" s="1">
        <v>260</v>
      </c>
      <c r="I370" s="1">
        <v>1996</v>
      </c>
      <c r="J370" t="s">
        <v>64</v>
      </c>
      <c r="K370" t="s">
        <v>123</v>
      </c>
      <c r="L370" t="s">
        <v>2557</v>
      </c>
      <c r="M370" t="s">
        <v>4099</v>
      </c>
      <c r="N370" t="s">
        <v>4100</v>
      </c>
      <c r="O370" t="s">
        <v>2557</v>
      </c>
      <c r="P370" s="1">
        <v>4</v>
      </c>
      <c r="Q370" t="s">
        <v>91</v>
      </c>
      <c r="R370" t="s">
        <v>70</v>
      </c>
      <c r="S370" t="s">
        <v>71</v>
      </c>
      <c r="U370" t="s">
        <v>72</v>
      </c>
      <c r="V370" t="s">
        <v>129</v>
      </c>
      <c r="W370" t="s">
        <v>74</v>
      </c>
      <c r="X370" t="s">
        <v>130</v>
      </c>
      <c r="Y370" s="2">
        <v>928</v>
      </c>
      <c r="Z370" s="3">
        <v>1.51</v>
      </c>
      <c r="AA370" s="4">
        <v>1400</v>
      </c>
      <c r="AK370" s="5">
        <v>4.6154000000000002</v>
      </c>
      <c r="AN370" s="1">
        <v>3</v>
      </c>
      <c r="AO370" t="s">
        <v>81</v>
      </c>
      <c r="AP370" t="s">
        <v>82</v>
      </c>
      <c r="AQ370" t="s">
        <v>83</v>
      </c>
      <c r="AR370" s="3">
        <v>1.43</v>
      </c>
      <c r="AS370" s="4">
        <v>1553</v>
      </c>
      <c r="AT370" s="1">
        <v>1084</v>
      </c>
      <c r="AU370" s="3">
        <v>1.51</v>
      </c>
      <c r="AV370" s="4">
        <v>1934</v>
      </c>
      <c r="AW370" s="1">
        <v>1279</v>
      </c>
      <c r="AX370" s="3">
        <v>608988.66</v>
      </c>
      <c r="BB370" t="s">
        <v>84</v>
      </c>
      <c r="BD370" s="3">
        <v>1.56</v>
      </c>
      <c r="BE370" s="4">
        <v>1231</v>
      </c>
      <c r="BF370" s="1">
        <v>787</v>
      </c>
      <c r="BG370" s="1">
        <v>152</v>
      </c>
      <c r="BH370" s="1">
        <v>84</v>
      </c>
      <c r="BI370" s="1">
        <v>24</v>
      </c>
      <c r="BK370" t="s">
        <v>635</v>
      </c>
      <c r="BL370" t="s">
        <v>104</v>
      </c>
    </row>
    <row r="371" spans="1:64" x14ac:dyDescent="0.25">
      <c r="A371" t="s">
        <v>1892</v>
      </c>
      <c r="B371" t="s">
        <v>1893</v>
      </c>
      <c r="C371" s="4">
        <f>(AA371*(H371*0.9))*12</f>
        <v>7824211.2000000011</v>
      </c>
      <c r="D371" s="4">
        <f>IF(C371=0,"",(H371*150*12)+C371)</f>
        <v>8753011.2000000011</v>
      </c>
      <c r="E371" s="4">
        <f>IFERROR(D371*0.5,"")</f>
        <v>4376505.6000000006</v>
      </c>
      <c r="F371" s="4">
        <f>IFERROR(E371/0.06,"")</f>
        <v>72941760.000000015</v>
      </c>
      <c r="G371" s="4">
        <f>IFERROR(F371/H371,"")</f>
        <v>141360.00000000003</v>
      </c>
      <c r="H371" s="1">
        <v>516</v>
      </c>
      <c r="I371" s="1">
        <v>1986</v>
      </c>
      <c r="J371" t="s">
        <v>64</v>
      </c>
      <c r="K371" t="s">
        <v>1133</v>
      </c>
      <c r="L371" t="s">
        <v>1894</v>
      </c>
      <c r="M371" t="s">
        <v>1895</v>
      </c>
      <c r="N371" t="s">
        <v>1896</v>
      </c>
      <c r="O371" t="s">
        <v>1894</v>
      </c>
      <c r="P371" s="1">
        <v>3</v>
      </c>
      <c r="Q371" t="s">
        <v>91</v>
      </c>
      <c r="R371" t="s">
        <v>70</v>
      </c>
      <c r="S371" t="s">
        <v>71</v>
      </c>
      <c r="U371" t="s">
        <v>72</v>
      </c>
      <c r="V371" t="s">
        <v>264</v>
      </c>
      <c r="W371" t="s">
        <v>74</v>
      </c>
      <c r="X371" t="s">
        <v>1897</v>
      </c>
      <c r="Y371" s="2">
        <v>764</v>
      </c>
      <c r="Z371" s="3">
        <v>1.83</v>
      </c>
      <c r="AA371" s="4">
        <v>1404</v>
      </c>
      <c r="AK371" s="5">
        <v>9.3023000000000007</v>
      </c>
      <c r="AN371" s="1">
        <v>2</v>
      </c>
      <c r="AO371" t="s">
        <v>81</v>
      </c>
      <c r="AP371" t="s">
        <v>82</v>
      </c>
      <c r="AQ371" t="s">
        <v>83</v>
      </c>
      <c r="AR371" s="3">
        <v>1.76</v>
      </c>
      <c r="AS371" s="4">
        <v>1844</v>
      </c>
      <c r="AT371" s="1">
        <v>1047</v>
      </c>
      <c r="AU371" s="3">
        <v>1.68</v>
      </c>
      <c r="AV371" s="4">
        <v>2183</v>
      </c>
      <c r="AW371" s="1">
        <v>1300</v>
      </c>
      <c r="AX371" s="3">
        <v>1805604.07</v>
      </c>
      <c r="BB371" t="s">
        <v>84</v>
      </c>
      <c r="BD371" s="3">
        <v>1.88</v>
      </c>
      <c r="BE371" s="4">
        <v>1232</v>
      </c>
      <c r="BF371" s="1">
        <v>655</v>
      </c>
      <c r="BG371" s="1">
        <v>376</v>
      </c>
      <c r="BH371" s="1">
        <v>132</v>
      </c>
      <c r="BI371" s="1">
        <v>8</v>
      </c>
      <c r="BK371" t="s">
        <v>174</v>
      </c>
      <c r="BL371" t="s">
        <v>131</v>
      </c>
    </row>
    <row r="372" spans="1:64" x14ac:dyDescent="0.25">
      <c r="A372" t="s">
        <v>2784</v>
      </c>
      <c r="B372" t="s">
        <v>2785</v>
      </c>
      <c r="C372" s="4">
        <f>(AA372*(H372*0.9))*12</f>
        <v>3034800</v>
      </c>
      <c r="D372" s="4">
        <f>IF(C372=0,"",(H372*150*12)+C372)</f>
        <v>3394800</v>
      </c>
      <c r="E372" s="4">
        <f>IFERROR(D372*0.5,"")</f>
        <v>1697400</v>
      </c>
      <c r="F372" s="4">
        <f>IFERROR(E372/0.06,"")</f>
        <v>28290000</v>
      </c>
      <c r="G372" s="4">
        <f>IFERROR(F372/H372,"")</f>
        <v>141450</v>
      </c>
      <c r="H372" s="1">
        <v>200</v>
      </c>
      <c r="I372" s="1">
        <v>1999</v>
      </c>
      <c r="J372" t="s">
        <v>64</v>
      </c>
      <c r="K372" t="s">
        <v>725</v>
      </c>
      <c r="L372" t="s">
        <v>2786</v>
      </c>
      <c r="M372" t="s">
        <v>2787</v>
      </c>
      <c r="N372" t="s">
        <v>2788</v>
      </c>
      <c r="O372" t="s">
        <v>2786</v>
      </c>
      <c r="P372" s="1">
        <v>3</v>
      </c>
      <c r="Q372" t="s">
        <v>91</v>
      </c>
      <c r="R372" t="s">
        <v>70</v>
      </c>
      <c r="S372" t="s">
        <v>71</v>
      </c>
      <c r="U372" t="s">
        <v>72</v>
      </c>
      <c r="V372" t="s">
        <v>73</v>
      </c>
      <c r="W372" t="s">
        <v>74</v>
      </c>
      <c r="X372" t="s">
        <v>730</v>
      </c>
      <c r="Y372" s="2">
        <v>1016</v>
      </c>
      <c r="Z372" s="3">
        <v>1.38</v>
      </c>
      <c r="AA372" s="4">
        <v>1405</v>
      </c>
      <c r="AK372" s="5">
        <v>4</v>
      </c>
      <c r="AN372" s="1">
        <v>3</v>
      </c>
      <c r="AO372" t="s">
        <v>81</v>
      </c>
      <c r="AP372" t="s">
        <v>82</v>
      </c>
      <c r="AQ372" t="s">
        <v>83</v>
      </c>
      <c r="AR372" s="3">
        <v>1.34</v>
      </c>
      <c r="AS372" s="4">
        <v>1515</v>
      </c>
      <c r="AT372" s="1">
        <v>1134</v>
      </c>
      <c r="AU372" s="3">
        <v>1.51</v>
      </c>
      <c r="AV372" s="4">
        <v>1995</v>
      </c>
      <c r="AW372" s="1">
        <v>1325</v>
      </c>
      <c r="AX372" s="3">
        <v>545946.41</v>
      </c>
      <c r="BB372" t="s">
        <v>84</v>
      </c>
      <c r="BD372" s="3">
        <v>1.41</v>
      </c>
      <c r="BE372" s="4">
        <v>1075</v>
      </c>
      <c r="BF372" s="1">
        <v>760</v>
      </c>
      <c r="BG372" s="1">
        <v>74</v>
      </c>
      <c r="BH372" s="1">
        <v>104</v>
      </c>
      <c r="BI372" s="1">
        <v>22</v>
      </c>
    </row>
    <row r="373" spans="1:64" x14ac:dyDescent="0.25">
      <c r="A373" t="s">
        <v>1003</v>
      </c>
      <c r="B373" t="s">
        <v>1004</v>
      </c>
      <c r="C373" s="4">
        <f>(AA373*(H373*0.9))*12</f>
        <v>3160684.8000000003</v>
      </c>
      <c r="D373" s="4">
        <f>IF(C373=0,"",(H373*150*12)+C373)</f>
        <v>3535084.8000000003</v>
      </c>
      <c r="E373" s="4">
        <f>IFERROR(D373*0.5,"")</f>
        <v>1767542.4000000001</v>
      </c>
      <c r="F373" s="4">
        <f>IFERROR(E373/0.06,"")</f>
        <v>29459040.000000004</v>
      </c>
      <c r="G373" s="4">
        <f>IFERROR(F373/H373,"")</f>
        <v>141630.00000000003</v>
      </c>
      <c r="H373" s="1">
        <v>208</v>
      </c>
      <c r="I373" s="1">
        <v>1985</v>
      </c>
      <c r="J373" t="s">
        <v>64</v>
      </c>
      <c r="K373" t="s">
        <v>140</v>
      </c>
      <c r="L373" t="s">
        <v>1005</v>
      </c>
      <c r="M373" t="s">
        <v>1006</v>
      </c>
      <c r="O373" t="s">
        <v>1005</v>
      </c>
      <c r="P373" s="1">
        <v>3</v>
      </c>
      <c r="Q373" t="s">
        <v>91</v>
      </c>
      <c r="R373" t="s">
        <v>70</v>
      </c>
      <c r="S373" t="s">
        <v>71</v>
      </c>
      <c r="U373" t="s">
        <v>72</v>
      </c>
      <c r="V373" t="s">
        <v>134</v>
      </c>
      <c r="W373" t="s">
        <v>74</v>
      </c>
      <c r="X373" t="s">
        <v>1007</v>
      </c>
      <c r="Y373" s="2">
        <v>855</v>
      </c>
      <c r="Z373" s="3">
        <v>1.64</v>
      </c>
      <c r="AA373" s="4">
        <v>1407</v>
      </c>
      <c r="AK373" s="5">
        <v>7.2115</v>
      </c>
      <c r="AN373" s="1">
        <v>2</v>
      </c>
      <c r="AO373" t="s">
        <v>81</v>
      </c>
      <c r="AP373" t="s">
        <v>82</v>
      </c>
      <c r="AQ373" t="s">
        <v>83</v>
      </c>
      <c r="AR373" s="3">
        <v>1.61</v>
      </c>
      <c r="AS373" s="4">
        <v>1494</v>
      </c>
      <c r="AT373" s="1">
        <v>926</v>
      </c>
      <c r="AX373" s="3">
        <v>0</v>
      </c>
      <c r="BB373" t="s">
        <v>84</v>
      </c>
      <c r="BD373" s="3">
        <v>1.71</v>
      </c>
      <c r="BE373" s="4">
        <v>1267</v>
      </c>
      <c r="BF373" s="1">
        <v>743</v>
      </c>
      <c r="BG373" s="1">
        <v>80</v>
      </c>
      <c r="BH373" s="1">
        <v>128</v>
      </c>
    </row>
    <row r="374" spans="1:64" x14ac:dyDescent="0.25">
      <c r="A374" t="s">
        <v>3565</v>
      </c>
      <c r="B374" t="s">
        <v>3566</v>
      </c>
      <c r="C374" s="4">
        <f>(AA374*(H374*0.9))*12</f>
        <v>3160684.8000000003</v>
      </c>
      <c r="D374" s="4">
        <f>IF(C374=0,"",(H374*150*12)+C374)</f>
        <v>3535084.8000000003</v>
      </c>
      <c r="E374" s="4">
        <f>IFERROR(D374*0.5,"")</f>
        <v>1767542.4000000001</v>
      </c>
      <c r="F374" s="4">
        <f>IFERROR(E374/0.06,"")</f>
        <v>29459040.000000004</v>
      </c>
      <c r="G374" s="4">
        <f>IFERROR(F374/H374,"")</f>
        <v>141630.00000000003</v>
      </c>
      <c r="H374" s="1">
        <v>208</v>
      </c>
      <c r="I374" s="1">
        <v>1998</v>
      </c>
      <c r="J374" t="s">
        <v>64</v>
      </c>
      <c r="K374" t="s">
        <v>660</v>
      </c>
      <c r="L374" t="s">
        <v>3567</v>
      </c>
      <c r="M374" t="s">
        <v>3568</v>
      </c>
      <c r="N374" t="s">
        <v>3569</v>
      </c>
      <c r="O374" t="s">
        <v>3567</v>
      </c>
      <c r="P374" s="1">
        <v>4</v>
      </c>
      <c r="Q374" t="s">
        <v>91</v>
      </c>
      <c r="R374" t="s">
        <v>70</v>
      </c>
      <c r="S374" t="s">
        <v>71</v>
      </c>
      <c r="U374" t="s">
        <v>72</v>
      </c>
      <c r="V374" t="s">
        <v>664</v>
      </c>
      <c r="W374" t="s">
        <v>74</v>
      </c>
      <c r="X374" t="s">
        <v>3570</v>
      </c>
      <c r="Y374" s="2">
        <v>945</v>
      </c>
      <c r="Z374" s="3">
        <v>1.49</v>
      </c>
      <c r="AA374" s="4">
        <v>1407</v>
      </c>
      <c r="AK374" s="5">
        <v>5.7691999999999997</v>
      </c>
      <c r="AN374" s="1">
        <v>2</v>
      </c>
      <c r="AO374" t="s">
        <v>81</v>
      </c>
      <c r="AP374" t="s">
        <v>82</v>
      </c>
      <c r="AQ374" t="s">
        <v>83</v>
      </c>
      <c r="AR374" s="3">
        <v>1.35</v>
      </c>
      <c r="AS374" s="4">
        <v>1534</v>
      </c>
      <c r="AT374" s="1">
        <v>1138</v>
      </c>
      <c r="AU374" s="3">
        <v>1.46</v>
      </c>
      <c r="AV374" s="4">
        <v>2001</v>
      </c>
      <c r="AW374" s="1">
        <v>1370</v>
      </c>
      <c r="AX374" s="3">
        <v>501431.19</v>
      </c>
      <c r="BB374" t="s">
        <v>84</v>
      </c>
      <c r="BD374" s="3">
        <v>1.73</v>
      </c>
      <c r="BE374" s="4">
        <v>1182</v>
      </c>
      <c r="BF374" s="1">
        <v>684</v>
      </c>
      <c r="BG374" s="1">
        <v>96</v>
      </c>
      <c r="BH374" s="1">
        <v>96</v>
      </c>
      <c r="BI374" s="1">
        <v>16</v>
      </c>
      <c r="BK374" t="s">
        <v>1299</v>
      </c>
      <c r="BL374" t="s">
        <v>104</v>
      </c>
    </row>
    <row r="375" spans="1:64" x14ac:dyDescent="0.25">
      <c r="A375" t="s">
        <v>3767</v>
      </c>
      <c r="B375" t="s">
        <v>3768</v>
      </c>
      <c r="C375" s="4">
        <f>(AA375*(H375*0.9))*12</f>
        <v>3768508.8000000003</v>
      </c>
      <c r="D375" s="4">
        <f>IF(C375=0,"",(H375*150*12)+C375)</f>
        <v>4214908.8000000007</v>
      </c>
      <c r="E375" s="4">
        <f>IFERROR(D375*0.5,"")</f>
        <v>2107454.4000000004</v>
      </c>
      <c r="F375" s="4">
        <f>IFERROR(E375/0.06,"")</f>
        <v>35124240.000000007</v>
      </c>
      <c r="G375" s="4">
        <f>IFERROR(F375/H375,"")</f>
        <v>141630.00000000003</v>
      </c>
      <c r="H375" s="1">
        <v>248</v>
      </c>
      <c r="I375" s="1">
        <v>1998</v>
      </c>
      <c r="J375" t="s">
        <v>64</v>
      </c>
      <c r="K375" t="s">
        <v>3758</v>
      </c>
      <c r="L375" t="s">
        <v>2358</v>
      </c>
      <c r="M375" t="s">
        <v>3769</v>
      </c>
      <c r="N375" t="s">
        <v>3770</v>
      </c>
      <c r="O375" t="s">
        <v>2358</v>
      </c>
      <c r="P375" s="1">
        <v>3</v>
      </c>
      <c r="Q375" t="s">
        <v>91</v>
      </c>
      <c r="R375" t="s">
        <v>70</v>
      </c>
      <c r="S375" t="s">
        <v>71</v>
      </c>
      <c r="U375" t="s">
        <v>72</v>
      </c>
      <c r="V375" t="s">
        <v>152</v>
      </c>
      <c r="W375" t="s">
        <v>74</v>
      </c>
      <c r="X375" t="s">
        <v>406</v>
      </c>
      <c r="Y375" s="2">
        <v>994</v>
      </c>
      <c r="Z375" s="3">
        <v>1.41</v>
      </c>
      <c r="AA375" s="4">
        <v>1407</v>
      </c>
      <c r="AK375" s="5">
        <v>6.8548</v>
      </c>
      <c r="AN375" s="1">
        <v>3</v>
      </c>
      <c r="AO375" t="s">
        <v>81</v>
      </c>
      <c r="AP375" t="s">
        <v>82</v>
      </c>
      <c r="AQ375" t="s">
        <v>83</v>
      </c>
      <c r="AR375" s="3">
        <v>1.28</v>
      </c>
      <c r="AS375" s="4">
        <v>1460</v>
      </c>
      <c r="AT375" s="1">
        <v>1140</v>
      </c>
      <c r="AU375" s="3">
        <v>1.02</v>
      </c>
      <c r="AV375" s="4">
        <v>1527</v>
      </c>
      <c r="AW375" s="1">
        <v>1493</v>
      </c>
      <c r="AX375" s="3">
        <v>960198.33</v>
      </c>
      <c r="BB375" t="s">
        <v>84</v>
      </c>
      <c r="BD375" s="3">
        <v>1.8</v>
      </c>
      <c r="BE375" s="4">
        <v>1329</v>
      </c>
      <c r="BF375" s="1">
        <v>739</v>
      </c>
      <c r="BG375" s="1">
        <v>118</v>
      </c>
      <c r="BH375" s="1">
        <v>98</v>
      </c>
      <c r="BI375" s="1">
        <v>32</v>
      </c>
      <c r="BL375" t="s">
        <v>131</v>
      </c>
    </row>
    <row r="376" spans="1:64" x14ac:dyDescent="0.25">
      <c r="A376" t="s">
        <v>2356</v>
      </c>
      <c r="B376" t="s">
        <v>2357</v>
      </c>
      <c r="C376" s="4">
        <f>(AA376*(H376*0.9))*12</f>
        <v>4379443.1999999993</v>
      </c>
      <c r="D376" s="4">
        <f>IF(C376=0,"",(H376*150*12)+C376)</f>
        <v>4897843.1999999993</v>
      </c>
      <c r="E376" s="4">
        <f>IFERROR(D376*0.5,"")</f>
        <v>2448921.5999999996</v>
      </c>
      <c r="F376" s="4">
        <f>IFERROR(E376/0.06,"")</f>
        <v>40815359.999999993</v>
      </c>
      <c r="G376" s="4">
        <f>IFERROR(F376/H376,"")</f>
        <v>141719.99999999997</v>
      </c>
      <c r="H376" s="1">
        <v>288</v>
      </c>
      <c r="I376" s="1">
        <v>1999</v>
      </c>
      <c r="J376" t="s">
        <v>64</v>
      </c>
      <c r="K376" t="s">
        <v>259</v>
      </c>
      <c r="L376" t="s">
        <v>2358</v>
      </c>
      <c r="M376" t="s">
        <v>2359</v>
      </c>
      <c r="N376" t="s">
        <v>2360</v>
      </c>
      <c r="O376" t="s">
        <v>2358</v>
      </c>
      <c r="P376" s="1">
        <v>3</v>
      </c>
      <c r="Q376" t="s">
        <v>91</v>
      </c>
      <c r="R376" t="s">
        <v>70</v>
      </c>
      <c r="S376" t="s">
        <v>71</v>
      </c>
      <c r="U376" t="s">
        <v>72</v>
      </c>
      <c r="V376" t="s">
        <v>152</v>
      </c>
      <c r="W376" t="s">
        <v>74</v>
      </c>
      <c r="X376" t="s">
        <v>2361</v>
      </c>
      <c r="Y376" s="2">
        <v>980</v>
      </c>
      <c r="Z376" s="3">
        <v>1.44</v>
      </c>
      <c r="AA376" s="4">
        <v>1408</v>
      </c>
      <c r="AK376" s="5">
        <v>4.8611000000000004</v>
      </c>
      <c r="AN376" s="1">
        <v>3</v>
      </c>
      <c r="AO376" t="s">
        <v>81</v>
      </c>
      <c r="AP376" t="s">
        <v>82</v>
      </c>
      <c r="AQ376" t="s">
        <v>83</v>
      </c>
      <c r="AR376" s="3">
        <v>1.32</v>
      </c>
      <c r="AS376" s="4">
        <v>1441</v>
      </c>
      <c r="AT376" s="1">
        <v>1096</v>
      </c>
      <c r="AU376" s="3">
        <v>1.49</v>
      </c>
      <c r="AV376" s="4">
        <v>1882</v>
      </c>
      <c r="AW376" s="1">
        <v>1262</v>
      </c>
      <c r="AX376" s="3">
        <v>1198846.56</v>
      </c>
      <c r="BB376" t="s">
        <v>84</v>
      </c>
      <c r="BD376" s="3">
        <v>1.64</v>
      </c>
      <c r="BE376" s="4">
        <v>1205</v>
      </c>
      <c r="BF376" s="1">
        <v>733</v>
      </c>
      <c r="BG376" s="1">
        <v>108</v>
      </c>
      <c r="BH376" s="1">
        <v>144</v>
      </c>
      <c r="BI376" s="1">
        <v>36</v>
      </c>
    </row>
    <row r="377" spans="1:64" x14ac:dyDescent="0.25">
      <c r="A377" t="s">
        <v>2406</v>
      </c>
      <c r="B377" t="s">
        <v>2407</v>
      </c>
      <c r="C377" s="4">
        <f>(AA377*(H377*0.9))*12</f>
        <v>3532896</v>
      </c>
      <c r="D377" s="4">
        <f>IF(C377=0,"",(H377*150*12)+C377)</f>
        <v>3950496</v>
      </c>
      <c r="E377" s="4">
        <f>IFERROR(D377*0.5,"")</f>
        <v>1975248</v>
      </c>
      <c r="F377" s="4">
        <f>IFERROR(E377/0.06,"")</f>
        <v>32920800</v>
      </c>
      <c r="G377" s="4">
        <f>IFERROR(F377/H377,"")</f>
        <v>141900</v>
      </c>
      <c r="H377" s="1">
        <v>232</v>
      </c>
      <c r="I377" s="1">
        <v>2000</v>
      </c>
      <c r="J377" t="s">
        <v>64</v>
      </c>
      <c r="K377" t="s">
        <v>97</v>
      </c>
      <c r="L377" t="s">
        <v>1883</v>
      </c>
      <c r="M377" t="s">
        <v>2408</v>
      </c>
      <c r="N377" t="s">
        <v>2409</v>
      </c>
      <c r="O377" t="s">
        <v>1883</v>
      </c>
      <c r="P377" s="1">
        <v>4</v>
      </c>
      <c r="Q377" t="s">
        <v>729</v>
      </c>
      <c r="R377" t="s">
        <v>70</v>
      </c>
      <c r="S377" t="s">
        <v>71</v>
      </c>
      <c r="U377" t="s">
        <v>72</v>
      </c>
      <c r="V377" t="s">
        <v>73</v>
      </c>
      <c r="W377" t="s">
        <v>74</v>
      </c>
      <c r="X377" t="s">
        <v>2410</v>
      </c>
      <c r="Y377" s="2">
        <v>800</v>
      </c>
      <c r="Z377" s="3">
        <v>1.76</v>
      </c>
      <c r="AA377" s="4">
        <v>1410</v>
      </c>
      <c r="AK377" s="5">
        <v>0.86209999999999998</v>
      </c>
      <c r="AN377" s="1">
        <v>3</v>
      </c>
      <c r="AO377" t="s">
        <v>81</v>
      </c>
      <c r="AP377" t="s">
        <v>82</v>
      </c>
      <c r="AQ377" t="s">
        <v>83</v>
      </c>
      <c r="AR377" s="3">
        <v>1.77</v>
      </c>
      <c r="AS377" s="4">
        <v>1798</v>
      </c>
      <c r="AT377" s="1">
        <v>1019</v>
      </c>
      <c r="AX377" s="3">
        <v>683128.79</v>
      </c>
      <c r="BB377" t="s">
        <v>84</v>
      </c>
      <c r="BD377" s="3">
        <v>1.77</v>
      </c>
      <c r="BE377" s="4">
        <v>1269</v>
      </c>
      <c r="BF377" s="1">
        <v>718</v>
      </c>
      <c r="BG377" s="1">
        <v>168</v>
      </c>
      <c r="BH377" s="1">
        <v>64</v>
      </c>
      <c r="BL377" t="s">
        <v>131</v>
      </c>
    </row>
    <row r="378" spans="1:64" x14ac:dyDescent="0.25">
      <c r="A378" t="s">
        <v>2706</v>
      </c>
      <c r="B378" t="s">
        <v>2707</v>
      </c>
      <c r="C378" s="4">
        <f>(AA378*(H378*0.9))*12</f>
        <v>3167424</v>
      </c>
      <c r="D378" s="4">
        <f>IF(C378=0,"",(H378*150*12)+C378)</f>
        <v>3541824</v>
      </c>
      <c r="E378" s="4">
        <f>IFERROR(D378*0.5,"")</f>
        <v>1770912</v>
      </c>
      <c r="F378" s="4">
        <f>IFERROR(E378/0.06,"")</f>
        <v>29515200</v>
      </c>
      <c r="G378" s="4">
        <f>IFERROR(F378/H378,"")</f>
        <v>141900</v>
      </c>
      <c r="H378" s="1">
        <v>208</v>
      </c>
      <c r="I378" s="1">
        <v>1996</v>
      </c>
      <c r="J378" t="s">
        <v>64</v>
      </c>
      <c r="K378" t="s">
        <v>660</v>
      </c>
      <c r="L378" t="s">
        <v>2708</v>
      </c>
      <c r="M378" t="s">
        <v>2709</v>
      </c>
      <c r="N378" t="s">
        <v>2710</v>
      </c>
      <c r="O378" t="s">
        <v>2708</v>
      </c>
      <c r="P378" s="1">
        <v>3</v>
      </c>
      <c r="Q378" t="s">
        <v>91</v>
      </c>
      <c r="R378" t="s">
        <v>70</v>
      </c>
      <c r="S378" t="s">
        <v>71</v>
      </c>
      <c r="U378" t="s">
        <v>72</v>
      </c>
      <c r="V378" t="s">
        <v>664</v>
      </c>
      <c r="W378" t="s">
        <v>74</v>
      </c>
      <c r="X378" t="s">
        <v>2711</v>
      </c>
      <c r="Y378" s="2">
        <v>876</v>
      </c>
      <c r="Z378" s="3">
        <v>1.61</v>
      </c>
      <c r="AA378" s="4">
        <v>1410</v>
      </c>
      <c r="AK378" s="5">
        <v>8.1730999999999998</v>
      </c>
      <c r="AN378" s="1">
        <v>2</v>
      </c>
      <c r="AO378" t="s">
        <v>81</v>
      </c>
      <c r="AP378" t="s">
        <v>82</v>
      </c>
      <c r="AQ378" t="s">
        <v>83</v>
      </c>
      <c r="AR378" s="3">
        <v>1.44</v>
      </c>
      <c r="AS378" s="4">
        <v>1501</v>
      </c>
      <c r="AT378" s="1">
        <v>1046</v>
      </c>
      <c r="AU378" s="3">
        <v>1.56</v>
      </c>
      <c r="AV378" s="4">
        <v>1855</v>
      </c>
      <c r="AW378" s="1">
        <v>1190</v>
      </c>
      <c r="AX378" s="3">
        <v>530141.21</v>
      </c>
      <c r="BB378" t="s">
        <v>84</v>
      </c>
      <c r="BD378" s="3">
        <v>1.9</v>
      </c>
      <c r="BE378" s="4">
        <v>1246</v>
      </c>
      <c r="BF378" s="1">
        <v>655</v>
      </c>
      <c r="BG378" s="1">
        <v>96</v>
      </c>
      <c r="BH378" s="1">
        <v>96</v>
      </c>
      <c r="BI378" s="1">
        <v>16</v>
      </c>
      <c r="BL378" t="s">
        <v>94</v>
      </c>
    </row>
    <row r="379" spans="1:64" x14ac:dyDescent="0.25">
      <c r="A379" t="s">
        <v>3787</v>
      </c>
      <c r="B379" t="s">
        <v>3788</v>
      </c>
      <c r="C379" s="4">
        <f>(AA379*(H379*0.9))*12</f>
        <v>6709824</v>
      </c>
      <c r="D379" s="4">
        <f>IF(C379=0,"",(H379*150*12)+C379)</f>
        <v>7501824</v>
      </c>
      <c r="E379" s="4">
        <f>IFERROR(D379*0.5,"")</f>
        <v>3750912</v>
      </c>
      <c r="F379" s="4">
        <f>IFERROR(E379/0.06,"")</f>
        <v>62515200</v>
      </c>
      <c r="G379" s="4">
        <f>IFERROR(F379/H379,"")</f>
        <v>142080</v>
      </c>
      <c r="H379" s="1">
        <v>440</v>
      </c>
      <c r="I379" s="1">
        <v>1997</v>
      </c>
      <c r="J379" t="s">
        <v>64</v>
      </c>
      <c r="K379" t="s">
        <v>123</v>
      </c>
      <c r="L379" t="s">
        <v>835</v>
      </c>
      <c r="M379" t="s">
        <v>3789</v>
      </c>
      <c r="N379" t="s">
        <v>3790</v>
      </c>
      <c r="O379" t="s">
        <v>835</v>
      </c>
      <c r="P379" s="1">
        <v>4</v>
      </c>
      <c r="Q379" t="s">
        <v>91</v>
      </c>
      <c r="R379" t="s">
        <v>70</v>
      </c>
      <c r="S379" t="s">
        <v>71</v>
      </c>
      <c r="U379" t="s">
        <v>72</v>
      </c>
      <c r="V379" t="s">
        <v>129</v>
      </c>
      <c r="W379" t="s">
        <v>74</v>
      </c>
      <c r="X379" t="s">
        <v>130</v>
      </c>
      <c r="Y379" s="2">
        <v>981</v>
      </c>
      <c r="Z379" s="3">
        <v>1.44</v>
      </c>
      <c r="AA379" s="4">
        <v>1412</v>
      </c>
      <c r="AK379" s="5">
        <v>13.8636</v>
      </c>
      <c r="AN379" s="1">
        <v>3</v>
      </c>
      <c r="AO379" t="s">
        <v>81</v>
      </c>
      <c r="AP379" t="s">
        <v>82</v>
      </c>
      <c r="AQ379" t="s">
        <v>83</v>
      </c>
      <c r="AR379" s="3">
        <v>1.37</v>
      </c>
      <c r="AS379" s="4">
        <v>1564</v>
      </c>
      <c r="AT379" s="1">
        <v>1143</v>
      </c>
      <c r="AU379" s="3">
        <v>1.42</v>
      </c>
      <c r="AV379" s="4">
        <v>1900</v>
      </c>
      <c r="AW379" s="1">
        <v>1340</v>
      </c>
      <c r="AX379" s="3">
        <v>1192391.76</v>
      </c>
      <c r="BB379" t="s">
        <v>84</v>
      </c>
      <c r="BD379" s="3">
        <v>1.52</v>
      </c>
      <c r="BE379" s="4">
        <v>1188</v>
      </c>
      <c r="BF379" s="1">
        <v>779</v>
      </c>
      <c r="BG379" s="1">
        <v>222</v>
      </c>
      <c r="BH379" s="1">
        <v>169</v>
      </c>
      <c r="BI379" s="1">
        <v>49</v>
      </c>
      <c r="BL379" t="s">
        <v>131</v>
      </c>
    </row>
    <row r="380" spans="1:64" x14ac:dyDescent="0.25">
      <c r="A380" t="s">
        <v>2542</v>
      </c>
      <c r="B380" t="s">
        <v>2543</v>
      </c>
      <c r="C380" s="4">
        <f>(AA380*(H380*0.9))*12</f>
        <v>5566579.2000000002</v>
      </c>
      <c r="D380" s="4">
        <f>IF(C380=0,"",(H380*150*12)+C380)</f>
        <v>6221779.2000000002</v>
      </c>
      <c r="E380" s="4">
        <f>IFERROR(D380*0.5,"")</f>
        <v>3110889.6</v>
      </c>
      <c r="F380" s="4">
        <f>IFERROR(E380/0.06,"")</f>
        <v>51848160</v>
      </c>
      <c r="G380" s="4">
        <f>IFERROR(F380/H380,"")</f>
        <v>142440</v>
      </c>
      <c r="H380" s="1">
        <v>364</v>
      </c>
      <c r="I380" s="1">
        <v>1994</v>
      </c>
      <c r="J380" t="s">
        <v>64</v>
      </c>
      <c r="K380" t="s">
        <v>140</v>
      </c>
      <c r="L380" t="s">
        <v>2473</v>
      </c>
      <c r="M380" t="s">
        <v>2544</v>
      </c>
      <c r="N380" t="s">
        <v>2545</v>
      </c>
      <c r="O380" t="s">
        <v>2473</v>
      </c>
      <c r="P380" s="1">
        <v>4</v>
      </c>
      <c r="Q380" t="s">
        <v>729</v>
      </c>
      <c r="R380" t="s">
        <v>70</v>
      </c>
      <c r="S380" t="s">
        <v>71</v>
      </c>
      <c r="U380" t="s">
        <v>72</v>
      </c>
      <c r="V380" t="s">
        <v>140</v>
      </c>
      <c r="W380" t="s">
        <v>74</v>
      </c>
      <c r="X380" t="s">
        <v>2546</v>
      </c>
      <c r="Y380" s="2">
        <v>934</v>
      </c>
      <c r="Z380" s="3">
        <v>1.52</v>
      </c>
      <c r="AA380" s="4">
        <v>1416</v>
      </c>
      <c r="AK380" s="5">
        <v>7.9669999999999996</v>
      </c>
      <c r="AM380" s="1">
        <v>2016</v>
      </c>
      <c r="AN380" s="1">
        <v>3</v>
      </c>
      <c r="AO380" t="s">
        <v>81</v>
      </c>
      <c r="AP380" t="s">
        <v>82</v>
      </c>
      <c r="AQ380" t="s">
        <v>83</v>
      </c>
      <c r="AR380" s="3">
        <v>1.51</v>
      </c>
      <c r="AS380" s="4">
        <v>1607</v>
      </c>
      <c r="AT380" s="1">
        <v>1064</v>
      </c>
      <c r="AU380" s="3">
        <v>1.36</v>
      </c>
      <c r="AV380" s="4">
        <v>1857</v>
      </c>
      <c r="AW380" s="1">
        <v>1362</v>
      </c>
      <c r="AX380" s="3">
        <v>1042945.59</v>
      </c>
      <c r="BB380" t="s">
        <v>84</v>
      </c>
      <c r="BD380" s="3">
        <v>1.56</v>
      </c>
      <c r="BE380" s="4">
        <v>1192</v>
      </c>
      <c r="BF380" s="1">
        <v>766</v>
      </c>
      <c r="BG380" s="1">
        <v>180</v>
      </c>
      <c r="BH380" s="1">
        <v>163</v>
      </c>
      <c r="BI380" s="1">
        <v>21</v>
      </c>
      <c r="BL380" t="s">
        <v>131</v>
      </c>
    </row>
    <row r="381" spans="1:64" x14ac:dyDescent="0.25">
      <c r="A381" t="s">
        <v>4051</v>
      </c>
      <c r="B381" t="s">
        <v>4052</v>
      </c>
      <c r="C381" s="4">
        <f>(AA381*(H381*0.9))*12</f>
        <v>4679596.8000000007</v>
      </c>
      <c r="D381" s="4">
        <f>IF(C381=0,"",(H381*150*12)+C381)</f>
        <v>5230396.8000000007</v>
      </c>
      <c r="E381" s="4">
        <f>IFERROR(D381*0.5,"")</f>
        <v>2615198.4000000004</v>
      </c>
      <c r="F381" s="4">
        <f>IFERROR(E381/0.06,"")</f>
        <v>43586640.000000007</v>
      </c>
      <c r="G381" s="4">
        <f>IFERROR(F381/H381,"")</f>
        <v>142440.00000000003</v>
      </c>
      <c r="H381" s="1">
        <v>306</v>
      </c>
      <c r="I381" s="1">
        <v>1999</v>
      </c>
      <c r="J381" t="s">
        <v>64</v>
      </c>
      <c r="K381" t="s">
        <v>841</v>
      </c>
      <c r="L381" t="s">
        <v>4053</v>
      </c>
      <c r="M381" t="s">
        <v>4054</v>
      </c>
      <c r="N381" t="s">
        <v>4055</v>
      </c>
      <c r="O381" t="s">
        <v>4053</v>
      </c>
      <c r="P381" s="1">
        <v>4</v>
      </c>
      <c r="Q381" t="s">
        <v>729</v>
      </c>
      <c r="R381" t="s">
        <v>70</v>
      </c>
      <c r="S381" t="s">
        <v>71</v>
      </c>
      <c r="U381" t="s">
        <v>72</v>
      </c>
      <c r="V381" t="s">
        <v>841</v>
      </c>
      <c r="W381" t="s">
        <v>74</v>
      </c>
      <c r="X381" t="s">
        <v>4056</v>
      </c>
      <c r="Y381" s="2">
        <v>962</v>
      </c>
      <c r="Z381" s="3">
        <v>1.47</v>
      </c>
      <c r="AA381" s="4">
        <v>1416</v>
      </c>
      <c r="AK381" s="5">
        <v>7.8430999999999997</v>
      </c>
      <c r="AN381" s="1">
        <v>2</v>
      </c>
      <c r="AO381" t="s">
        <v>81</v>
      </c>
      <c r="AP381" t="s">
        <v>82</v>
      </c>
      <c r="AQ381" t="s">
        <v>83</v>
      </c>
      <c r="AR381" s="3">
        <v>1.34</v>
      </c>
      <c r="AS381" s="4">
        <v>1512</v>
      </c>
      <c r="AT381" s="1">
        <v>1130</v>
      </c>
      <c r="AU381" s="3">
        <v>1.51</v>
      </c>
      <c r="AV381" s="4">
        <v>2094</v>
      </c>
      <c r="AW381" s="1">
        <v>1383</v>
      </c>
      <c r="AX381" s="3">
        <v>1021399.74</v>
      </c>
      <c r="BB381" t="s">
        <v>84</v>
      </c>
      <c r="BD381" s="3">
        <v>1.67</v>
      </c>
      <c r="BE381" s="4">
        <v>1211</v>
      </c>
      <c r="BF381" s="1">
        <v>723</v>
      </c>
      <c r="BG381" s="1">
        <v>140</v>
      </c>
      <c r="BH381" s="1">
        <v>144</v>
      </c>
      <c r="BI381" s="1">
        <v>22</v>
      </c>
      <c r="BL381" t="s">
        <v>131</v>
      </c>
    </row>
    <row r="382" spans="1:64" x14ac:dyDescent="0.25">
      <c r="A382" t="s">
        <v>3015</v>
      </c>
      <c r="B382" t="s">
        <v>3016</v>
      </c>
      <c r="C382" s="4">
        <f>(AA382*(H382*0.9))*12</f>
        <v>5570510.4000000004</v>
      </c>
      <c r="D382" s="4">
        <f>IF(C382=0,"",(H382*150*12)+C382)</f>
        <v>6225710.4000000004</v>
      </c>
      <c r="E382" s="4">
        <f>IFERROR(D382*0.5,"")</f>
        <v>3112855.2</v>
      </c>
      <c r="F382" s="4">
        <f>IFERROR(E382/0.06,"")</f>
        <v>51880920.000000007</v>
      </c>
      <c r="G382" s="4">
        <f>IFERROR(F382/H382,"")</f>
        <v>142530.00000000003</v>
      </c>
      <c r="H382" s="1">
        <v>364</v>
      </c>
      <c r="I382" s="1">
        <v>1997</v>
      </c>
      <c r="J382" t="s">
        <v>64</v>
      </c>
      <c r="K382" t="s">
        <v>734</v>
      </c>
      <c r="L382" t="s">
        <v>199</v>
      </c>
      <c r="M382" t="s">
        <v>3017</v>
      </c>
      <c r="N382" t="s">
        <v>3018</v>
      </c>
      <c r="O382" t="s">
        <v>199</v>
      </c>
      <c r="P382" s="1">
        <v>4</v>
      </c>
      <c r="Q382" t="s">
        <v>91</v>
      </c>
      <c r="R382" t="s">
        <v>70</v>
      </c>
      <c r="S382" t="s">
        <v>71</v>
      </c>
      <c r="U382" t="s">
        <v>72</v>
      </c>
      <c r="V382" t="s">
        <v>73</v>
      </c>
      <c r="W382" t="s">
        <v>74</v>
      </c>
      <c r="X382" t="s">
        <v>730</v>
      </c>
      <c r="Y382" s="2">
        <v>869</v>
      </c>
      <c r="Z382" s="3">
        <v>1.63</v>
      </c>
      <c r="AA382" s="4">
        <v>1417</v>
      </c>
      <c r="AK382" s="5">
        <v>11.8132</v>
      </c>
      <c r="AM382" s="1">
        <v>2014</v>
      </c>
      <c r="AN382" s="1">
        <v>2</v>
      </c>
      <c r="AO382" t="s">
        <v>81</v>
      </c>
      <c r="AP382" t="s">
        <v>82</v>
      </c>
      <c r="AQ382" t="s">
        <v>83</v>
      </c>
      <c r="AR382" s="3">
        <v>1.47</v>
      </c>
      <c r="AS382" s="4">
        <v>1683</v>
      </c>
      <c r="AT382" s="1">
        <v>1142</v>
      </c>
      <c r="AX382" s="3">
        <v>1135054.72</v>
      </c>
      <c r="BB382" t="s">
        <v>84</v>
      </c>
      <c r="BD382" s="3">
        <v>1.72</v>
      </c>
      <c r="BE382" s="4">
        <v>1310</v>
      </c>
      <c r="BF382" s="1">
        <v>760</v>
      </c>
      <c r="BG382" s="1">
        <v>260</v>
      </c>
      <c r="BH382" s="1">
        <v>104</v>
      </c>
      <c r="BK382" t="s">
        <v>174</v>
      </c>
      <c r="BL382" t="s">
        <v>131</v>
      </c>
    </row>
    <row r="383" spans="1:64" x14ac:dyDescent="0.25">
      <c r="A383" t="s">
        <v>3973</v>
      </c>
      <c r="B383" t="s">
        <v>3974</v>
      </c>
      <c r="C383" s="4">
        <f>(AA383*(H383*0.9))*12</f>
        <v>4193186.4000000004</v>
      </c>
      <c r="D383" s="4">
        <f>IF(C383=0,"",(H383*150*12)+C383)</f>
        <v>4686386.4000000004</v>
      </c>
      <c r="E383" s="4">
        <f>IFERROR(D383*0.5,"")</f>
        <v>2343193.2000000002</v>
      </c>
      <c r="F383" s="4">
        <f>IFERROR(E383/0.06,"")</f>
        <v>39053220.000000007</v>
      </c>
      <c r="G383" s="4">
        <f>IFERROR(F383/H383,"")</f>
        <v>142530.00000000003</v>
      </c>
      <c r="H383" s="1">
        <v>274</v>
      </c>
      <c r="I383" s="1">
        <v>1997</v>
      </c>
      <c r="J383" t="s">
        <v>64</v>
      </c>
      <c r="K383" t="s">
        <v>198</v>
      </c>
      <c r="L383" t="s">
        <v>1538</v>
      </c>
      <c r="M383" t="s">
        <v>3975</v>
      </c>
      <c r="N383" t="s">
        <v>3976</v>
      </c>
      <c r="O383" t="s">
        <v>1538</v>
      </c>
      <c r="P383" s="1">
        <v>4</v>
      </c>
      <c r="Q383" t="s">
        <v>729</v>
      </c>
      <c r="R383" t="s">
        <v>70</v>
      </c>
      <c r="S383" t="s">
        <v>71</v>
      </c>
      <c r="U383" t="s">
        <v>72</v>
      </c>
      <c r="V383" t="s">
        <v>531</v>
      </c>
      <c r="W383" t="s">
        <v>74</v>
      </c>
      <c r="X383" t="s">
        <v>2034</v>
      </c>
      <c r="Y383" s="2">
        <v>985</v>
      </c>
      <c r="Z383" s="3">
        <v>1.44</v>
      </c>
      <c r="AA383" s="4">
        <v>1417</v>
      </c>
      <c r="AK383" s="5">
        <v>4.7445000000000004</v>
      </c>
      <c r="AN383" s="1">
        <v>2</v>
      </c>
      <c r="AO383" t="s">
        <v>81</v>
      </c>
      <c r="AP383" t="s">
        <v>82</v>
      </c>
      <c r="AQ383" t="s">
        <v>83</v>
      </c>
      <c r="AR383" s="3">
        <v>1.34</v>
      </c>
      <c r="AS383" s="4">
        <v>1497</v>
      </c>
      <c r="AT383" s="1">
        <v>1119</v>
      </c>
      <c r="AU383" s="3">
        <v>1.32</v>
      </c>
      <c r="AV383" s="4">
        <v>1600</v>
      </c>
      <c r="AW383" s="1">
        <v>1211</v>
      </c>
      <c r="AX383" s="3">
        <v>724701.49</v>
      </c>
      <c r="BB383" t="s">
        <v>84</v>
      </c>
      <c r="BD383" s="3">
        <v>1.72</v>
      </c>
      <c r="BE383" s="4">
        <v>1184</v>
      </c>
      <c r="BF383" s="1">
        <v>689</v>
      </c>
      <c r="BG383" s="1">
        <v>88</v>
      </c>
      <c r="BH383" s="1">
        <v>174</v>
      </c>
      <c r="BI383" s="1">
        <v>12</v>
      </c>
      <c r="BK383" t="s">
        <v>3977</v>
      </c>
      <c r="BL383" t="s">
        <v>131</v>
      </c>
    </row>
    <row r="384" spans="1:64" x14ac:dyDescent="0.25">
      <c r="A384" t="s">
        <v>2587</v>
      </c>
      <c r="B384" t="s">
        <v>2588</v>
      </c>
      <c r="C384" s="4">
        <f>(AA384*(H384*0.9))*12</f>
        <v>5375354.4000000004</v>
      </c>
      <c r="D384" s="4">
        <f>IF(C384=0,"",(H384*150*12)+C384)</f>
        <v>6007154.4000000004</v>
      </c>
      <c r="E384" s="4">
        <f>IFERROR(D384*0.5,"")</f>
        <v>3003577.2</v>
      </c>
      <c r="F384" s="4">
        <f>IFERROR(E384/0.06,"")</f>
        <v>50059620.000000007</v>
      </c>
      <c r="G384" s="4">
        <f>IFERROR(F384/H384,"")</f>
        <v>142620.00000000003</v>
      </c>
      <c r="H384" s="1">
        <v>351</v>
      </c>
      <c r="I384" s="1">
        <v>1997</v>
      </c>
      <c r="J384" t="s">
        <v>64</v>
      </c>
      <c r="K384" t="s">
        <v>660</v>
      </c>
      <c r="L384" t="s">
        <v>1038</v>
      </c>
      <c r="M384" t="s">
        <v>2589</v>
      </c>
      <c r="N384" t="s">
        <v>2590</v>
      </c>
      <c r="O384" t="s">
        <v>1038</v>
      </c>
      <c r="P384" s="1">
        <v>4</v>
      </c>
      <c r="Q384" t="s">
        <v>91</v>
      </c>
      <c r="R384" t="s">
        <v>70</v>
      </c>
      <c r="S384" t="s">
        <v>71</v>
      </c>
      <c r="U384" t="s">
        <v>72</v>
      </c>
      <c r="V384" t="s">
        <v>664</v>
      </c>
      <c r="W384" t="s">
        <v>74</v>
      </c>
      <c r="X384" t="s">
        <v>2591</v>
      </c>
      <c r="Y384" s="2">
        <v>947</v>
      </c>
      <c r="Z384" s="3">
        <v>1.5</v>
      </c>
      <c r="AA384" s="4">
        <v>1418</v>
      </c>
      <c r="AK384" s="5">
        <v>7.6923000000000004</v>
      </c>
      <c r="AN384" s="1">
        <v>3</v>
      </c>
      <c r="AO384" t="s">
        <v>81</v>
      </c>
      <c r="AP384" t="s">
        <v>82</v>
      </c>
      <c r="AQ384" t="s">
        <v>83</v>
      </c>
      <c r="AR384" s="3">
        <v>1.46</v>
      </c>
      <c r="AS384" s="4">
        <v>1504</v>
      </c>
      <c r="AT384" s="1">
        <v>1027</v>
      </c>
      <c r="AU384" s="3">
        <v>1.4</v>
      </c>
      <c r="AV384" s="4">
        <v>1843</v>
      </c>
      <c r="AW384" s="1">
        <v>1320</v>
      </c>
      <c r="AX384" s="3">
        <v>829894.83</v>
      </c>
      <c r="BB384" t="s">
        <v>84</v>
      </c>
      <c r="BD384" s="3">
        <v>1.6</v>
      </c>
      <c r="BE384" s="4">
        <v>1196</v>
      </c>
      <c r="BF384" s="1">
        <v>749</v>
      </c>
      <c r="BG384" s="1">
        <v>149</v>
      </c>
      <c r="BH384" s="1">
        <v>156</v>
      </c>
      <c r="BI384" s="1">
        <v>46</v>
      </c>
    </row>
    <row r="385" spans="1:67" x14ac:dyDescent="0.25">
      <c r="A385" t="s">
        <v>1036</v>
      </c>
      <c r="B385" t="s">
        <v>1037</v>
      </c>
      <c r="C385" s="4">
        <f>(AA385*(H385*0.9))*12</f>
        <v>7059528</v>
      </c>
      <c r="D385" s="4">
        <f>IF(C385=0,"",(H385*150*12)+C385)</f>
        <v>7887528</v>
      </c>
      <c r="E385" s="4">
        <f>IFERROR(D385*0.5,"")</f>
        <v>3943764</v>
      </c>
      <c r="F385" s="4">
        <f>IFERROR(E385/0.06,"")</f>
        <v>65729400</v>
      </c>
      <c r="G385" s="4">
        <f>IFERROR(F385/H385,"")</f>
        <v>142890</v>
      </c>
      <c r="H385" s="1">
        <v>460</v>
      </c>
      <c r="I385" s="1">
        <v>1987</v>
      </c>
      <c r="J385" t="s">
        <v>64</v>
      </c>
      <c r="K385" t="s">
        <v>725</v>
      </c>
      <c r="L385" t="s">
        <v>1038</v>
      </c>
      <c r="M385" t="s">
        <v>1039</v>
      </c>
      <c r="N385" t="s">
        <v>1038</v>
      </c>
      <c r="O385" t="s">
        <v>1038</v>
      </c>
      <c r="P385" s="1">
        <v>3</v>
      </c>
      <c r="Q385" t="s">
        <v>69</v>
      </c>
      <c r="R385" t="s">
        <v>70</v>
      </c>
      <c r="S385" t="s">
        <v>71</v>
      </c>
      <c r="U385" t="s">
        <v>72</v>
      </c>
      <c r="V385" t="s">
        <v>73</v>
      </c>
      <c r="W385" t="s">
        <v>74</v>
      </c>
      <c r="X385" t="s">
        <v>730</v>
      </c>
      <c r="Y385" s="2">
        <v>1003</v>
      </c>
      <c r="Z385" s="3">
        <v>1.42</v>
      </c>
      <c r="AA385" s="4">
        <v>1421</v>
      </c>
      <c r="AK385" s="5">
        <v>6.0869999999999997</v>
      </c>
      <c r="AN385" s="1">
        <v>3</v>
      </c>
      <c r="AO385" t="s">
        <v>81</v>
      </c>
      <c r="AP385" t="s">
        <v>82</v>
      </c>
      <c r="AQ385" t="s">
        <v>83</v>
      </c>
      <c r="AR385" s="3">
        <v>1.39</v>
      </c>
      <c r="AS385" s="4">
        <v>1370</v>
      </c>
      <c r="AT385" s="1">
        <v>982</v>
      </c>
      <c r="AU385" s="3">
        <v>1.43</v>
      </c>
      <c r="AV385" s="4">
        <v>1899</v>
      </c>
      <c r="AW385" s="1">
        <v>1329</v>
      </c>
      <c r="AX385" s="3">
        <v>1106939.71</v>
      </c>
      <c r="BB385" t="s">
        <v>84</v>
      </c>
      <c r="BD385" s="3">
        <v>1.51</v>
      </c>
      <c r="BE385" s="4">
        <v>1175</v>
      </c>
      <c r="BF385" s="1">
        <v>778</v>
      </c>
      <c r="BG385" s="1">
        <v>74</v>
      </c>
      <c r="BH385" s="1">
        <v>314</v>
      </c>
      <c r="BI385" s="1">
        <v>72</v>
      </c>
    </row>
    <row r="386" spans="1:67" x14ac:dyDescent="0.25">
      <c r="A386" t="s">
        <v>4251</v>
      </c>
      <c r="B386" t="s">
        <v>4252</v>
      </c>
      <c r="C386" s="4">
        <f>(AA386*(H386*0.9))*12</f>
        <v>4818895.2</v>
      </c>
      <c r="D386" s="4">
        <f>IF(C386=0,"",(H386*150*12)+C386)</f>
        <v>5384095.2000000002</v>
      </c>
      <c r="E386" s="4">
        <f>IFERROR(D386*0.5,"")</f>
        <v>2692047.6</v>
      </c>
      <c r="F386" s="4">
        <f>IFERROR(E386/0.06,"")</f>
        <v>44867460</v>
      </c>
      <c r="G386" s="4">
        <f>IFERROR(F386/H386,"")</f>
        <v>142890</v>
      </c>
      <c r="H386" s="1">
        <v>314</v>
      </c>
      <c r="I386" s="1">
        <v>1996</v>
      </c>
      <c r="J386" t="s">
        <v>64</v>
      </c>
      <c r="K386" t="s">
        <v>4253</v>
      </c>
      <c r="L386" t="s">
        <v>397</v>
      </c>
      <c r="M386" t="s">
        <v>4254</v>
      </c>
      <c r="N386" t="s">
        <v>4255</v>
      </c>
      <c r="O386" t="s">
        <v>397</v>
      </c>
      <c r="P386" s="1">
        <v>4</v>
      </c>
      <c r="Q386" t="s">
        <v>729</v>
      </c>
      <c r="R386" t="s">
        <v>70</v>
      </c>
      <c r="S386" t="s">
        <v>71</v>
      </c>
      <c r="T386" t="s">
        <v>118</v>
      </c>
      <c r="U386" t="s">
        <v>72</v>
      </c>
      <c r="V386" t="s">
        <v>73</v>
      </c>
      <c r="W386" t="s">
        <v>74</v>
      </c>
      <c r="X386" t="s">
        <v>4256</v>
      </c>
      <c r="Y386" s="2">
        <v>695</v>
      </c>
      <c r="Z386" s="3">
        <v>2.04</v>
      </c>
      <c r="AA386" s="4">
        <v>1421</v>
      </c>
      <c r="AK386" s="5">
        <v>9.8726000000000003</v>
      </c>
      <c r="AN386" s="1">
        <v>4</v>
      </c>
      <c r="AO386" t="s">
        <v>81</v>
      </c>
      <c r="AP386" t="s">
        <v>82</v>
      </c>
      <c r="AQ386" t="s">
        <v>83</v>
      </c>
      <c r="AR386" s="3">
        <v>1.88</v>
      </c>
      <c r="AS386" s="4">
        <v>1783</v>
      </c>
      <c r="AT386" s="1">
        <v>947</v>
      </c>
      <c r="AX386" s="3">
        <v>1162215.6000000001</v>
      </c>
      <c r="AY386" s="3">
        <v>2.57</v>
      </c>
      <c r="AZ386" s="4">
        <v>1119</v>
      </c>
      <c r="BA386" s="6">
        <v>436</v>
      </c>
      <c r="BB386" t="s">
        <v>84</v>
      </c>
      <c r="BD386" s="3">
        <v>2.06</v>
      </c>
      <c r="BE386" s="4">
        <v>1372</v>
      </c>
      <c r="BF386" s="1">
        <v>665</v>
      </c>
      <c r="BG386" s="1">
        <v>262</v>
      </c>
      <c r="BH386" s="1">
        <v>42</v>
      </c>
      <c r="BK386" t="s">
        <v>261</v>
      </c>
      <c r="BL386" t="s">
        <v>104</v>
      </c>
    </row>
    <row r="387" spans="1:67" x14ac:dyDescent="0.25">
      <c r="A387" t="s">
        <v>2560</v>
      </c>
      <c r="B387" t="s">
        <v>2561</v>
      </c>
      <c r="C387" s="4">
        <f>(AA387*(H387*0.9))*12</f>
        <v>3537216</v>
      </c>
      <c r="D387" s="4">
        <f>IF(C387=0,"",(H387*150*12)+C387)</f>
        <v>3951216</v>
      </c>
      <c r="E387" s="4">
        <f>IFERROR(D387*0.5,"")</f>
        <v>1975608</v>
      </c>
      <c r="F387" s="4">
        <f>IFERROR(E387/0.06,"")</f>
        <v>32926800</v>
      </c>
      <c r="G387" s="4">
        <f>IFERROR(F387/H387,"")</f>
        <v>143160</v>
      </c>
      <c r="H387" s="1">
        <v>230</v>
      </c>
      <c r="I387" s="1">
        <v>1999</v>
      </c>
      <c r="J387" t="s">
        <v>64</v>
      </c>
      <c r="K387" t="s">
        <v>660</v>
      </c>
      <c r="L387" t="s">
        <v>2562</v>
      </c>
      <c r="M387" t="s">
        <v>2563</v>
      </c>
      <c r="N387" t="s">
        <v>2564</v>
      </c>
      <c r="O387" t="s">
        <v>2562</v>
      </c>
      <c r="P387" s="1">
        <v>3</v>
      </c>
      <c r="Q387" t="s">
        <v>91</v>
      </c>
      <c r="R387" t="s">
        <v>70</v>
      </c>
      <c r="S387" t="s">
        <v>71</v>
      </c>
      <c r="T387" t="s">
        <v>118</v>
      </c>
      <c r="U387" t="s">
        <v>72</v>
      </c>
      <c r="V387" t="s">
        <v>664</v>
      </c>
      <c r="W387" t="s">
        <v>74</v>
      </c>
      <c r="X387" t="s">
        <v>2565</v>
      </c>
      <c r="Y387" s="2">
        <v>932</v>
      </c>
      <c r="Z387" s="3">
        <v>1.53</v>
      </c>
      <c r="AA387" s="4">
        <v>1424</v>
      </c>
      <c r="AK387" s="5">
        <v>6.5217000000000001</v>
      </c>
      <c r="AN387" s="1">
        <v>3</v>
      </c>
      <c r="AO387" t="s">
        <v>81</v>
      </c>
      <c r="AP387" t="s">
        <v>82</v>
      </c>
      <c r="AQ387" t="s">
        <v>83</v>
      </c>
      <c r="AR387" s="3">
        <v>1.39</v>
      </c>
      <c r="AS387" s="4">
        <v>1441</v>
      </c>
      <c r="AT387" s="1">
        <v>1039</v>
      </c>
      <c r="BB387" t="s">
        <v>84</v>
      </c>
      <c r="BD387" s="3">
        <v>1.82</v>
      </c>
      <c r="BE387" s="4">
        <v>1396</v>
      </c>
      <c r="BF387" s="1">
        <v>765</v>
      </c>
      <c r="BG387" s="1">
        <v>89</v>
      </c>
      <c r="BH387" s="1">
        <v>141</v>
      </c>
    </row>
    <row r="388" spans="1:67" x14ac:dyDescent="0.25">
      <c r="A388" t="s">
        <v>3944</v>
      </c>
      <c r="B388" t="s">
        <v>3945</v>
      </c>
      <c r="C388" s="4">
        <f>(AA388*(H388*0.9))*12</f>
        <v>6140610.0000000009</v>
      </c>
      <c r="D388" s="4">
        <f>IF(C388=0,"",(H388*150*12)+C388)</f>
        <v>6858810.0000000009</v>
      </c>
      <c r="E388" s="4">
        <f>IFERROR(D388*0.5,"")</f>
        <v>3429405.0000000005</v>
      </c>
      <c r="F388" s="4">
        <f>IFERROR(E388/0.06,"")</f>
        <v>57156750.000000007</v>
      </c>
      <c r="G388" s="4">
        <f>IFERROR(F388/H388,"")</f>
        <v>143250.00000000003</v>
      </c>
      <c r="H388" s="1">
        <v>399</v>
      </c>
      <c r="I388" s="1">
        <v>1992</v>
      </c>
      <c r="J388" t="s">
        <v>64</v>
      </c>
      <c r="K388" t="s">
        <v>3453</v>
      </c>
      <c r="L388" t="s">
        <v>3462</v>
      </c>
      <c r="M388" t="s">
        <v>3946</v>
      </c>
      <c r="N388" t="s">
        <v>3947</v>
      </c>
      <c r="O388" t="s">
        <v>3462</v>
      </c>
      <c r="P388" s="1">
        <v>4</v>
      </c>
      <c r="Q388" t="s">
        <v>91</v>
      </c>
      <c r="R388" t="s">
        <v>70</v>
      </c>
      <c r="S388" t="s">
        <v>71</v>
      </c>
      <c r="U388" t="s">
        <v>72</v>
      </c>
      <c r="V388" t="s">
        <v>73</v>
      </c>
      <c r="W388" t="s">
        <v>74</v>
      </c>
      <c r="X388" t="s">
        <v>2872</v>
      </c>
      <c r="Y388" s="2">
        <v>963</v>
      </c>
      <c r="Z388" s="3">
        <v>1.48</v>
      </c>
      <c r="AA388" s="4">
        <v>1425</v>
      </c>
      <c r="AK388" s="5">
        <v>5.5137999999999998</v>
      </c>
      <c r="AN388" s="1">
        <v>3</v>
      </c>
      <c r="AO388" t="s">
        <v>81</v>
      </c>
      <c r="AP388" t="s">
        <v>82</v>
      </c>
      <c r="AQ388" t="s">
        <v>83</v>
      </c>
      <c r="AR388" s="3">
        <v>1.35</v>
      </c>
      <c r="AS388" s="4">
        <v>1647</v>
      </c>
      <c r="AT388" s="1">
        <v>1223</v>
      </c>
      <c r="AX388" s="3">
        <v>1292406.1100000001</v>
      </c>
      <c r="BB388" t="s">
        <v>84</v>
      </c>
      <c r="BD388" s="3">
        <v>1.64</v>
      </c>
      <c r="BE388" s="4">
        <v>1259</v>
      </c>
      <c r="BF388" s="1">
        <v>768</v>
      </c>
      <c r="BG388" s="1">
        <v>228</v>
      </c>
      <c r="BH388" s="1">
        <v>171</v>
      </c>
    </row>
    <row r="389" spans="1:67" x14ac:dyDescent="0.25">
      <c r="A389" t="s">
        <v>3624</v>
      </c>
      <c r="B389" t="s">
        <v>3625</v>
      </c>
      <c r="C389" s="4">
        <f>(AA389*(H389*0.9))*12</f>
        <v>3852900</v>
      </c>
      <c r="D389" s="4">
        <f>IF(C389=0,"",(H389*150*12)+C389)</f>
        <v>4302900</v>
      </c>
      <c r="E389" s="4">
        <f>IFERROR(D389*0.5,"")</f>
        <v>2151450</v>
      </c>
      <c r="F389" s="4">
        <f>IFERROR(E389/0.06,"")</f>
        <v>35857500</v>
      </c>
      <c r="G389" s="4">
        <f>IFERROR(F389/H389,"")</f>
        <v>143430</v>
      </c>
      <c r="H389" s="1">
        <v>250</v>
      </c>
      <c r="I389" s="1">
        <v>1999</v>
      </c>
      <c r="J389" t="s">
        <v>64</v>
      </c>
      <c r="K389" t="s">
        <v>409</v>
      </c>
      <c r="L389" t="s">
        <v>3626</v>
      </c>
      <c r="M389" t="s">
        <v>3627</v>
      </c>
      <c r="N389" t="s">
        <v>3628</v>
      </c>
      <c r="O389" t="s">
        <v>3626</v>
      </c>
      <c r="P389" s="1">
        <v>3</v>
      </c>
      <c r="Q389" t="s">
        <v>69</v>
      </c>
      <c r="R389" t="s">
        <v>70</v>
      </c>
      <c r="S389" t="s">
        <v>71</v>
      </c>
      <c r="T389" t="s">
        <v>118</v>
      </c>
      <c r="U389" t="s">
        <v>72</v>
      </c>
      <c r="V389" t="s">
        <v>110</v>
      </c>
      <c r="W389" t="s">
        <v>74</v>
      </c>
      <c r="X389" t="s">
        <v>412</v>
      </c>
      <c r="Y389" s="2">
        <v>1162</v>
      </c>
      <c r="Z389" s="3">
        <v>1.23</v>
      </c>
      <c r="AA389" s="4">
        <v>1427</v>
      </c>
      <c r="AK389" s="5">
        <v>7.2</v>
      </c>
      <c r="AN389" s="1">
        <v>2</v>
      </c>
      <c r="AO389" t="s">
        <v>81</v>
      </c>
      <c r="AP389" t="s">
        <v>82</v>
      </c>
      <c r="AQ389" t="s">
        <v>83</v>
      </c>
      <c r="AR389" s="3">
        <v>1.3</v>
      </c>
      <c r="AS389" s="4">
        <v>1367</v>
      </c>
      <c r="AT389" s="1">
        <v>1047</v>
      </c>
      <c r="AU389" s="3">
        <v>1.19</v>
      </c>
      <c r="AV389" s="4">
        <v>1502</v>
      </c>
      <c r="AW389" s="1">
        <v>1263</v>
      </c>
      <c r="AX389" s="3">
        <v>468085.8</v>
      </c>
      <c r="BB389" t="s">
        <v>84</v>
      </c>
      <c r="BH389" s="1">
        <v>122</v>
      </c>
      <c r="BI389" s="1">
        <v>112</v>
      </c>
      <c r="BJ389" s="1">
        <v>16</v>
      </c>
      <c r="BL389" t="s">
        <v>131</v>
      </c>
      <c r="BM389" s="3">
        <v>1.03</v>
      </c>
      <c r="BN389" s="4">
        <v>1367</v>
      </c>
      <c r="BO389" s="1">
        <v>1330</v>
      </c>
    </row>
    <row r="390" spans="1:67" x14ac:dyDescent="0.25">
      <c r="A390" t="s">
        <v>3815</v>
      </c>
      <c r="B390" t="s">
        <v>3816</v>
      </c>
      <c r="C390" s="4">
        <f>(AA390*(H390*0.9))*12</f>
        <v>6565341.6000000006</v>
      </c>
      <c r="D390" s="4">
        <f>IF(C390=0,"",(H390*150*12)+C390)</f>
        <v>7332141.6000000006</v>
      </c>
      <c r="E390" s="4">
        <f>IFERROR(D390*0.5,"")</f>
        <v>3666070.8000000003</v>
      </c>
      <c r="F390" s="4">
        <f>IFERROR(E390/0.06,"")</f>
        <v>61101180.000000007</v>
      </c>
      <c r="G390" s="4">
        <f>IFERROR(F390/H390,"")</f>
        <v>143430.00000000003</v>
      </c>
      <c r="H390" s="1">
        <v>426</v>
      </c>
      <c r="I390" s="1">
        <v>1997</v>
      </c>
      <c r="J390" t="s">
        <v>64</v>
      </c>
      <c r="K390" t="s">
        <v>123</v>
      </c>
      <c r="L390" t="s">
        <v>199</v>
      </c>
      <c r="M390" t="s">
        <v>3817</v>
      </c>
      <c r="N390" t="s">
        <v>1856</v>
      </c>
      <c r="O390" t="s">
        <v>199</v>
      </c>
      <c r="P390" s="1">
        <v>3</v>
      </c>
      <c r="Q390" t="s">
        <v>91</v>
      </c>
      <c r="R390" t="s">
        <v>70</v>
      </c>
      <c r="S390" t="s">
        <v>71</v>
      </c>
      <c r="U390" t="s">
        <v>72</v>
      </c>
      <c r="V390" t="s">
        <v>129</v>
      </c>
      <c r="W390" t="s">
        <v>74</v>
      </c>
      <c r="X390" t="s">
        <v>130</v>
      </c>
      <c r="Y390" s="2">
        <v>895</v>
      </c>
      <c r="Z390" s="3">
        <v>1.59</v>
      </c>
      <c r="AA390" s="4">
        <v>1427</v>
      </c>
      <c r="AK390" s="5">
        <v>6.5728</v>
      </c>
      <c r="AN390" s="1">
        <v>3</v>
      </c>
      <c r="AO390" t="s">
        <v>81</v>
      </c>
      <c r="AP390" t="s">
        <v>82</v>
      </c>
      <c r="AQ390" t="s">
        <v>83</v>
      </c>
      <c r="AR390" s="3">
        <v>1.51</v>
      </c>
      <c r="AS390" s="4">
        <v>1624</v>
      </c>
      <c r="AT390" s="1">
        <v>1079</v>
      </c>
      <c r="AU390" s="3">
        <v>1.48</v>
      </c>
      <c r="AV390" s="4">
        <v>2020</v>
      </c>
      <c r="AW390" s="1">
        <v>1362</v>
      </c>
      <c r="AX390" s="3">
        <v>1215721.1599999999</v>
      </c>
      <c r="BB390" t="s">
        <v>84</v>
      </c>
      <c r="BD390" s="3">
        <v>1.67</v>
      </c>
      <c r="BE390" s="4">
        <v>1251</v>
      </c>
      <c r="BF390" s="1">
        <v>747</v>
      </c>
      <c r="BG390" s="1">
        <v>251</v>
      </c>
      <c r="BH390" s="1">
        <v>157</v>
      </c>
      <c r="BI390" s="1">
        <v>18</v>
      </c>
    </row>
    <row r="391" spans="1:67" x14ac:dyDescent="0.25">
      <c r="A391" t="s">
        <v>336</v>
      </c>
      <c r="B391" t="s">
        <v>337</v>
      </c>
      <c r="C391" s="4">
        <f>(AA391*(H391*0.9))*12</f>
        <v>5432486.4000000004</v>
      </c>
      <c r="D391" s="4">
        <f>IF(C391=0,"",(H391*150*12)+C391)</f>
        <v>6066086.4000000004</v>
      </c>
      <c r="E391" s="4">
        <f>IFERROR(D391*0.5,"")</f>
        <v>3033043.2</v>
      </c>
      <c r="F391" s="4">
        <f>IFERROR(E391/0.06,"")</f>
        <v>50550720.000000007</v>
      </c>
      <c r="G391" s="4">
        <f>IFERROR(F391/H391,"")</f>
        <v>143610.00000000003</v>
      </c>
      <c r="H391" s="1">
        <v>352</v>
      </c>
      <c r="I391" s="1">
        <v>1986</v>
      </c>
      <c r="J391" t="s">
        <v>64</v>
      </c>
      <c r="K391" t="s">
        <v>338</v>
      </c>
      <c r="L391" t="s">
        <v>339</v>
      </c>
      <c r="M391" t="s">
        <v>340</v>
      </c>
      <c r="N391" t="s">
        <v>341</v>
      </c>
      <c r="O391" t="s">
        <v>339</v>
      </c>
      <c r="P391" s="1">
        <v>3</v>
      </c>
      <c r="Q391" t="s">
        <v>91</v>
      </c>
      <c r="R391" t="s">
        <v>70</v>
      </c>
      <c r="S391" t="s">
        <v>71</v>
      </c>
      <c r="U391" t="s">
        <v>72</v>
      </c>
      <c r="V391" t="s">
        <v>73</v>
      </c>
      <c r="W391" t="s">
        <v>74</v>
      </c>
      <c r="X391" t="s">
        <v>342</v>
      </c>
      <c r="Y391" s="2">
        <v>733</v>
      </c>
      <c r="Z391" s="3">
        <v>1.95</v>
      </c>
      <c r="AA391" s="4">
        <v>1429</v>
      </c>
      <c r="AK391" s="5">
        <v>12.7841</v>
      </c>
      <c r="AN391" s="1">
        <v>2</v>
      </c>
      <c r="AO391" t="s">
        <v>81</v>
      </c>
      <c r="AP391" t="s">
        <v>82</v>
      </c>
      <c r="AQ391" t="s">
        <v>83</v>
      </c>
      <c r="AR391" s="3">
        <v>1.86</v>
      </c>
      <c r="AS391" s="4">
        <v>2233</v>
      </c>
      <c r="AT391" s="1">
        <v>1200</v>
      </c>
      <c r="AX391" s="3">
        <v>1246029.23</v>
      </c>
      <c r="BB391" t="s">
        <v>84</v>
      </c>
      <c r="BD391" s="3">
        <v>1.96</v>
      </c>
      <c r="BE391" s="4">
        <v>1381</v>
      </c>
      <c r="BF391" s="1">
        <v>706</v>
      </c>
      <c r="BG391" s="1">
        <v>332</v>
      </c>
      <c r="BH391" s="1">
        <v>20</v>
      </c>
    </row>
    <row r="392" spans="1:67" x14ac:dyDescent="0.25">
      <c r="A392" t="s">
        <v>2174</v>
      </c>
      <c r="B392" t="s">
        <v>2175</v>
      </c>
      <c r="C392" s="4">
        <f>(AA392*(H392*0.9))*12</f>
        <v>4636440</v>
      </c>
      <c r="D392" s="4">
        <f>IF(C392=0,"",(H392*150*12)+C392)</f>
        <v>5176440</v>
      </c>
      <c r="E392" s="4">
        <f>IFERROR(D392*0.5,"")</f>
        <v>2588220</v>
      </c>
      <c r="F392" s="4">
        <f>IFERROR(E392/0.06,"")</f>
        <v>43137000</v>
      </c>
      <c r="G392" s="4">
        <f>IFERROR(F392/H392,"")</f>
        <v>143790</v>
      </c>
      <c r="H392" s="1">
        <v>300</v>
      </c>
      <c r="I392" s="1">
        <v>1999</v>
      </c>
      <c r="J392" t="s">
        <v>64</v>
      </c>
      <c r="K392" t="s">
        <v>228</v>
      </c>
      <c r="L392" t="s">
        <v>2176</v>
      </c>
      <c r="M392" t="s">
        <v>2177</v>
      </c>
      <c r="N392" t="s">
        <v>2178</v>
      </c>
      <c r="O392" t="s">
        <v>2176</v>
      </c>
      <c r="P392" s="1">
        <v>4</v>
      </c>
      <c r="Q392" t="s">
        <v>729</v>
      </c>
      <c r="R392" t="s">
        <v>70</v>
      </c>
      <c r="S392" t="s">
        <v>71</v>
      </c>
      <c r="U392" t="s">
        <v>72</v>
      </c>
      <c r="V392" t="s">
        <v>152</v>
      </c>
      <c r="W392" t="s">
        <v>74</v>
      </c>
      <c r="X392" t="s">
        <v>233</v>
      </c>
      <c r="Y392" s="2">
        <v>832</v>
      </c>
      <c r="Z392" s="3">
        <v>1.72</v>
      </c>
      <c r="AA392" s="4">
        <v>1431</v>
      </c>
      <c r="AK392" s="5">
        <v>9.3332999999999995</v>
      </c>
      <c r="AN392" s="1">
        <v>3</v>
      </c>
      <c r="AO392" t="s">
        <v>81</v>
      </c>
      <c r="AP392" t="s">
        <v>82</v>
      </c>
      <c r="AQ392" t="s">
        <v>83</v>
      </c>
      <c r="AR392" s="3">
        <v>1.57</v>
      </c>
      <c r="AS392" s="4">
        <v>1546</v>
      </c>
      <c r="AT392" s="1">
        <v>982</v>
      </c>
      <c r="AU392" s="3">
        <v>1.57</v>
      </c>
      <c r="AV392" s="4">
        <v>1933</v>
      </c>
      <c r="AW392" s="1">
        <v>1233</v>
      </c>
      <c r="AX392" s="3">
        <v>1097073.1200000001</v>
      </c>
      <c r="BB392" t="s">
        <v>84</v>
      </c>
      <c r="BD392" s="3">
        <v>1.97</v>
      </c>
      <c r="BE392" s="4">
        <v>1242</v>
      </c>
      <c r="BF392" s="1">
        <v>630</v>
      </c>
      <c r="BG392" s="1">
        <v>144</v>
      </c>
      <c r="BH392" s="1">
        <v>132</v>
      </c>
      <c r="BI392" s="1">
        <v>24</v>
      </c>
      <c r="BL392" t="s">
        <v>131</v>
      </c>
    </row>
    <row r="393" spans="1:67" x14ac:dyDescent="0.25">
      <c r="A393" t="s">
        <v>1898</v>
      </c>
      <c r="B393" t="s">
        <v>1899</v>
      </c>
      <c r="C393" s="4">
        <f>(AA393*(H393*0.9))*12</f>
        <v>3340569.5999999996</v>
      </c>
      <c r="D393" s="4">
        <f>IF(C393=0,"",(H393*150*12)+C393)</f>
        <v>3729369.5999999996</v>
      </c>
      <c r="E393" s="4">
        <f>IFERROR(D393*0.5,"")</f>
        <v>1864684.7999999998</v>
      </c>
      <c r="F393" s="4">
        <f>IFERROR(E393/0.06,"")</f>
        <v>31078079.999999996</v>
      </c>
      <c r="G393" s="4">
        <f>IFERROR(F393/H393,"")</f>
        <v>143879.99999999997</v>
      </c>
      <c r="H393" s="1">
        <v>216</v>
      </c>
      <c r="I393" s="1">
        <v>1985</v>
      </c>
      <c r="J393" t="s">
        <v>64</v>
      </c>
      <c r="K393" t="s">
        <v>1133</v>
      </c>
      <c r="L393" t="s">
        <v>882</v>
      </c>
      <c r="M393" t="s">
        <v>1900</v>
      </c>
      <c r="N393" t="s">
        <v>1901</v>
      </c>
      <c r="O393" t="s">
        <v>882</v>
      </c>
      <c r="P393" s="1">
        <v>3</v>
      </c>
      <c r="Q393" t="s">
        <v>91</v>
      </c>
      <c r="R393" t="s">
        <v>70</v>
      </c>
      <c r="S393" t="s">
        <v>71</v>
      </c>
      <c r="U393" t="s">
        <v>72</v>
      </c>
      <c r="V393" t="s">
        <v>264</v>
      </c>
      <c r="W393" t="s">
        <v>74</v>
      </c>
      <c r="X393" t="s">
        <v>1902</v>
      </c>
      <c r="Y393" s="2">
        <v>807</v>
      </c>
      <c r="Z393" s="3">
        <v>1.77</v>
      </c>
      <c r="AA393" s="4">
        <v>1432</v>
      </c>
      <c r="AK393" s="5">
        <v>2.7778</v>
      </c>
      <c r="AN393" s="1">
        <v>2</v>
      </c>
      <c r="AO393" t="s">
        <v>81</v>
      </c>
      <c r="AP393" t="s">
        <v>82</v>
      </c>
      <c r="AQ393" t="s">
        <v>83</v>
      </c>
      <c r="AR393" s="3">
        <v>1.8</v>
      </c>
      <c r="AS393" s="4">
        <v>1608</v>
      </c>
      <c r="AT393" s="1">
        <v>893</v>
      </c>
      <c r="AX393" s="3">
        <v>736323.97</v>
      </c>
      <c r="BB393" t="s">
        <v>84</v>
      </c>
      <c r="BD393" s="3">
        <v>1.74</v>
      </c>
      <c r="BE393" s="4">
        <v>1256</v>
      </c>
      <c r="BF393" s="1">
        <v>722</v>
      </c>
      <c r="BG393" s="1">
        <v>108</v>
      </c>
      <c r="BH393" s="1">
        <v>108</v>
      </c>
      <c r="BK393" t="s">
        <v>887</v>
      </c>
      <c r="BL393" t="s">
        <v>104</v>
      </c>
    </row>
    <row r="394" spans="1:67" x14ac:dyDescent="0.25">
      <c r="A394" t="s">
        <v>2931</v>
      </c>
      <c r="B394" t="s">
        <v>2932</v>
      </c>
      <c r="C394" s="4">
        <f>(AA394*(H394*0.9))*12</f>
        <v>3711744</v>
      </c>
      <c r="D394" s="4">
        <f>IF(C394=0,"",(H394*150*12)+C394)</f>
        <v>4143744</v>
      </c>
      <c r="E394" s="4">
        <f>IFERROR(D394*0.5,"")</f>
        <v>2071872</v>
      </c>
      <c r="F394" s="4">
        <f>IFERROR(E394/0.06,"")</f>
        <v>34531200</v>
      </c>
      <c r="G394" s="4">
        <f>IFERROR(F394/H394,"")</f>
        <v>143880</v>
      </c>
      <c r="H394" s="1">
        <v>240</v>
      </c>
      <c r="I394" s="1">
        <v>1999</v>
      </c>
      <c r="J394" t="s">
        <v>64</v>
      </c>
      <c r="K394" t="s">
        <v>638</v>
      </c>
      <c r="L394" t="s">
        <v>1976</v>
      </c>
      <c r="M394" t="s">
        <v>2933</v>
      </c>
      <c r="N394" t="s">
        <v>2934</v>
      </c>
      <c r="O394" t="s">
        <v>1976</v>
      </c>
      <c r="P394" s="1">
        <v>4</v>
      </c>
      <c r="Q394" t="s">
        <v>91</v>
      </c>
      <c r="R394" t="s">
        <v>70</v>
      </c>
      <c r="S394" t="s">
        <v>71</v>
      </c>
      <c r="T394" t="s">
        <v>118</v>
      </c>
      <c r="U394" t="s">
        <v>72</v>
      </c>
      <c r="V394" t="s">
        <v>2750</v>
      </c>
      <c r="W394" t="s">
        <v>74</v>
      </c>
      <c r="X394" t="s">
        <v>2935</v>
      </c>
      <c r="Y394" s="2">
        <v>1180</v>
      </c>
      <c r="Z394" s="3">
        <v>1.21</v>
      </c>
      <c r="AA394" s="4">
        <v>1432</v>
      </c>
      <c r="AK394" s="5">
        <v>24.166699999999999</v>
      </c>
      <c r="AN394" s="1">
        <v>2</v>
      </c>
      <c r="AO394" t="s">
        <v>81</v>
      </c>
      <c r="AP394" t="s">
        <v>82</v>
      </c>
      <c r="AQ394" t="s">
        <v>83</v>
      </c>
      <c r="AR394" s="3">
        <v>1.24</v>
      </c>
      <c r="AS394" s="4">
        <v>1348</v>
      </c>
      <c r="AT394" s="1">
        <v>1087</v>
      </c>
      <c r="AU394" s="3">
        <v>1.18</v>
      </c>
      <c r="AV394" s="4">
        <v>1559</v>
      </c>
      <c r="AW394" s="1">
        <v>1322</v>
      </c>
      <c r="AX394" s="3">
        <v>270039.90000000002</v>
      </c>
      <c r="BB394" t="s">
        <v>84</v>
      </c>
      <c r="BH394" s="1">
        <v>144</v>
      </c>
      <c r="BI394" s="1">
        <v>96</v>
      </c>
      <c r="BL394" t="s">
        <v>131</v>
      </c>
    </row>
    <row r="395" spans="1:67" x14ac:dyDescent="0.25">
      <c r="A395" t="s">
        <v>3978</v>
      </c>
      <c r="B395" t="s">
        <v>3979</v>
      </c>
      <c r="C395" s="4">
        <f>(AA395*(H395*0.9))*12</f>
        <v>5169117.6000000006</v>
      </c>
      <c r="D395" s="4">
        <f>IF(C395=0,"",(H395*150*12)+C395)</f>
        <v>5770317.6000000006</v>
      </c>
      <c r="E395" s="4">
        <f>IFERROR(D395*0.5,"")</f>
        <v>2885158.8000000003</v>
      </c>
      <c r="F395" s="4">
        <f>IFERROR(E395/0.06,"")</f>
        <v>48085980.000000007</v>
      </c>
      <c r="G395" s="4">
        <f>IFERROR(F395/H395,"")</f>
        <v>143970.00000000003</v>
      </c>
      <c r="H395" s="1">
        <v>334</v>
      </c>
      <c r="I395" s="1">
        <v>1995</v>
      </c>
      <c r="J395" t="s">
        <v>64</v>
      </c>
      <c r="K395" t="s">
        <v>198</v>
      </c>
      <c r="L395" t="s">
        <v>3980</v>
      </c>
      <c r="M395" t="s">
        <v>3981</v>
      </c>
      <c r="N395" t="s">
        <v>3982</v>
      </c>
      <c r="O395" t="s">
        <v>3980</v>
      </c>
      <c r="P395" s="1">
        <v>3</v>
      </c>
      <c r="Q395" t="s">
        <v>91</v>
      </c>
      <c r="R395" t="s">
        <v>70</v>
      </c>
      <c r="S395" t="s">
        <v>71</v>
      </c>
      <c r="U395" t="s">
        <v>72</v>
      </c>
      <c r="V395" t="s">
        <v>531</v>
      </c>
      <c r="W395" t="s">
        <v>74</v>
      </c>
      <c r="X395" t="s">
        <v>2034</v>
      </c>
      <c r="Y395" s="2">
        <v>889</v>
      </c>
      <c r="Z395" s="3">
        <v>1.61</v>
      </c>
      <c r="AA395" s="4">
        <v>1433</v>
      </c>
      <c r="AK395" s="5">
        <v>4.7904</v>
      </c>
      <c r="AN395" s="1">
        <v>4</v>
      </c>
      <c r="AO395" t="s">
        <v>81</v>
      </c>
      <c r="AP395" t="s">
        <v>82</v>
      </c>
      <c r="AQ395" t="s">
        <v>83</v>
      </c>
      <c r="AR395" s="3">
        <v>1.47</v>
      </c>
      <c r="AS395" s="4">
        <v>1566</v>
      </c>
      <c r="AT395" s="1">
        <v>1068</v>
      </c>
      <c r="AU395" s="3">
        <v>1.5</v>
      </c>
      <c r="AV395" s="4">
        <v>2167</v>
      </c>
      <c r="AW395" s="1">
        <v>1447</v>
      </c>
      <c r="AX395" s="3">
        <v>911823.5</v>
      </c>
      <c r="BB395" t="s">
        <v>84</v>
      </c>
      <c r="BD395" s="3">
        <v>1.8</v>
      </c>
      <c r="BE395" s="4">
        <v>1277</v>
      </c>
      <c r="BF395" s="1">
        <v>708</v>
      </c>
      <c r="BG395" s="1">
        <v>178</v>
      </c>
      <c r="BH395" s="1">
        <v>144</v>
      </c>
      <c r="BI395" s="1">
        <v>12</v>
      </c>
      <c r="BK395" t="s">
        <v>1739</v>
      </c>
      <c r="BL395" t="s">
        <v>104</v>
      </c>
    </row>
    <row r="396" spans="1:67" x14ac:dyDescent="0.25">
      <c r="A396" t="s">
        <v>988</v>
      </c>
      <c r="B396" t="s">
        <v>989</v>
      </c>
      <c r="C396" s="4">
        <f>(AA396*(H396*0.9))*12</f>
        <v>2789640</v>
      </c>
      <c r="D396" s="4">
        <f>IF(C396=0,"",(H396*150*12)+C396)</f>
        <v>3113640</v>
      </c>
      <c r="E396" s="4">
        <f>IFERROR(D396*0.5,"")</f>
        <v>1556820</v>
      </c>
      <c r="F396" s="4">
        <f>IFERROR(E396/0.06,"")</f>
        <v>25947000</v>
      </c>
      <c r="G396" s="4">
        <f>IFERROR(F396/H396,"")</f>
        <v>144150</v>
      </c>
      <c r="H396" s="1">
        <v>180</v>
      </c>
      <c r="I396" s="1">
        <v>1985</v>
      </c>
      <c r="J396" t="s">
        <v>64</v>
      </c>
      <c r="K396" t="s">
        <v>551</v>
      </c>
      <c r="L396" t="s">
        <v>990</v>
      </c>
      <c r="M396" t="s">
        <v>991</v>
      </c>
      <c r="N396" t="s">
        <v>992</v>
      </c>
      <c r="O396" t="s">
        <v>990</v>
      </c>
      <c r="P396" s="1">
        <v>3</v>
      </c>
      <c r="Q396" t="s">
        <v>91</v>
      </c>
      <c r="R396" t="s">
        <v>70</v>
      </c>
      <c r="S396" t="s">
        <v>71</v>
      </c>
      <c r="U396" t="s">
        <v>72</v>
      </c>
      <c r="V396" t="s">
        <v>551</v>
      </c>
      <c r="W396" t="s">
        <v>74</v>
      </c>
      <c r="X396" t="s">
        <v>986</v>
      </c>
      <c r="Y396" s="2">
        <v>800</v>
      </c>
      <c r="Z396" s="3">
        <v>1.79</v>
      </c>
      <c r="AA396" s="4">
        <v>1435</v>
      </c>
      <c r="AK396" s="5">
        <v>4.4443999999999999</v>
      </c>
      <c r="AN396" s="1">
        <v>2</v>
      </c>
      <c r="AO396" t="s">
        <v>81</v>
      </c>
      <c r="AP396" t="s">
        <v>82</v>
      </c>
      <c r="AQ396" t="s">
        <v>83</v>
      </c>
      <c r="AR396" s="3">
        <v>1.76</v>
      </c>
      <c r="AS396" s="4">
        <v>1685</v>
      </c>
      <c r="AT396" s="1">
        <v>957</v>
      </c>
      <c r="AX396" s="3">
        <v>455386.84</v>
      </c>
      <c r="BB396" t="s">
        <v>84</v>
      </c>
      <c r="BD396" s="3">
        <v>1.83</v>
      </c>
      <c r="BE396" s="4">
        <v>1216</v>
      </c>
      <c r="BF396" s="1">
        <v>664</v>
      </c>
      <c r="BG396" s="1">
        <v>96</v>
      </c>
      <c r="BH396" s="1">
        <v>84</v>
      </c>
      <c r="BL396" t="s">
        <v>131</v>
      </c>
    </row>
    <row r="397" spans="1:67" x14ac:dyDescent="0.25">
      <c r="A397" t="s">
        <v>2532</v>
      </c>
      <c r="B397" t="s">
        <v>2533</v>
      </c>
      <c r="C397" s="4">
        <f>(AA397*(H397*0.9))*12</f>
        <v>5610276</v>
      </c>
      <c r="D397" s="4">
        <f>IF(C397=0,"",(H397*150*12)+C397)</f>
        <v>6261876</v>
      </c>
      <c r="E397" s="4">
        <f>IFERROR(D397*0.5,"")</f>
        <v>3130938</v>
      </c>
      <c r="F397" s="4">
        <f>IFERROR(E397/0.06,"")</f>
        <v>52182300</v>
      </c>
      <c r="G397" s="4">
        <f>IFERROR(F397/H397,"")</f>
        <v>144150</v>
      </c>
      <c r="H397" s="1">
        <v>362</v>
      </c>
      <c r="I397" s="1">
        <v>1999</v>
      </c>
      <c r="J397" t="s">
        <v>64</v>
      </c>
      <c r="K397" t="s">
        <v>123</v>
      </c>
      <c r="L397" t="s">
        <v>199</v>
      </c>
      <c r="M397" t="s">
        <v>2534</v>
      </c>
      <c r="N397" t="s">
        <v>2535</v>
      </c>
      <c r="O397" t="s">
        <v>199</v>
      </c>
      <c r="P397" s="1">
        <v>4</v>
      </c>
      <c r="Q397" t="s">
        <v>729</v>
      </c>
      <c r="R397" t="s">
        <v>70</v>
      </c>
      <c r="S397" t="s">
        <v>71</v>
      </c>
      <c r="U397" t="s">
        <v>72</v>
      </c>
      <c r="V397" t="s">
        <v>129</v>
      </c>
      <c r="W397" t="s">
        <v>74</v>
      </c>
      <c r="X397" t="s">
        <v>2536</v>
      </c>
      <c r="Y397" s="2">
        <v>979</v>
      </c>
      <c r="Z397" s="3">
        <v>1.47</v>
      </c>
      <c r="AA397" s="4">
        <v>1435</v>
      </c>
      <c r="AK397" s="5">
        <v>7.4585999999999997</v>
      </c>
      <c r="AN397" s="1">
        <v>3</v>
      </c>
      <c r="AO397" t="s">
        <v>81</v>
      </c>
      <c r="AP397" t="s">
        <v>82</v>
      </c>
      <c r="AQ397" t="s">
        <v>83</v>
      </c>
      <c r="AR397" s="3">
        <v>1.37</v>
      </c>
      <c r="AS397" s="4">
        <v>1517</v>
      </c>
      <c r="AT397" s="1">
        <v>1108</v>
      </c>
      <c r="AU397" s="3">
        <v>1.32</v>
      </c>
      <c r="AV397" s="4">
        <v>1972</v>
      </c>
      <c r="AW397" s="1">
        <v>1493</v>
      </c>
      <c r="AX397" s="3">
        <v>1061055.8600000001</v>
      </c>
      <c r="BB397" t="s">
        <v>84</v>
      </c>
      <c r="BD397" s="3">
        <v>1.67</v>
      </c>
      <c r="BE397" s="4">
        <v>1205</v>
      </c>
      <c r="BF397" s="1">
        <v>723</v>
      </c>
      <c r="BG397" s="1">
        <v>177</v>
      </c>
      <c r="BH397" s="1">
        <v>129</v>
      </c>
      <c r="BI397" s="1">
        <v>56</v>
      </c>
      <c r="BK397" t="s">
        <v>145</v>
      </c>
      <c r="BL397" t="s">
        <v>104</v>
      </c>
    </row>
    <row r="398" spans="1:67" x14ac:dyDescent="0.25">
      <c r="A398" t="s">
        <v>2970</v>
      </c>
      <c r="B398" t="s">
        <v>2971</v>
      </c>
      <c r="C398" s="4">
        <f>(AA398*(H398*0.9))*12</f>
        <v>4680396</v>
      </c>
      <c r="D398" s="4">
        <f>IF(C398=0,"",(H398*150*12)+C398)</f>
        <v>5223996</v>
      </c>
      <c r="E398" s="4">
        <f>IFERROR(D398*0.5,"")</f>
        <v>2611998</v>
      </c>
      <c r="F398" s="4">
        <f>IFERROR(E398/0.06,"")</f>
        <v>43533300</v>
      </c>
      <c r="G398" s="4">
        <f>IFERROR(F398/H398,"")</f>
        <v>144150</v>
      </c>
      <c r="H398" s="1">
        <v>302</v>
      </c>
      <c r="I398" s="1">
        <v>1999</v>
      </c>
      <c r="J398" t="s">
        <v>64</v>
      </c>
      <c r="K398" t="s">
        <v>308</v>
      </c>
      <c r="L398" t="s">
        <v>2972</v>
      </c>
      <c r="M398" t="s">
        <v>2973</v>
      </c>
      <c r="N398" t="s">
        <v>2974</v>
      </c>
      <c r="O398" t="s">
        <v>2972</v>
      </c>
      <c r="P398" s="1">
        <v>3</v>
      </c>
      <c r="Q398" t="s">
        <v>91</v>
      </c>
      <c r="R398" t="s">
        <v>70</v>
      </c>
      <c r="S398" t="s">
        <v>71</v>
      </c>
      <c r="U398" t="s">
        <v>72</v>
      </c>
      <c r="V398" t="s">
        <v>393</v>
      </c>
      <c r="W398" t="s">
        <v>74</v>
      </c>
      <c r="X398" t="s">
        <v>2975</v>
      </c>
      <c r="Y398" s="2">
        <v>881</v>
      </c>
      <c r="Z398" s="3">
        <v>1.63</v>
      </c>
      <c r="AA398" s="4">
        <v>1435</v>
      </c>
      <c r="AK398" s="5">
        <v>3.9735</v>
      </c>
      <c r="AN398" s="1">
        <v>2</v>
      </c>
      <c r="AO398" t="s">
        <v>81</v>
      </c>
      <c r="AP398" t="s">
        <v>82</v>
      </c>
      <c r="AQ398" t="s">
        <v>83</v>
      </c>
      <c r="AR398" s="3">
        <v>1.61</v>
      </c>
      <c r="AS398" s="4">
        <v>1600</v>
      </c>
      <c r="AT398" s="1">
        <v>994</v>
      </c>
      <c r="AU398" s="3">
        <v>1.6</v>
      </c>
      <c r="AV398" s="4">
        <v>1954</v>
      </c>
      <c r="AW398" s="1">
        <v>1219</v>
      </c>
      <c r="AX398" s="3">
        <v>1041585.12</v>
      </c>
      <c r="BB398" t="s">
        <v>84</v>
      </c>
      <c r="BD398" s="3">
        <v>1.66</v>
      </c>
      <c r="BE398" s="4">
        <v>1216</v>
      </c>
      <c r="BF398" s="1">
        <v>735</v>
      </c>
      <c r="BG398" s="1">
        <v>152</v>
      </c>
      <c r="BH398" s="1">
        <v>126</v>
      </c>
      <c r="BI398" s="1">
        <v>24</v>
      </c>
    </row>
    <row r="399" spans="1:67" x14ac:dyDescent="0.25">
      <c r="A399" t="s">
        <v>3348</v>
      </c>
      <c r="B399" t="s">
        <v>3349</v>
      </c>
      <c r="C399" s="4">
        <f>(AA399*(H399*0.9))*12</f>
        <v>5858244</v>
      </c>
      <c r="D399" s="4">
        <f>IF(C399=0,"",(H399*150*12)+C399)</f>
        <v>6538644</v>
      </c>
      <c r="E399" s="4">
        <f>IFERROR(D399*0.5,"")</f>
        <v>3269322</v>
      </c>
      <c r="F399" s="4">
        <f>IFERROR(E399/0.06,"")</f>
        <v>54488700</v>
      </c>
      <c r="G399" s="4">
        <f>IFERROR(F399/H399,"")</f>
        <v>144150</v>
      </c>
      <c r="H399" s="1">
        <v>378</v>
      </c>
      <c r="I399" s="1">
        <v>2000</v>
      </c>
      <c r="J399" t="s">
        <v>64</v>
      </c>
      <c r="K399" t="s">
        <v>140</v>
      </c>
      <c r="L399" t="s">
        <v>801</v>
      </c>
      <c r="M399" t="s">
        <v>3350</v>
      </c>
      <c r="O399" t="s">
        <v>801</v>
      </c>
      <c r="P399" s="1">
        <v>4</v>
      </c>
      <c r="Q399" t="s">
        <v>91</v>
      </c>
      <c r="R399" t="s">
        <v>70</v>
      </c>
      <c r="S399" t="s">
        <v>71</v>
      </c>
      <c r="U399" t="s">
        <v>72</v>
      </c>
      <c r="V399" t="s">
        <v>140</v>
      </c>
      <c r="W399" t="s">
        <v>74</v>
      </c>
      <c r="X399" t="s">
        <v>1535</v>
      </c>
      <c r="Y399" s="2">
        <v>809</v>
      </c>
      <c r="Z399" s="3">
        <v>1.77</v>
      </c>
      <c r="AA399" s="4">
        <v>1435</v>
      </c>
      <c r="AK399" s="5">
        <v>6.6138000000000003</v>
      </c>
      <c r="AN399" s="1">
        <v>4</v>
      </c>
      <c r="AO399" t="s">
        <v>81</v>
      </c>
      <c r="AP399" t="s">
        <v>82</v>
      </c>
      <c r="AQ399" t="s">
        <v>83</v>
      </c>
      <c r="AR399" s="3">
        <v>1.67</v>
      </c>
      <c r="AS399" s="4">
        <v>1916</v>
      </c>
      <c r="AT399" s="1">
        <v>1150</v>
      </c>
      <c r="AY399" s="3">
        <v>1.83</v>
      </c>
      <c r="AZ399" s="4">
        <v>1200</v>
      </c>
      <c r="BA399" s="6">
        <v>656</v>
      </c>
      <c r="BB399" t="s">
        <v>84</v>
      </c>
      <c r="BD399" s="3">
        <v>1.81</v>
      </c>
      <c r="BE399" s="4">
        <v>1421</v>
      </c>
      <c r="BF399" s="1">
        <v>784</v>
      </c>
      <c r="BG399" s="1">
        <v>127</v>
      </c>
      <c r="BH399" s="1">
        <v>85</v>
      </c>
    </row>
    <row r="400" spans="1:67" x14ac:dyDescent="0.25">
      <c r="A400" t="s">
        <v>306</v>
      </c>
      <c r="B400" t="s">
        <v>307</v>
      </c>
      <c r="C400" s="4">
        <f>(AA400*(H400*0.9))*12</f>
        <v>2047161.5999999999</v>
      </c>
      <c r="D400" s="4">
        <f>IF(C400=0,"",(H400*150*12)+C400)</f>
        <v>2284761.5999999996</v>
      </c>
      <c r="E400" s="4">
        <f>IFERROR(D400*0.5,"")</f>
        <v>1142380.7999999998</v>
      </c>
      <c r="F400" s="4">
        <f>IFERROR(E400/0.06,"")</f>
        <v>19039679.999999996</v>
      </c>
      <c r="G400" s="4">
        <f>IFERROR(F400/H400,"")</f>
        <v>144239.99999999997</v>
      </c>
      <c r="H400" s="1">
        <v>132</v>
      </c>
      <c r="I400" s="1">
        <v>1985</v>
      </c>
      <c r="J400" t="s">
        <v>64</v>
      </c>
      <c r="K400" t="s">
        <v>308</v>
      </c>
      <c r="L400" t="s">
        <v>309</v>
      </c>
      <c r="M400" t="s">
        <v>310</v>
      </c>
      <c r="N400" t="s">
        <v>311</v>
      </c>
      <c r="O400" t="s">
        <v>309</v>
      </c>
      <c r="P400" s="1">
        <v>3</v>
      </c>
      <c r="Q400" t="s">
        <v>69</v>
      </c>
      <c r="R400" t="s">
        <v>70</v>
      </c>
      <c r="S400" t="s">
        <v>71</v>
      </c>
      <c r="U400" t="s">
        <v>72</v>
      </c>
      <c r="V400" t="s">
        <v>312</v>
      </c>
      <c r="W400" t="s">
        <v>74</v>
      </c>
      <c r="X400" t="s">
        <v>313</v>
      </c>
      <c r="Y400" s="2">
        <v>978</v>
      </c>
      <c r="Z400" s="3">
        <v>1.47</v>
      </c>
      <c r="AA400" s="4">
        <v>1436</v>
      </c>
      <c r="AK400" s="5">
        <v>3.7879</v>
      </c>
      <c r="AN400" s="1">
        <v>2</v>
      </c>
      <c r="AO400" t="s">
        <v>81</v>
      </c>
      <c r="AP400" t="s">
        <v>82</v>
      </c>
      <c r="AQ400" t="s">
        <v>83</v>
      </c>
      <c r="AR400" s="3">
        <v>1.47</v>
      </c>
      <c r="AS400" s="4">
        <v>1550</v>
      </c>
      <c r="AT400" s="1">
        <v>1051</v>
      </c>
      <c r="AX400" s="3">
        <v>347601.31</v>
      </c>
      <c r="BB400" t="s">
        <v>84</v>
      </c>
      <c r="BD400" s="3">
        <v>1.44</v>
      </c>
      <c r="BE400" s="4">
        <v>1176</v>
      </c>
      <c r="BF400" s="1">
        <v>814</v>
      </c>
      <c r="BG400" s="1">
        <v>40</v>
      </c>
      <c r="BH400" s="1">
        <v>92</v>
      </c>
      <c r="BK400" t="s">
        <v>314</v>
      </c>
      <c r="BL400" t="s">
        <v>104</v>
      </c>
    </row>
    <row r="401" spans="1:64" x14ac:dyDescent="0.25">
      <c r="A401" t="s">
        <v>2952</v>
      </c>
      <c r="B401" t="s">
        <v>2953</v>
      </c>
      <c r="C401" s="4">
        <f>(AA401*(H401*0.9))*12</f>
        <v>3008707.2</v>
      </c>
      <c r="D401" s="4">
        <f>IF(C401=0,"",(H401*150*12)+C401)</f>
        <v>3357907.2</v>
      </c>
      <c r="E401" s="4">
        <f>IFERROR(D401*0.5,"")</f>
        <v>1678953.6</v>
      </c>
      <c r="F401" s="4">
        <f>IFERROR(E401/0.06,"")</f>
        <v>27982560.000000004</v>
      </c>
      <c r="G401" s="4">
        <f>IFERROR(F401/H401,"")</f>
        <v>144240.00000000003</v>
      </c>
      <c r="H401" s="1">
        <v>194</v>
      </c>
      <c r="I401" s="1">
        <v>2000</v>
      </c>
      <c r="J401" t="s">
        <v>64</v>
      </c>
      <c r="K401" t="s">
        <v>2063</v>
      </c>
      <c r="L401" t="s">
        <v>403</v>
      </c>
      <c r="M401" t="s">
        <v>2954</v>
      </c>
      <c r="N401" t="s">
        <v>2955</v>
      </c>
      <c r="O401" t="s">
        <v>403</v>
      </c>
      <c r="P401" s="1">
        <v>4</v>
      </c>
      <c r="Q401" t="s">
        <v>91</v>
      </c>
      <c r="R401" t="s">
        <v>70</v>
      </c>
      <c r="S401" t="s">
        <v>71</v>
      </c>
      <c r="U401" t="s">
        <v>72</v>
      </c>
      <c r="V401" t="s">
        <v>152</v>
      </c>
      <c r="W401" t="s">
        <v>74</v>
      </c>
      <c r="X401" t="s">
        <v>2601</v>
      </c>
      <c r="Y401" s="2">
        <v>853</v>
      </c>
      <c r="Z401" s="3">
        <v>1.68</v>
      </c>
      <c r="AA401" s="4">
        <v>1436</v>
      </c>
      <c r="AK401" s="5">
        <v>7.2164999999999999</v>
      </c>
      <c r="AN401" s="1">
        <v>4</v>
      </c>
      <c r="AO401" t="s">
        <v>81</v>
      </c>
      <c r="AP401" t="s">
        <v>82</v>
      </c>
      <c r="AQ401" t="s">
        <v>83</v>
      </c>
      <c r="AR401" s="3">
        <v>1.65</v>
      </c>
      <c r="AS401" s="4">
        <v>1625</v>
      </c>
      <c r="AT401" s="1">
        <v>986</v>
      </c>
      <c r="BB401" t="s">
        <v>84</v>
      </c>
      <c r="BD401" s="3">
        <v>1.71</v>
      </c>
      <c r="BE401" s="4">
        <v>1304</v>
      </c>
      <c r="BF401" s="1">
        <v>760</v>
      </c>
      <c r="BG401" s="1">
        <v>114</v>
      </c>
      <c r="BH401" s="1">
        <v>80</v>
      </c>
    </row>
    <row r="402" spans="1:64" x14ac:dyDescent="0.25">
      <c r="A402" t="s">
        <v>3457</v>
      </c>
      <c r="B402" t="s">
        <v>3458</v>
      </c>
      <c r="C402" s="4">
        <f>(AA402*(H402*0.9))*12</f>
        <v>10266825.600000001</v>
      </c>
      <c r="D402" s="4">
        <f>IF(C402=0,"",(H402*150*12)+C402)</f>
        <v>11458425.600000001</v>
      </c>
      <c r="E402" s="4">
        <f>IFERROR(D402*0.5,"")</f>
        <v>5729212.8000000007</v>
      </c>
      <c r="F402" s="4">
        <f>IFERROR(E402/0.06,"")</f>
        <v>95486880.000000015</v>
      </c>
      <c r="G402" s="4">
        <f>IFERROR(F402/H402,"")</f>
        <v>144240.00000000003</v>
      </c>
      <c r="H402" s="1">
        <v>662</v>
      </c>
      <c r="I402" s="1">
        <v>1994</v>
      </c>
      <c r="J402" t="s">
        <v>64</v>
      </c>
      <c r="K402" t="s">
        <v>269</v>
      </c>
      <c r="L402" t="s">
        <v>478</v>
      </c>
      <c r="M402" t="s">
        <v>3459</v>
      </c>
      <c r="O402" t="s">
        <v>478</v>
      </c>
      <c r="P402" s="1">
        <v>5</v>
      </c>
      <c r="Q402" t="s">
        <v>729</v>
      </c>
      <c r="R402" t="s">
        <v>70</v>
      </c>
      <c r="S402" t="s">
        <v>71</v>
      </c>
      <c r="U402" t="s">
        <v>72</v>
      </c>
      <c r="V402" t="s">
        <v>73</v>
      </c>
      <c r="W402" t="s">
        <v>74</v>
      </c>
      <c r="X402" t="s">
        <v>1551</v>
      </c>
      <c r="Y402" s="2">
        <v>886</v>
      </c>
      <c r="Z402" s="3">
        <v>1.62</v>
      </c>
      <c r="AA402" s="4">
        <v>1436</v>
      </c>
      <c r="AK402" s="5">
        <v>12.537800000000001</v>
      </c>
      <c r="AN402" s="1">
        <v>3</v>
      </c>
      <c r="AO402" t="s">
        <v>81</v>
      </c>
      <c r="AP402" t="s">
        <v>82</v>
      </c>
      <c r="AQ402" t="s">
        <v>83</v>
      </c>
      <c r="AR402" s="3">
        <v>1.55</v>
      </c>
      <c r="AS402" s="4">
        <v>1653</v>
      </c>
      <c r="AT402" s="1">
        <v>1068</v>
      </c>
      <c r="AU402" s="3">
        <v>1.72</v>
      </c>
      <c r="AV402" s="4">
        <v>2377</v>
      </c>
      <c r="AW402" s="1">
        <v>1384</v>
      </c>
      <c r="AX402" s="3">
        <v>0</v>
      </c>
      <c r="BB402" t="s">
        <v>84</v>
      </c>
      <c r="BD402" s="3">
        <v>1.7</v>
      </c>
      <c r="BE402" s="4">
        <v>1201</v>
      </c>
      <c r="BF402" s="1">
        <v>706</v>
      </c>
      <c r="BG402" s="1">
        <v>350</v>
      </c>
      <c r="BH402" s="1">
        <v>292</v>
      </c>
      <c r="BI402" s="1">
        <v>20</v>
      </c>
    </row>
    <row r="403" spans="1:64" x14ac:dyDescent="0.25">
      <c r="A403" t="s">
        <v>3509</v>
      </c>
      <c r="B403" t="s">
        <v>3510</v>
      </c>
      <c r="C403" s="4">
        <f>(AA403*(H403*0.9))*12</f>
        <v>7170055.1999999993</v>
      </c>
      <c r="D403" s="4">
        <f>IF(C403=0,"",(H403*150*12)+C403)</f>
        <v>8001655.1999999993</v>
      </c>
      <c r="E403" s="4">
        <f>IFERROR(D403*0.5,"")</f>
        <v>4000827.5999999996</v>
      </c>
      <c r="F403" s="4">
        <f>IFERROR(E403/0.06,"")</f>
        <v>66680459.999999993</v>
      </c>
      <c r="G403" s="4">
        <f>IFERROR(F403/H403,"")</f>
        <v>144329.99999999997</v>
      </c>
      <c r="H403" s="1">
        <v>462</v>
      </c>
      <c r="I403" s="1">
        <v>1991</v>
      </c>
      <c r="J403" t="s">
        <v>64</v>
      </c>
      <c r="K403" t="s">
        <v>140</v>
      </c>
      <c r="L403" t="s">
        <v>575</v>
      </c>
      <c r="M403" t="s">
        <v>3511</v>
      </c>
      <c r="N403" t="s">
        <v>3512</v>
      </c>
      <c r="O403" t="s">
        <v>575</v>
      </c>
      <c r="P403" s="1">
        <v>3</v>
      </c>
      <c r="Q403" t="s">
        <v>91</v>
      </c>
      <c r="R403" t="s">
        <v>70</v>
      </c>
      <c r="S403" t="s">
        <v>71</v>
      </c>
      <c r="U403" t="s">
        <v>72</v>
      </c>
      <c r="V403" t="s">
        <v>140</v>
      </c>
      <c r="W403" t="s">
        <v>74</v>
      </c>
      <c r="X403" t="s">
        <v>1535</v>
      </c>
      <c r="Y403" s="2">
        <v>803</v>
      </c>
      <c r="Z403" s="3">
        <v>1.79</v>
      </c>
      <c r="AA403" s="4">
        <v>1437</v>
      </c>
      <c r="AK403" s="5">
        <v>5.8441999999999998</v>
      </c>
      <c r="AM403" s="1">
        <v>2016</v>
      </c>
      <c r="AN403" s="1">
        <v>2</v>
      </c>
      <c r="AO403" t="s">
        <v>81</v>
      </c>
      <c r="AP403" t="s">
        <v>82</v>
      </c>
      <c r="AQ403" t="s">
        <v>83</v>
      </c>
      <c r="AR403" s="3">
        <v>1.68</v>
      </c>
      <c r="AS403" s="4">
        <v>1641</v>
      </c>
      <c r="AT403" s="1">
        <v>974</v>
      </c>
      <c r="AX403" s="3">
        <v>571422.89</v>
      </c>
      <c r="BB403" t="s">
        <v>84</v>
      </c>
      <c r="BD403" s="3">
        <v>1.89</v>
      </c>
      <c r="BE403" s="4">
        <v>1292</v>
      </c>
      <c r="BF403" s="1">
        <v>682</v>
      </c>
      <c r="BG403" s="1">
        <v>270</v>
      </c>
      <c r="BH403" s="1">
        <v>192</v>
      </c>
      <c r="BK403" t="s">
        <v>1130</v>
      </c>
      <c r="BL403" t="s">
        <v>104</v>
      </c>
    </row>
    <row r="404" spans="1:64" x14ac:dyDescent="0.25">
      <c r="A404" t="s">
        <v>1094</v>
      </c>
      <c r="B404" t="s">
        <v>1095</v>
      </c>
      <c r="C404" s="4">
        <f>(AA404*(H404*0.9))*12</f>
        <v>1024293.6000000001</v>
      </c>
      <c r="D404" s="4">
        <f>IF(C404=0,"",(H404*150*12)+C404)</f>
        <v>1143093.6000000001</v>
      </c>
      <c r="E404" s="4">
        <f>IFERROR(D404*0.5,"")</f>
        <v>571546.80000000005</v>
      </c>
      <c r="F404" s="4">
        <f>IFERROR(E404/0.06,"")</f>
        <v>9525780.0000000019</v>
      </c>
      <c r="G404" s="4">
        <f>IFERROR(F404/H404,"")</f>
        <v>144330.00000000003</v>
      </c>
      <c r="H404" s="1">
        <v>66</v>
      </c>
      <c r="I404" s="1">
        <v>1986</v>
      </c>
      <c r="J404" t="s">
        <v>64</v>
      </c>
      <c r="K404" t="s">
        <v>97</v>
      </c>
      <c r="L404" t="s">
        <v>1096</v>
      </c>
      <c r="M404" t="s">
        <v>1097</v>
      </c>
      <c r="N404" t="s">
        <v>1098</v>
      </c>
      <c r="O404" t="s">
        <v>1096</v>
      </c>
      <c r="P404" s="1">
        <v>3</v>
      </c>
      <c r="Q404" t="s">
        <v>91</v>
      </c>
      <c r="R404" t="s">
        <v>70</v>
      </c>
      <c r="S404" t="s">
        <v>71</v>
      </c>
      <c r="U404" t="s">
        <v>72</v>
      </c>
      <c r="V404" t="s">
        <v>961</v>
      </c>
      <c r="W404" t="s">
        <v>74</v>
      </c>
      <c r="X404" t="s">
        <v>1099</v>
      </c>
      <c r="Y404" s="2">
        <v>945</v>
      </c>
      <c r="Z404" s="3">
        <v>1.52</v>
      </c>
      <c r="AA404" s="4">
        <v>1437</v>
      </c>
      <c r="AK404" s="5">
        <v>10.6061</v>
      </c>
      <c r="AM404" s="1">
        <v>2005</v>
      </c>
      <c r="AN404" s="1">
        <v>2</v>
      </c>
      <c r="AO404" t="s">
        <v>81</v>
      </c>
      <c r="AP404" t="s">
        <v>82</v>
      </c>
      <c r="AQ404" t="s">
        <v>83</v>
      </c>
      <c r="AR404" s="3">
        <v>1.42</v>
      </c>
      <c r="AS404" s="4">
        <v>1500</v>
      </c>
      <c r="AT404" s="1">
        <v>1053</v>
      </c>
      <c r="AU404" s="3">
        <v>1.43</v>
      </c>
      <c r="AV404" s="4">
        <v>1601</v>
      </c>
      <c r="AW404" s="1">
        <v>1123</v>
      </c>
      <c r="AX404" s="3">
        <v>209067.95</v>
      </c>
      <c r="BB404" t="s">
        <v>84</v>
      </c>
      <c r="BD404" s="3">
        <v>2.14</v>
      </c>
      <c r="BE404" s="4">
        <v>1115</v>
      </c>
      <c r="BF404" s="1">
        <v>520</v>
      </c>
      <c r="BG404" s="1">
        <v>16</v>
      </c>
      <c r="BH404" s="1">
        <v>30</v>
      </c>
      <c r="BI404" s="1">
        <v>20</v>
      </c>
      <c r="BL404" t="s">
        <v>131</v>
      </c>
    </row>
    <row r="405" spans="1:64" x14ac:dyDescent="0.25">
      <c r="A405" t="s">
        <v>2898</v>
      </c>
      <c r="B405" t="s">
        <v>2899</v>
      </c>
      <c r="C405" s="4">
        <f>(AA405*(H405*0.9))*12</f>
        <v>1941300</v>
      </c>
      <c r="D405" s="4">
        <f>IF(C405=0,"",(H405*150*12)+C405)</f>
        <v>2166300</v>
      </c>
      <c r="E405" s="4">
        <f>IFERROR(D405*0.5,"")</f>
        <v>1083150</v>
      </c>
      <c r="F405" s="4">
        <f>IFERROR(E405/0.06,"")</f>
        <v>18052500</v>
      </c>
      <c r="G405" s="4">
        <f>IFERROR(F405/H405,"")</f>
        <v>144420</v>
      </c>
      <c r="H405" s="1">
        <v>125</v>
      </c>
      <c r="I405" s="1">
        <v>1999</v>
      </c>
      <c r="J405" t="s">
        <v>64</v>
      </c>
      <c r="K405" t="s">
        <v>625</v>
      </c>
      <c r="L405" t="s">
        <v>2900</v>
      </c>
      <c r="M405" t="s">
        <v>2901</v>
      </c>
      <c r="N405" t="s">
        <v>2902</v>
      </c>
      <c r="O405" t="s">
        <v>2900</v>
      </c>
      <c r="P405" s="1">
        <v>4</v>
      </c>
      <c r="Q405" t="s">
        <v>91</v>
      </c>
      <c r="R405" t="s">
        <v>70</v>
      </c>
      <c r="S405" t="s">
        <v>71</v>
      </c>
      <c r="T405" t="s">
        <v>118</v>
      </c>
      <c r="U405" t="s">
        <v>72</v>
      </c>
      <c r="V405" t="s">
        <v>73</v>
      </c>
      <c r="W405" t="s">
        <v>74</v>
      </c>
      <c r="X405" t="s">
        <v>2903</v>
      </c>
      <c r="Y405" s="2">
        <v>1347</v>
      </c>
      <c r="Z405" s="3">
        <v>1.07</v>
      </c>
      <c r="AA405" s="4">
        <v>1438</v>
      </c>
      <c r="AL405" s="1">
        <v>12</v>
      </c>
      <c r="AN405" s="1">
        <v>2</v>
      </c>
      <c r="AO405" t="s">
        <v>81</v>
      </c>
      <c r="AP405" t="s">
        <v>82</v>
      </c>
      <c r="AQ405" t="s">
        <v>83</v>
      </c>
      <c r="AU405" s="3">
        <v>1.07</v>
      </c>
      <c r="AV405" s="4">
        <v>1438</v>
      </c>
      <c r="AW405" s="1">
        <v>1347</v>
      </c>
      <c r="AX405" s="3">
        <v>14584.88</v>
      </c>
      <c r="BB405" t="s">
        <v>84</v>
      </c>
      <c r="BI405" s="1">
        <v>125</v>
      </c>
      <c r="BK405" t="s">
        <v>247</v>
      </c>
      <c r="BL405" t="s">
        <v>104</v>
      </c>
    </row>
    <row r="406" spans="1:64" x14ac:dyDescent="0.25">
      <c r="A406" t="s">
        <v>3485</v>
      </c>
      <c r="B406" t="s">
        <v>3486</v>
      </c>
      <c r="C406" s="4">
        <f>(AA406*(H406*0.9))*12</f>
        <v>4985258.4000000004</v>
      </c>
      <c r="D406" s="4">
        <f>IF(C406=0,"",(H406*150*12)+C406)</f>
        <v>5563058.4000000004</v>
      </c>
      <c r="E406" s="4">
        <f>IFERROR(D406*0.5,"")</f>
        <v>2781529.2</v>
      </c>
      <c r="F406" s="4">
        <f>IFERROR(E406/0.06,"")</f>
        <v>46358820.000000007</v>
      </c>
      <c r="G406" s="4">
        <f>IFERROR(F406/H406,"")</f>
        <v>144420.00000000003</v>
      </c>
      <c r="H406" s="1">
        <v>321</v>
      </c>
      <c r="I406" s="1">
        <v>1999</v>
      </c>
      <c r="J406" t="s">
        <v>64</v>
      </c>
      <c r="K406" t="s">
        <v>269</v>
      </c>
      <c r="L406" t="s">
        <v>3487</v>
      </c>
      <c r="M406" t="s">
        <v>3488</v>
      </c>
      <c r="N406" t="s">
        <v>3489</v>
      </c>
      <c r="O406" t="s">
        <v>3487</v>
      </c>
      <c r="P406" s="1">
        <v>4</v>
      </c>
      <c r="Q406" t="s">
        <v>729</v>
      </c>
      <c r="R406" t="s">
        <v>70</v>
      </c>
      <c r="S406" t="s">
        <v>71</v>
      </c>
      <c r="U406" t="s">
        <v>72</v>
      </c>
      <c r="V406" t="s">
        <v>73</v>
      </c>
      <c r="W406" t="s">
        <v>74</v>
      </c>
      <c r="X406" t="s">
        <v>1551</v>
      </c>
      <c r="Y406" s="2">
        <v>899</v>
      </c>
      <c r="Z406" s="3">
        <v>1.6</v>
      </c>
      <c r="AA406" s="4">
        <v>1438</v>
      </c>
      <c r="AK406" s="5">
        <v>14.018700000000001</v>
      </c>
      <c r="AL406" s="1">
        <v>1</v>
      </c>
      <c r="AN406" s="1">
        <v>3</v>
      </c>
      <c r="AO406" t="s">
        <v>81</v>
      </c>
      <c r="AP406" t="s">
        <v>82</v>
      </c>
      <c r="AQ406" t="s">
        <v>83</v>
      </c>
      <c r="AR406" s="3">
        <v>1.48</v>
      </c>
      <c r="AS406" s="4">
        <v>1689</v>
      </c>
      <c r="AT406" s="1">
        <v>1144</v>
      </c>
      <c r="AX406" s="3">
        <v>951776.79</v>
      </c>
      <c r="BB406" t="s">
        <v>84</v>
      </c>
      <c r="BD406" s="3">
        <v>1.74</v>
      </c>
      <c r="BE406" s="4">
        <v>1254</v>
      </c>
      <c r="BF406" s="1">
        <v>719</v>
      </c>
      <c r="BG406" s="1">
        <v>185</v>
      </c>
      <c r="BH406" s="1">
        <v>136</v>
      </c>
      <c r="BK406" t="s">
        <v>225</v>
      </c>
      <c r="BL406" t="s">
        <v>104</v>
      </c>
    </row>
    <row r="407" spans="1:64" x14ac:dyDescent="0.25">
      <c r="A407" t="s">
        <v>3097</v>
      </c>
      <c r="B407" t="s">
        <v>3098</v>
      </c>
      <c r="C407" s="4">
        <f>(AA407*(H407*0.9))*12</f>
        <v>2739052.8</v>
      </c>
      <c r="D407" s="4">
        <f>IF(C407=0,"",(H407*150*12)+C407)</f>
        <v>3055852.8</v>
      </c>
      <c r="E407" s="4">
        <f>IFERROR(D407*0.5,"")</f>
        <v>1527926.4</v>
      </c>
      <c r="F407" s="4">
        <f>IFERROR(E407/0.06,"")</f>
        <v>25465440</v>
      </c>
      <c r="G407" s="4">
        <f>IFERROR(F407/H407,"")</f>
        <v>144690</v>
      </c>
      <c r="H407" s="1">
        <v>176</v>
      </c>
      <c r="I407" s="1">
        <v>2000</v>
      </c>
      <c r="J407" t="s">
        <v>64</v>
      </c>
      <c r="K407" t="s">
        <v>653</v>
      </c>
      <c r="L407" t="s">
        <v>3099</v>
      </c>
      <c r="M407" t="s">
        <v>3100</v>
      </c>
      <c r="N407" t="s">
        <v>3101</v>
      </c>
      <c r="O407" t="s">
        <v>3099</v>
      </c>
      <c r="P407" s="1">
        <v>3</v>
      </c>
      <c r="Q407" t="s">
        <v>91</v>
      </c>
      <c r="R407" t="s">
        <v>70</v>
      </c>
      <c r="S407" t="s">
        <v>71</v>
      </c>
      <c r="U407" t="s">
        <v>72</v>
      </c>
      <c r="V407" t="s">
        <v>152</v>
      </c>
      <c r="W407" t="s">
        <v>74</v>
      </c>
      <c r="X407" t="s">
        <v>1070</v>
      </c>
      <c r="Y407" s="2">
        <v>919</v>
      </c>
      <c r="Z407" s="3">
        <v>1.57</v>
      </c>
      <c r="AA407" s="4">
        <v>1441</v>
      </c>
      <c r="AK407" s="5">
        <v>7.9545000000000003</v>
      </c>
      <c r="AN407" s="1">
        <v>2</v>
      </c>
      <c r="AO407" t="s">
        <v>81</v>
      </c>
      <c r="AP407" t="s">
        <v>82</v>
      </c>
      <c r="AQ407" t="s">
        <v>83</v>
      </c>
      <c r="AR407" s="3">
        <v>1.49</v>
      </c>
      <c r="AS407" s="4">
        <v>1545</v>
      </c>
      <c r="AT407" s="1">
        <v>1040</v>
      </c>
      <c r="AU407" s="3">
        <v>1.5</v>
      </c>
      <c r="AV407" s="4">
        <v>1779</v>
      </c>
      <c r="AW407" s="1">
        <v>1185</v>
      </c>
      <c r="BB407" t="s">
        <v>84</v>
      </c>
      <c r="BD407" s="3">
        <v>1.7</v>
      </c>
      <c r="BE407" s="4">
        <v>1269</v>
      </c>
      <c r="BF407" s="1">
        <v>746</v>
      </c>
      <c r="BG407" s="1">
        <v>80</v>
      </c>
      <c r="BH407" s="1">
        <v>80</v>
      </c>
      <c r="BI407" s="1">
        <v>16</v>
      </c>
      <c r="BK407" t="s">
        <v>3102</v>
      </c>
      <c r="BL407" t="s">
        <v>104</v>
      </c>
    </row>
    <row r="408" spans="1:64" x14ac:dyDescent="0.25">
      <c r="A408" t="s">
        <v>2381</v>
      </c>
      <c r="B408" t="s">
        <v>2382</v>
      </c>
      <c r="C408" s="4">
        <f>(AA408*(H408*0.9))*12</f>
        <v>4858963.2</v>
      </c>
      <c r="D408" s="4">
        <f>IF(C408=0,"",(H408*150*12)+C408)</f>
        <v>5420563.2000000002</v>
      </c>
      <c r="E408" s="4">
        <f>IFERROR(D408*0.5,"")</f>
        <v>2710281.6</v>
      </c>
      <c r="F408" s="4">
        <f>IFERROR(E408/0.06,"")</f>
        <v>45171360</v>
      </c>
      <c r="G408" s="4">
        <f>IFERROR(F408/H408,"")</f>
        <v>144780</v>
      </c>
      <c r="H408" s="1">
        <v>312</v>
      </c>
      <c r="I408" s="1">
        <v>1995</v>
      </c>
      <c r="J408" t="s">
        <v>64</v>
      </c>
      <c r="K408" t="s">
        <v>2376</v>
      </c>
      <c r="L408" t="s">
        <v>2383</v>
      </c>
      <c r="M408" t="s">
        <v>2384</v>
      </c>
      <c r="N408" t="s">
        <v>2385</v>
      </c>
      <c r="O408" t="s">
        <v>2383</v>
      </c>
      <c r="P408" s="1">
        <v>4</v>
      </c>
      <c r="Q408" t="s">
        <v>91</v>
      </c>
      <c r="R408" t="s">
        <v>70</v>
      </c>
      <c r="S408" t="s">
        <v>71</v>
      </c>
      <c r="U408" t="s">
        <v>72</v>
      </c>
      <c r="V408" t="s">
        <v>134</v>
      </c>
      <c r="W408" t="s">
        <v>74</v>
      </c>
      <c r="X408" t="s">
        <v>2380</v>
      </c>
      <c r="Y408" s="2">
        <v>894</v>
      </c>
      <c r="Z408" s="3">
        <v>1.61</v>
      </c>
      <c r="AA408" s="4">
        <v>1442</v>
      </c>
      <c r="AK408" s="5">
        <v>7.3718000000000004</v>
      </c>
      <c r="AM408" s="1">
        <v>2003</v>
      </c>
      <c r="AN408" s="1">
        <v>3</v>
      </c>
      <c r="AO408" t="s">
        <v>81</v>
      </c>
      <c r="AP408" t="s">
        <v>82</v>
      </c>
      <c r="AQ408" t="s">
        <v>83</v>
      </c>
      <c r="AR408" s="3">
        <v>1.49</v>
      </c>
      <c r="AS408" s="4">
        <v>1562</v>
      </c>
      <c r="AT408" s="1">
        <v>1050</v>
      </c>
      <c r="AU408" s="3">
        <v>1.56</v>
      </c>
      <c r="AV408" s="4">
        <v>2166</v>
      </c>
      <c r="AW408" s="1">
        <v>1390</v>
      </c>
      <c r="AX408" s="3">
        <v>959409</v>
      </c>
      <c r="BB408" t="s">
        <v>84</v>
      </c>
      <c r="BD408" s="3">
        <v>1.76</v>
      </c>
      <c r="BE408" s="4">
        <v>1253</v>
      </c>
      <c r="BF408" s="1">
        <v>712</v>
      </c>
      <c r="BG408" s="1">
        <v>168</v>
      </c>
      <c r="BH408" s="1">
        <v>120</v>
      </c>
      <c r="BI408" s="1">
        <v>24</v>
      </c>
      <c r="BK408" t="s">
        <v>2386</v>
      </c>
      <c r="BL408" t="s">
        <v>131</v>
      </c>
    </row>
    <row r="409" spans="1:64" x14ac:dyDescent="0.25">
      <c r="A409" t="s">
        <v>1620</v>
      </c>
      <c r="B409" t="s">
        <v>1621</v>
      </c>
      <c r="C409" s="4">
        <f>(AA409*(H409*0.9))*12</f>
        <v>4675320</v>
      </c>
      <c r="D409" s="4">
        <f>IF(C409=0,"",(H409*150*12)+C409)</f>
        <v>5215320</v>
      </c>
      <c r="E409" s="4">
        <f>IFERROR(D409*0.5,"")</f>
        <v>2607660</v>
      </c>
      <c r="F409" s="4">
        <f>IFERROR(E409/0.06,"")</f>
        <v>43461000</v>
      </c>
      <c r="G409" s="4">
        <f>IFERROR(F409/H409,"")</f>
        <v>144870</v>
      </c>
      <c r="H409" s="1">
        <v>300</v>
      </c>
      <c r="I409" s="1">
        <v>1990</v>
      </c>
      <c r="J409" t="s">
        <v>64</v>
      </c>
      <c r="K409" t="s">
        <v>514</v>
      </c>
      <c r="L409" t="s">
        <v>575</v>
      </c>
      <c r="M409" t="s">
        <v>1622</v>
      </c>
      <c r="N409" t="s">
        <v>1623</v>
      </c>
      <c r="O409" t="s">
        <v>575</v>
      </c>
      <c r="P409" s="1">
        <v>4</v>
      </c>
      <c r="Q409" t="s">
        <v>91</v>
      </c>
      <c r="R409" t="s">
        <v>70</v>
      </c>
      <c r="S409" t="s">
        <v>71</v>
      </c>
      <c r="U409" t="s">
        <v>72</v>
      </c>
      <c r="V409" t="s">
        <v>264</v>
      </c>
      <c r="W409" t="s">
        <v>74</v>
      </c>
      <c r="X409" t="s">
        <v>517</v>
      </c>
      <c r="Y409" s="2">
        <v>829</v>
      </c>
      <c r="Z409" s="3">
        <v>1.74</v>
      </c>
      <c r="AA409" s="4">
        <v>1443</v>
      </c>
      <c r="AK409" s="5">
        <v>5</v>
      </c>
      <c r="AM409" s="1">
        <v>2016</v>
      </c>
      <c r="AN409" s="1">
        <v>3</v>
      </c>
      <c r="AO409" t="s">
        <v>81</v>
      </c>
      <c r="AP409" t="s">
        <v>82</v>
      </c>
      <c r="AQ409" t="s">
        <v>83</v>
      </c>
      <c r="AR409" s="3">
        <v>1.61</v>
      </c>
      <c r="AS409" s="4">
        <v>1669</v>
      </c>
      <c r="AT409" s="1">
        <v>1039</v>
      </c>
      <c r="AX409" s="3">
        <v>370411.98</v>
      </c>
      <c r="BB409" t="s">
        <v>84</v>
      </c>
      <c r="BD409" s="3">
        <v>1.87</v>
      </c>
      <c r="BE409" s="4">
        <v>1297</v>
      </c>
      <c r="BF409" s="1">
        <v>694</v>
      </c>
      <c r="BG409" s="1">
        <v>182</v>
      </c>
      <c r="BH409" s="1">
        <v>118</v>
      </c>
      <c r="BK409" t="s">
        <v>1130</v>
      </c>
      <c r="BL409" t="s">
        <v>104</v>
      </c>
    </row>
    <row r="410" spans="1:64" x14ac:dyDescent="0.25">
      <c r="A410" t="s">
        <v>2077</v>
      </c>
      <c r="B410" t="s">
        <v>2078</v>
      </c>
      <c r="C410" s="4">
        <f>(AA410*(H410*0.9))*12</f>
        <v>7761031.1999999993</v>
      </c>
      <c r="D410" s="4">
        <f>IF(C410=0,"",(H410*150*12)+C410)</f>
        <v>8657431.1999999993</v>
      </c>
      <c r="E410" s="4">
        <f>IFERROR(D410*0.5,"")</f>
        <v>4328715.5999999996</v>
      </c>
      <c r="F410" s="4">
        <f>IFERROR(E410/0.06,"")</f>
        <v>72145260</v>
      </c>
      <c r="G410" s="4">
        <f>IFERROR(F410/H410,"")</f>
        <v>144870</v>
      </c>
      <c r="H410" s="1">
        <v>498</v>
      </c>
      <c r="I410" s="1">
        <v>2000</v>
      </c>
      <c r="J410" t="s">
        <v>64</v>
      </c>
      <c r="K410" t="s">
        <v>140</v>
      </c>
      <c r="L410" t="s">
        <v>801</v>
      </c>
      <c r="M410" t="s">
        <v>2079</v>
      </c>
      <c r="N410" t="s">
        <v>2080</v>
      </c>
      <c r="O410" t="s">
        <v>801</v>
      </c>
      <c r="P410" s="1">
        <v>3</v>
      </c>
      <c r="Q410" t="s">
        <v>91</v>
      </c>
      <c r="R410" t="s">
        <v>70</v>
      </c>
      <c r="S410" t="s">
        <v>71</v>
      </c>
      <c r="U410" t="s">
        <v>72</v>
      </c>
      <c r="V410" t="s">
        <v>140</v>
      </c>
      <c r="W410" t="s">
        <v>74</v>
      </c>
      <c r="X410" t="s">
        <v>1050</v>
      </c>
      <c r="Y410" s="2">
        <v>943</v>
      </c>
      <c r="Z410" s="3">
        <v>1.53</v>
      </c>
      <c r="AA410" s="4">
        <v>1443</v>
      </c>
      <c r="AK410" s="5">
        <v>5.0201000000000002</v>
      </c>
      <c r="AN410" s="1">
        <v>3</v>
      </c>
      <c r="AO410" t="s">
        <v>81</v>
      </c>
      <c r="AP410" t="s">
        <v>82</v>
      </c>
      <c r="AQ410" t="s">
        <v>83</v>
      </c>
      <c r="AR410" s="3">
        <v>1.57</v>
      </c>
      <c r="AS410" s="4">
        <v>1575</v>
      </c>
      <c r="AT410" s="1">
        <v>1001</v>
      </c>
      <c r="AU410" s="3">
        <v>1.4</v>
      </c>
      <c r="AV410" s="4">
        <v>1830</v>
      </c>
      <c r="AW410" s="1">
        <v>1311</v>
      </c>
      <c r="AX410" s="3">
        <v>1289323.31</v>
      </c>
      <c r="BB410" t="s">
        <v>84</v>
      </c>
      <c r="BD410" s="3">
        <v>1.63</v>
      </c>
      <c r="BE410" s="4">
        <v>1145</v>
      </c>
      <c r="BF410" s="1">
        <v>705</v>
      </c>
      <c r="BG410" s="1">
        <v>228</v>
      </c>
      <c r="BH410" s="1">
        <v>144</v>
      </c>
      <c r="BI410" s="1">
        <v>126</v>
      </c>
    </row>
    <row r="411" spans="1:64" x14ac:dyDescent="0.25">
      <c r="A411" t="s">
        <v>1620</v>
      </c>
      <c r="B411" t="s">
        <v>1621</v>
      </c>
      <c r="C411" s="4">
        <f>(AA411*(H411*0.9))*12</f>
        <v>4675320</v>
      </c>
      <c r="D411" s="4">
        <f>IF(C411=0,"",(H411*150*12)+C411)</f>
        <v>5215320</v>
      </c>
      <c r="E411" s="4">
        <f>IFERROR(D411*0.5,"")</f>
        <v>2607660</v>
      </c>
      <c r="F411" s="4">
        <f>IFERROR(E411/0.06,"")</f>
        <v>43461000</v>
      </c>
      <c r="G411" s="4">
        <f>IFERROR(F411/H411,"")</f>
        <v>144870</v>
      </c>
      <c r="H411" s="1">
        <v>300</v>
      </c>
      <c r="I411" s="1">
        <v>1990</v>
      </c>
      <c r="J411" t="s">
        <v>64</v>
      </c>
      <c r="K411" t="s">
        <v>514</v>
      </c>
      <c r="L411" t="s">
        <v>575</v>
      </c>
      <c r="M411" t="s">
        <v>1622</v>
      </c>
      <c r="N411" t="s">
        <v>1623</v>
      </c>
      <c r="O411" t="s">
        <v>575</v>
      </c>
      <c r="P411" s="1">
        <v>4</v>
      </c>
      <c r="Q411" t="s">
        <v>91</v>
      </c>
      <c r="R411" t="s">
        <v>70</v>
      </c>
      <c r="S411" t="s">
        <v>71</v>
      </c>
      <c r="U411" t="s">
        <v>72</v>
      </c>
      <c r="V411" t="s">
        <v>264</v>
      </c>
      <c r="W411" t="s">
        <v>74</v>
      </c>
      <c r="X411" t="s">
        <v>517</v>
      </c>
      <c r="Y411" s="2">
        <v>829</v>
      </c>
      <c r="Z411" s="3">
        <v>1.74</v>
      </c>
      <c r="AA411" s="4">
        <v>1443</v>
      </c>
      <c r="AK411" s="5">
        <v>5</v>
      </c>
      <c r="AM411" s="1">
        <v>2016</v>
      </c>
      <c r="AN411" s="1">
        <v>3</v>
      </c>
      <c r="AO411" t="s">
        <v>81</v>
      </c>
      <c r="AP411" t="s">
        <v>82</v>
      </c>
      <c r="AQ411" t="s">
        <v>83</v>
      </c>
      <c r="AR411" s="3">
        <v>1.61</v>
      </c>
      <c r="AS411" s="4">
        <v>1669</v>
      </c>
      <c r="AT411" s="1">
        <v>1039</v>
      </c>
      <c r="AX411" s="3">
        <v>370411.98</v>
      </c>
      <c r="BB411" t="s">
        <v>84</v>
      </c>
      <c r="BD411" s="3">
        <v>1.86</v>
      </c>
      <c r="BE411" s="4">
        <v>1287</v>
      </c>
      <c r="BF411" s="1">
        <v>694</v>
      </c>
      <c r="BG411" s="1">
        <v>182</v>
      </c>
      <c r="BH411" s="1">
        <v>118</v>
      </c>
      <c r="BK411" t="s">
        <v>1130</v>
      </c>
      <c r="BL411" t="s">
        <v>104</v>
      </c>
    </row>
    <row r="412" spans="1:64" x14ac:dyDescent="0.25">
      <c r="A412" t="s">
        <v>2277</v>
      </c>
      <c r="B412" t="s">
        <v>2278</v>
      </c>
      <c r="C412" s="4">
        <f>(AA412*(H412*0.9))*12</f>
        <v>3241555.2</v>
      </c>
      <c r="D412" s="4">
        <f>IF(C412=0,"",(H412*150*12)+C412)</f>
        <v>3615955.2</v>
      </c>
      <c r="E412" s="4">
        <f>IFERROR(D412*0.5,"")</f>
        <v>1807977.6</v>
      </c>
      <c r="F412" s="4">
        <f>IFERROR(E412/0.06,"")</f>
        <v>30132960.000000004</v>
      </c>
      <c r="G412" s="4">
        <f>IFERROR(F412/H412,"")</f>
        <v>144870.00000000003</v>
      </c>
      <c r="H412" s="1">
        <v>208</v>
      </c>
      <c r="I412" s="1">
        <v>1999</v>
      </c>
      <c r="J412" t="s">
        <v>64</v>
      </c>
      <c r="K412" t="s">
        <v>280</v>
      </c>
      <c r="L412" t="s">
        <v>2279</v>
      </c>
      <c r="M412" t="s">
        <v>2280</v>
      </c>
      <c r="N412" t="s">
        <v>2281</v>
      </c>
      <c r="O412" t="s">
        <v>2279</v>
      </c>
      <c r="P412" s="1">
        <v>4</v>
      </c>
      <c r="Q412" t="s">
        <v>91</v>
      </c>
      <c r="R412" t="s">
        <v>70</v>
      </c>
      <c r="S412" t="s">
        <v>71</v>
      </c>
      <c r="U412" t="s">
        <v>72</v>
      </c>
      <c r="V412" t="s">
        <v>152</v>
      </c>
      <c r="W412" t="s">
        <v>74</v>
      </c>
      <c r="X412" t="s">
        <v>2282</v>
      </c>
      <c r="Y412" s="2">
        <v>842</v>
      </c>
      <c r="Z412" s="3">
        <v>1.71</v>
      </c>
      <c r="AA412" s="4">
        <v>1443</v>
      </c>
      <c r="AK412" s="5">
        <v>1.9231</v>
      </c>
      <c r="AN412" s="1">
        <v>3</v>
      </c>
      <c r="AO412" t="s">
        <v>81</v>
      </c>
      <c r="AP412" t="s">
        <v>82</v>
      </c>
      <c r="AQ412" t="s">
        <v>83</v>
      </c>
      <c r="AR412" s="3">
        <v>1.67</v>
      </c>
      <c r="AS412" s="4">
        <v>1589</v>
      </c>
      <c r="AT412" s="1">
        <v>951</v>
      </c>
      <c r="AU412" s="3">
        <v>1.68</v>
      </c>
      <c r="AV412" s="4">
        <v>1858</v>
      </c>
      <c r="AW412" s="1">
        <v>1105</v>
      </c>
      <c r="AX412" s="3">
        <v>766988.88</v>
      </c>
      <c r="BB412" t="s">
        <v>84</v>
      </c>
      <c r="BD412" s="3">
        <v>1.79</v>
      </c>
      <c r="BE412" s="4">
        <v>1227</v>
      </c>
      <c r="BF412" s="1">
        <v>685</v>
      </c>
      <c r="BG412" s="1">
        <v>99</v>
      </c>
      <c r="BH412" s="1">
        <v>85</v>
      </c>
      <c r="BI412" s="1">
        <v>24</v>
      </c>
      <c r="BK412" t="s">
        <v>2283</v>
      </c>
      <c r="BL412" t="s">
        <v>131</v>
      </c>
    </row>
    <row r="413" spans="1:64" x14ac:dyDescent="0.25">
      <c r="A413" t="s">
        <v>1552</v>
      </c>
      <c r="B413" t="s">
        <v>1553</v>
      </c>
      <c r="C413" s="4">
        <f>(AA413*(H413*0.9))*12</f>
        <v>3337372.8</v>
      </c>
      <c r="D413" s="4">
        <f>IF(C413=0,"",(H413*150*12)+C413)</f>
        <v>3722572.8</v>
      </c>
      <c r="E413" s="4">
        <f>IFERROR(D413*0.5,"")</f>
        <v>1861286.4</v>
      </c>
      <c r="F413" s="4">
        <f>IFERROR(E413/0.06,"")</f>
        <v>31021440</v>
      </c>
      <c r="G413" s="4">
        <f>IFERROR(F413/H413,"")</f>
        <v>144960</v>
      </c>
      <c r="H413" s="1">
        <v>214</v>
      </c>
      <c r="I413" s="1">
        <v>1986</v>
      </c>
      <c r="J413" t="s">
        <v>64</v>
      </c>
      <c r="K413" t="s">
        <v>551</v>
      </c>
      <c r="L413" t="s">
        <v>1554</v>
      </c>
      <c r="M413" t="s">
        <v>1555</v>
      </c>
      <c r="N413" t="s">
        <v>1556</v>
      </c>
      <c r="O413" t="s">
        <v>1554</v>
      </c>
      <c r="P413" s="1">
        <v>3</v>
      </c>
      <c r="Q413" t="s">
        <v>69</v>
      </c>
      <c r="R413" t="s">
        <v>70</v>
      </c>
      <c r="S413" t="s">
        <v>71</v>
      </c>
      <c r="U413" t="s">
        <v>72</v>
      </c>
      <c r="V413" t="s">
        <v>551</v>
      </c>
      <c r="W413" t="s">
        <v>74</v>
      </c>
      <c r="X413" t="s">
        <v>1368</v>
      </c>
      <c r="Y413" s="2">
        <v>801</v>
      </c>
      <c r="Z413" s="3">
        <v>1.8</v>
      </c>
      <c r="AA413" s="4">
        <v>1444</v>
      </c>
      <c r="AK413" s="5">
        <v>6.0747999999999998</v>
      </c>
      <c r="AM413" s="1">
        <v>2017</v>
      </c>
      <c r="AN413" s="1">
        <v>2</v>
      </c>
      <c r="AO413" t="s">
        <v>81</v>
      </c>
      <c r="AP413" t="s">
        <v>82</v>
      </c>
      <c r="AQ413" t="s">
        <v>83</v>
      </c>
      <c r="AR413" s="3">
        <v>1.7</v>
      </c>
      <c r="AS413" s="4">
        <v>1669</v>
      </c>
      <c r="AT413" s="1">
        <v>981</v>
      </c>
      <c r="AU413" s="3">
        <v>1.78</v>
      </c>
      <c r="AV413" s="4">
        <v>2807</v>
      </c>
      <c r="AW413" s="1">
        <v>1577</v>
      </c>
      <c r="AX413" s="3">
        <v>465179.56</v>
      </c>
      <c r="BB413" t="s">
        <v>84</v>
      </c>
      <c r="BD413" s="3">
        <v>1.88</v>
      </c>
      <c r="BE413" s="4">
        <v>1217</v>
      </c>
      <c r="BF413" s="1">
        <v>649</v>
      </c>
      <c r="BG413" s="1">
        <v>139</v>
      </c>
      <c r="BH413" s="1">
        <v>62</v>
      </c>
      <c r="BI413" s="1">
        <v>13</v>
      </c>
      <c r="BL413" t="s">
        <v>131</v>
      </c>
    </row>
    <row r="414" spans="1:64" x14ac:dyDescent="0.25">
      <c r="A414" t="s">
        <v>3067</v>
      </c>
      <c r="B414" t="s">
        <v>3068</v>
      </c>
      <c r="C414" s="4">
        <f>(AA414*(H414*0.9))*12</f>
        <v>3430944</v>
      </c>
      <c r="D414" s="4">
        <f>IF(C414=0,"",(H414*150*12)+C414)</f>
        <v>3826944</v>
      </c>
      <c r="E414" s="4">
        <f>IFERROR(D414*0.5,"")</f>
        <v>1913472</v>
      </c>
      <c r="F414" s="4">
        <f>IFERROR(E414/0.06,"")</f>
        <v>31891200</v>
      </c>
      <c r="G414" s="4">
        <f>IFERROR(F414/H414,"")</f>
        <v>144960</v>
      </c>
      <c r="H414" s="1">
        <v>220</v>
      </c>
      <c r="I414" s="1">
        <v>1999</v>
      </c>
      <c r="J414" t="s">
        <v>64</v>
      </c>
      <c r="K414" t="s">
        <v>611</v>
      </c>
      <c r="L414" t="s">
        <v>835</v>
      </c>
      <c r="M414" t="s">
        <v>3069</v>
      </c>
      <c r="N414" t="s">
        <v>3070</v>
      </c>
      <c r="O414" t="s">
        <v>835</v>
      </c>
      <c r="P414" s="1">
        <v>4</v>
      </c>
      <c r="Q414" t="s">
        <v>91</v>
      </c>
      <c r="R414" t="s">
        <v>70</v>
      </c>
      <c r="S414" t="s">
        <v>71</v>
      </c>
      <c r="U414" t="s">
        <v>72</v>
      </c>
      <c r="V414" t="s">
        <v>427</v>
      </c>
      <c r="W414" t="s">
        <v>74</v>
      </c>
      <c r="X414" t="s">
        <v>600</v>
      </c>
      <c r="Y414" s="2">
        <v>998</v>
      </c>
      <c r="Z414" s="3">
        <v>1.45</v>
      </c>
      <c r="AA414" s="4">
        <v>1444</v>
      </c>
      <c r="AK414" s="5">
        <v>18.181799999999999</v>
      </c>
      <c r="AN414" s="1">
        <v>3</v>
      </c>
      <c r="AO414" t="s">
        <v>81</v>
      </c>
      <c r="AP414" t="s">
        <v>82</v>
      </c>
      <c r="AQ414" t="s">
        <v>83</v>
      </c>
      <c r="AR414" s="3">
        <v>1.41</v>
      </c>
      <c r="AS414" s="4">
        <v>1545</v>
      </c>
      <c r="AT414" s="1">
        <v>1095</v>
      </c>
      <c r="AU414" s="3">
        <v>1.56</v>
      </c>
      <c r="AV414" s="4">
        <v>1954</v>
      </c>
      <c r="AW414" s="1">
        <v>1256</v>
      </c>
      <c r="AX414" s="3">
        <v>718614.97</v>
      </c>
      <c r="BB414" t="s">
        <v>84</v>
      </c>
      <c r="BD414" s="3">
        <v>1.48</v>
      </c>
      <c r="BE414" s="4">
        <v>1273</v>
      </c>
      <c r="BF414" s="1">
        <v>863</v>
      </c>
      <c r="BG414" s="1">
        <v>100</v>
      </c>
      <c r="BH414" s="1">
        <v>108</v>
      </c>
      <c r="BI414" s="1">
        <v>12</v>
      </c>
    </row>
    <row r="415" spans="1:64" x14ac:dyDescent="0.25">
      <c r="A415" t="s">
        <v>4275</v>
      </c>
      <c r="B415" t="s">
        <v>4276</v>
      </c>
      <c r="C415" s="4">
        <f>(AA415*(H415*0.9))*12</f>
        <v>3493324.7999999998</v>
      </c>
      <c r="D415" s="4">
        <f>IF(C415=0,"",(H415*150*12)+C415)</f>
        <v>3896524.7999999998</v>
      </c>
      <c r="E415" s="4">
        <f>IFERROR(D415*0.5,"")</f>
        <v>1948262.3999999999</v>
      </c>
      <c r="F415" s="4">
        <f>IFERROR(E415/0.06,"")</f>
        <v>32471040</v>
      </c>
      <c r="G415" s="4">
        <f>IFERROR(F415/H415,"")</f>
        <v>144960</v>
      </c>
      <c r="H415" s="1">
        <v>224</v>
      </c>
      <c r="I415" s="1">
        <v>1998</v>
      </c>
      <c r="J415" t="s">
        <v>64</v>
      </c>
      <c r="K415" t="s">
        <v>2027</v>
      </c>
      <c r="L415" t="s">
        <v>552</v>
      </c>
      <c r="M415" t="s">
        <v>4277</v>
      </c>
      <c r="N415" t="s">
        <v>4278</v>
      </c>
      <c r="O415" t="s">
        <v>552</v>
      </c>
      <c r="P415" s="1">
        <v>4</v>
      </c>
      <c r="Q415" t="s">
        <v>729</v>
      </c>
      <c r="R415" t="s">
        <v>70</v>
      </c>
      <c r="S415" t="s">
        <v>71</v>
      </c>
      <c r="U415" t="s">
        <v>72</v>
      </c>
      <c r="V415" t="s">
        <v>4279</v>
      </c>
      <c r="W415" t="s">
        <v>74</v>
      </c>
      <c r="X415" t="s">
        <v>4280</v>
      </c>
      <c r="Y415" s="2">
        <v>957</v>
      </c>
      <c r="Z415" s="3">
        <v>1.51</v>
      </c>
      <c r="AA415" s="4">
        <v>1444</v>
      </c>
      <c r="AK415" s="5">
        <v>13.8393</v>
      </c>
      <c r="AN415" s="1">
        <v>2</v>
      </c>
      <c r="AO415" t="s">
        <v>81</v>
      </c>
      <c r="AP415" t="s">
        <v>82</v>
      </c>
      <c r="AQ415" t="s">
        <v>83</v>
      </c>
      <c r="AR415" s="3">
        <v>1.37</v>
      </c>
      <c r="AS415" s="4">
        <v>1510</v>
      </c>
      <c r="AT415" s="1">
        <v>1100</v>
      </c>
      <c r="AU415" s="3">
        <v>1.48</v>
      </c>
      <c r="AV415" s="4">
        <v>1852</v>
      </c>
      <c r="AW415" s="1">
        <v>1250</v>
      </c>
      <c r="AX415" s="3">
        <v>479286.46</v>
      </c>
      <c r="BB415" t="s">
        <v>84</v>
      </c>
      <c r="BD415" s="3">
        <v>1.73</v>
      </c>
      <c r="BE415" s="4">
        <v>1242</v>
      </c>
      <c r="BF415" s="1">
        <v>717</v>
      </c>
      <c r="BG415" s="1">
        <v>96</v>
      </c>
      <c r="BH415" s="1">
        <v>96</v>
      </c>
      <c r="BI415" s="1">
        <v>32</v>
      </c>
    </row>
    <row r="416" spans="1:64" x14ac:dyDescent="0.25">
      <c r="A416" t="s">
        <v>3549</v>
      </c>
      <c r="B416" t="s">
        <v>3550</v>
      </c>
      <c r="C416" s="4">
        <f>(AA416*(H416*0.9))*12</f>
        <v>1450353.6</v>
      </c>
      <c r="D416" s="4">
        <f>IF(C416=0,"",(H416*150*12)+C416)</f>
        <v>1617753.6</v>
      </c>
      <c r="E416" s="4">
        <f>IFERROR(D416*0.5,"")</f>
        <v>808876.8</v>
      </c>
      <c r="F416" s="4">
        <f>IFERROR(E416/0.06,"")</f>
        <v>13481280.000000002</v>
      </c>
      <c r="G416" s="4">
        <f>IFERROR(F416/H416,"")</f>
        <v>144960.00000000003</v>
      </c>
      <c r="H416" s="1">
        <v>93</v>
      </c>
      <c r="I416" s="1">
        <v>1995</v>
      </c>
      <c r="J416" t="s">
        <v>64</v>
      </c>
      <c r="K416" t="s">
        <v>514</v>
      </c>
      <c r="L416" t="s">
        <v>3551</v>
      </c>
      <c r="M416" t="s">
        <v>3552</v>
      </c>
      <c r="N416" t="s">
        <v>3553</v>
      </c>
      <c r="O416" t="s">
        <v>3551</v>
      </c>
      <c r="P416" s="1">
        <v>3</v>
      </c>
      <c r="Q416" t="s">
        <v>91</v>
      </c>
      <c r="R416" t="s">
        <v>70</v>
      </c>
      <c r="S416" t="s">
        <v>71</v>
      </c>
      <c r="T416" t="s">
        <v>118</v>
      </c>
      <c r="U416" t="s">
        <v>72</v>
      </c>
      <c r="V416" t="s">
        <v>264</v>
      </c>
      <c r="W416" t="s">
        <v>74</v>
      </c>
      <c r="X416" t="s">
        <v>3554</v>
      </c>
      <c r="Y416" s="2">
        <v>1192</v>
      </c>
      <c r="Z416" s="3">
        <v>1.21</v>
      </c>
      <c r="AA416" s="4">
        <v>1444</v>
      </c>
      <c r="AK416" s="5">
        <v>18.279599999999999</v>
      </c>
      <c r="AL416" s="1">
        <v>12</v>
      </c>
      <c r="AN416" s="1">
        <v>3</v>
      </c>
      <c r="AO416" t="s">
        <v>81</v>
      </c>
      <c r="AP416" t="s">
        <v>82</v>
      </c>
      <c r="AQ416" t="s">
        <v>83</v>
      </c>
      <c r="AR416" s="3">
        <v>1.33</v>
      </c>
      <c r="AS416" s="4">
        <v>1395</v>
      </c>
      <c r="AT416" s="1">
        <v>1046</v>
      </c>
      <c r="AU416" s="3">
        <v>1.1499999999999999</v>
      </c>
      <c r="AV416" s="4">
        <v>1475</v>
      </c>
      <c r="AW416" s="1">
        <v>1285</v>
      </c>
      <c r="AX416" s="3">
        <v>156797.5</v>
      </c>
      <c r="BB416" t="s">
        <v>84</v>
      </c>
      <c r="BH416" s="1">
        <v>36</v>
      </c>
      <c r="BI416" s="1">
        <v>57</v>
      </c>
      <c r="BK416" t="s">
        <v>731</v>
      </c>
      <c r="BL416" t="s">
        <v>104</v>
      </c>
    </row>
    <row r="417" spans="1:64" x14ac:dyDescent="0.25">
      <c r="A417" t="s">
        <v>2149</v>
      </c>
      <c r="B417" t="s">
        <v>2150</v>
      </c>
      <c r="C417" s="4">
        <f>(AA417*(H417*0.9))*12</f>
        <v>6246720</v>
      </c>
      <c r="D417" s="4">
        <f>IF(C417=0,"",(H417*150*12)+C417)</f>
        <v>6966720</v>
      </c>
      <c r="E417" s="4">
        <f>IFERROR(D417*0.5,"")</f>
        <v>3483360</v>
      </c>
      <c r="F417" s="4">
        <f>IFERROR(E417/0.06,"")</f>
        <v>58056000</v>
      </c>
      <c r="G417" s="4">
        <f>IFERROR(F417/H417,"")</f>
        <v>145140</v>
      </c>
      <c r="H417" s="1">
        <v>400</v>
      </c>
      <c r="I417" s="1">
        <v>1999</v>
      </c>
      <c r="J417" t="s">
        <v>64</v>
      </c>
      <c r="K417" t="s">
        <v>409</v>
      </c>
      <c r="L417" t="s">
        <v>2151</v>
      </c>
      <c r="M417" t="s">
        <v>2152</v>
      </c>
      <c r="N417" t="s">
        <v>2153</v>
      </c>
      <c r="O417" t="s">
        <v>2151</v>
      </c>
      <c r="P417" s="1">
        <v>3</v>
      </c>
      <c r="Q417" t="s">
        <v>91</v>
      </c>
      <c r="R417" t="s">
        <v>70</v>
      </c>
      <c r="S417" t="s">
        <v>71</v>
      </c>
      <c r="U417" t="s">
        <v>72</v>
      </c>
      <c r="V417" t="s">
        <v>531</v>
      </c>
      <c r="W417" t="s">
        <v>74</v>
      </c>
      <c r="X417" t="s">
        <v>532</v>
      </c>
      <c r="Y417" s="2">
        <v>851</v>
      </c>
      <c r="Z417" s="3">
        <v>1.7</v>
      </c>
      <c r="AA417" s="4">
        <v>1446</v>
      </c>
      <c r="AK417" s="5">
        <v>9.5</v>
      </c>
      <c r="AN417" s="1">
        <v>3</v>
      </c>
      <c r="AO417" t="s">
        <v>81</v>
      </c>
      <c r="AP417" t="s">
        <v>82</v>
      </c>
      <c r="AQ417" t="s">
        <v>83</v>
      </c>
      <c r="AR417" s="3">
        <v>1.56</v>
      </c>
      <c r="AS417" s="4">
        <v>1591</v>
      </c>
      <c r="AT417" s="1">
        <v>1021</v>
      </c>
      <c r="AU417" s="3">
        <v>1.61</v>
      </c>
      <c r="AV417" s="4">
        <v>2022</v>
      </c>
      <c r="AW417" s="1">
        <v>1252</v>
      </c>
      <c r="BB417" t="s">
        <v>84</v>
      </c>
      <c r="BD417" s="3">
        <v>1.8</v>
      </c>
      <c r="BE417" s="4">
        <v>1314</v>
      </c>
      <c r="BF417" s="1">
        <v>728</v>
      </c>
      <c r="BG417" s="1">
        <v>256</v>
      </c>
      <c r="BH417" s="1">
        <v>114</v>
      </c>
      <c r="BI417" s="1">
        <v>30</v>
      </c>
      <c r="BL417" t="s">
        <v>131</v>
      </c>
    </row>
    <row r="418" spans="1:64" x14ac:dyDescent="0.25">
      <c r="A418" t="s">
        <v>888</v>
      </c>
      <c r="B418" t="s">
        <v>889</v>
      </c>
      <c r="C418" s="4">
        <f>(AA418*(H418*0.9))*12</f>
        <v>1015794</v>
      </c>
      <c r="D418" s="4">
        <f>IF(C418=0,"",(H418*150*12)+C418)</f>
        <v>1132794</v>
      </c>
      <c r="E418" s="4">
        <f>IFERROR(D418*0.5,"")</f>
        <v>566397</v>
      </c>
      <c r="F418" s="4">
        <f>IFERROR(E418/0.06,"")</f>
        <v>9439950</v>
      </c>
      <c r="G418" s="4">
        <f>IFERROR(F418/H418,"")</f>
        <v>145230</v>
      </c>
      <c r="H418" s="1">
        <v>65</v>
      </c>
      <c r="I418" s="1">
        <v>1985</v>
      </c>
      <c r="J418" t="s">
        <v>64</v>
      </c>
      <c r="K418" t="s">
        <v>114</v>
      </c>
      <c r="L418" t="s">
        <v>890</v>
      </c>
      <c r="M418" t="s">
        <v>889</v>
      </c>
      <c r="N418" t="s">
        <v>891</v>
      </c>
      <c r="O418" t="s">
        <v>890</v>
      </c>
      <c r="P418" s="1">
        <v>3</v>
      </c>
      <c r="Q418" t="s">
        <v>91</v>
      </c>
      <c r="R418" t="s">
        <v>70</v>
      </c>
      <c r="S418" t="s">
        <v>71</v>
      </c>
      <c r="U418" t="s">
        <v>72</v>
      </c>
      <c r="V418" t="s">
        <v>356</v>
      </c>
      <c r="W418" t="s">
        <v>74</v>
      </c>
      <c r="X418" t="s">
        <v>357</v>
      </c>
      <c r="Y418" s="2">
        <v>877</v>
      </c>
      <c r="Z418" s="3">
        <v>1.65</v>
      </c>
      <c r="AA418" s="4">
        <v>1447</v>
      </c>
      <c r="AK418" s="5">
        <v>3.0769000000000002</v>
      </c>
      <c r="AN418" s="1">
        <v>2</v>
      </c>
      <c r="AO418" t="s">
        <v>81</v>
      </c>
      <c r="AP418" t="s">
        <v>82</v>
      </c>
      <c r="AQ418" t="s">
        <v>83</v>
      </c>
      <c r="AR418" s="3">
        <v>1.53</v>
      </c>
      <c r="AS418" s="4">
        <v>1628</v>
      </c>
      <c r="AT418" s="1">
        <v>1063</v>
      </c>
      <c r="AX418" s="3">
        <v>0</v>
      </c>
      <c r="BB418" t="s">
        <v>84</v>
      </c>
      <c r="BD418" s="3">
        <v>1.76</v>
      </c>
      <c r="BE418" s="4">
        <v>1327</v>
      </c>
      <c r="BF418" s="1">
        <v>755</v>
      </c>
      <c r="BG418" s="1">
        <v>39</v>
      </c>
      <c r="BH418" s="1">
        <v>26</v>
      </c>
      <c r="BK418" t="s">
        <v>892</v>
      </c>
      <c r="BL418" t="s">
        <v>104</v>
      </c>
    </row>
    <row r="419" spans="1:64" x14ac:dyDescent="0.25">
      <c r="A419" t="s">
        <v>1698</v>
      </c>
      <c r="B419" t="s">
        <v>1699</v>
      </c>
      <c r="C419" s="4">
        <f>(AA419*(H419*0.9))*12</f>
        <v>5481000</v>
      </c>
      <c r="D419" s="4">
        <f>IF(C419=0,"",(H419*150*12)+C419)</f>
        <v>6111000</v>
      </c>
      <c r="E419" s="4">
        <f>IFERROR(D419*0.5,"")</f>
        <v>3055500</v>
      </c>
      <c r="F419" s="4">
        <f>IFERROR(E419/0.06,"")</f>
        <v>50925000</v>
      </c>
      <c r="G419" s="4">
        <f>IFERROR(F419/H419,"")</f>
        <v>145500</v>
      </c>
      <c r="H419" s="1">
        <v>350</v>
      </c>
      <c r="I419" s="1">
        <v>1985</v>
      </c>
      <c r="J419" t="s">
        <v>64</v>
      </c>
      <c r="K419" t="s">
        <v>140</v>
      </c>
      <c r="L419" t="s">
        <v>1169</v>
      </c>
      <c r="M419" t="s">
        <v>1700</v>
      </c>
      <c r="N419" t="s">
        <v>1701</v>
      </c>
      <c r="O419" t="s">
        <v>1169</v>
      </c>
      <c r="P419" s="1">
        <v>2</v>
      </c>
      <c r="Q419" t="s">
        <v>69</v>
      </c>
      <c r="R419" t="s">
        <v>70</v>
      </c>
      <c r="S419" t="s">
        <v>71</v>
      </c>
      <c r="U419" t="s">
        <v>72</v>
      </c>
      <c r="V419" t="s">
        <v>140</v>
      </c>
      <c r="W419" t="s">
        <v>74</v>
      </c>
      <c r="X419" t="s">
        <v>1050</v>
      </c>
      <c r="Y419" s="2">
        <v>887</v>
      </c>
      <c r="Z419" s="3">
        <v>1.63</v>
      </c>
      <c r="AA419" s="4">
        <v>1450</v>
      </c>
      <c r="AK419" s="5">
        <v>18.857099999999999</v>
      </c>
      <c r="AM419" s="1">
        <v>2009</v>
      </c>
      <c r="AN419" s="1">
        <v>2</v>
      </c>
      <c r="AO419" t="s">
        <v>81</v>
      </c>
      <c r="AP419" t="s">
        <v>82</v>
      </c>
      <c r="AQ419" t="s">
        <v>83</v>
      </c>
      <c r="AR419" s="3">
        <v>1.56</v>
      </c>
      <c r="AS419" s="4">
        <v>1473</v>
      </c>
      <c r="AT419" s="1">
        <v>947</v>
      </c>
      <c r="AX419" s="3">
        <v>982976.42</v>
      </c>
      <c r="BB419" t="s">
        <v>84</v>
      </c>
      <c r="BD419" s="3">
        <v>1.87</v>
      </c>
      <c r="BE419" s="4">
        <v>1392</v>
      </c>
      <c r="BF419" s="1">
        <v>744</v>
      </c>
      <c r="BG419" s="1">
        <v>102</v>
      </c>
      <c r="BH419" s="1">
        <v>248</v>
      </c>
      <c r="BL419" t="s">
        <v>131</v>
      </c>
    </row>
    <row r="420" spans="1:64" x14ac:dyDescent="0.25">
      <c r="A420" t="s">
        <v>3762</v>
      </c>
      <c r="B420" t="s">
        <v>3763</v>
      </c>
      <c r="C420" s="4">
        <f>(AA420*(H420*0.9))*12</f>
        <v>4885920</v>
      </c>
      <c r="D420" s="4">
        <f>IF(C420=0,"",(H420*150*12)+C420)</f>
        <v>5447520</v>
      </c>
      <c r="E420" s="4">
        <f>IFERROR(D420*0.5,"")</f>
        <v>2723760</v>
      </c>
      <c r="F420" s="4">
        <f>IFERROR(E420/0.06,"")</f>
        <v>45396000</v>
      </c>
      <c r="G420" s="4">
        <f>IFERROR(F420/H420,"")</f>
        <v>145500</v>
      </c>
      <c r="H420" s="1">
        <v>312</v>
      </c>
      <c r="I420" s="1">
        <v>1998</v>
      </c>
      <c r="J420" t="s">
        <v>64</v>
      </c>
      <c r="K420" t="s">
        <v>3758</v>
      </c>
      <c r="L420" t="s">
        <v>2057</v>
      </c>
      <c r="M420" t="s">
        <v>3764</v>
      </c>
      <c r="N420" t="s">
        <v>3765</v>
      </c>
      <c r="O420" t="s">
        <v>2057</v>
      </c>
      <c r="P420" s="1">
        <v>4</v>
      </c>
      <c r="Q420" t="s">
        <v>729</v>
      </c>
      <c r="R420" t="s">
        <v>70</v>
      </c>
      <c r="S420" t="s">
        <v>71</v>
      </c>
      <c r="U420" t="s">
        <v>72</v>
      </c>
      <c r="V420" t="s">
        <v>152</v>
      </c>
      <c r="W420" t="s">
        <v>74</v>
      </c>
      <c r="X420" t="s">
        <v>3766</v>
      </c>
      <c r="Y420" s="2">
        <v>900</v>
      </c>
      <c r="Z420" s="3">
        <v>1.61</v>
      </c>
      <c r="AA420" s="4">
        <v>1450</v>
      </c>
      <c r="AK420" s="5">
        <v>8.6538000000000004</v>
      </c>
      <c r="AM420" s="1">
        <v>2023</v>
      </c>
      <c r="AN420" s="1">
        <v>3</v>
      </c>
      <c r="AO420" t="s">
        <v>81</v>
      </c>
      <c r="AP420" t="s">
        <v>82</v>
      </c>
      <c r="AQ420" t="s">
        <v>83</v>
      </c>
      <c r="AR420" s="3">
        <v>1.5</v>
      </c>
      <c r="AS420" s="4">
        <v>1622</v>
      </c>
      <c r="AT420" s="1">
        <v>1079</v>
      </c>
      <c r="AU420" s="3">
        <v>1.26</v>
      </c>
      <c r="AV420" s="4">
        <v>1895</v>
      </c>
      <c r="AW420" s="1">
        <v>1509</v>
      </c>
      <c r="AX420" s="3">
        <v>1202719.68</v>
      </c>
      <c r="BB420" t="s">
        <v>84</v>
      </c>
      <c r="BD420" s="3">
        <v>1.74</v>
      </c>
      <c r="BE420" s="4">
        <v>1326</v>
      </c>
      <c r="BF420" s="1">
        <v>762</v>
      </c>
      <c r="BG420" s="1">
        <v>192</v>
      </c>
      <c r="BH420" s="1">
        <v>108</v>
      </c>
      <c r="BI420" s="1">
        <v>12</v>
      </c>
      <c r="BK420" t="s">
        <v>3617</v>
      </c>
      <c r="BL420" t="s">
        <v>104</v>
      </c>
    </row>
    <row r="421" spans="1:64" x14ac:dyDescent="0.25">
      <c r="A421" t="s">
        <v>1020</v>
      </c>
      <c r="B421" t="s">
        <v>1021</v>
      </c>
      <c r="C421" s="4">
        <f>(AA421*(H421*0.9))*12</f>
        <v>3100680.0000000005</v>
      </c>
      <c r="D421" s="4">
        <f>IF(C421=0,"",(H421*150*12)+C421)</f>
        <v>3457080.0000000005</v>
      </c>
      <c r="E421" s="4">
        <f>IFERROR(D421*0.5,"")</f>
        <v>1728540.0000000002</v>
      </c>
      <c r="F421" s="4">
        <f>IFERROR(E421/0.06,"")</f>
        <v>28809000.000000004</v>
      </c>
      <c r="G421" s="4">
        <f>IFERROR(F421/H421,"")</f>
        <v>145500.00000000003</v>
      </c>
      <c r="H421" s="1">
        <v>198</v>
      </c>
      <c r="I421" s="1">
        <v>1985</v>
      </c>
      <c r="J421" t="s">
        <v>64</v>
      </c>
      <c r="K421" t="s">
        <v>551</v>
      </c>
      <c r="L421" t="s">
        <v>1022</v>
      </c>
      <c r="M421" t="s">
        <v>1023</v>
      </c>
      <c r="N421" t="s">
        <v>1024</v>
      </c>
      <c r="O421" t="s">
        <v>1022</v>
      </c>
      <c r="P421" s="1">
        <v>3</v>
      </c>
      <c r="Q421" t="s">
        <v>91</v>
      </c>
      <c r="R421" t="s">
        <v>70</v>
      </c>
      <c r="S421" t="s">
        <v>71</v>
      </c>
      <c r="U421" t="s">
        <v>72</v>
      </c>
      <c r="V421" t="s">
        <v>551</v>
      </c>
      <c r="W421" t="s">
        <v>74</v>
      </c>
      <c r="X421" t="s">
        <v>554</v>
      </c>
      <c r="Y421" s="2">
        <v>844</v>
      </c>
      <c r="Z421" s="3">
        <v>1.72</v>
      </c>
      <c r="AA421" s="4">
        <v>1450</v>
      </c>
      <c r="AK421" s="5">
        <v>2.0202</v>
      </c>
      <c r="AN421" s="1">
        <v>2</v>
      </c>
      <c r="AO421" t="s">
        <v>81</v>
      </c>
      <c r="AP421" t="s">
        <v>82</v>
      </c>
      <c r="AQ421" t="s">
        <v>83</v>
      </c>
      <c r="AR421" s="3">
        <v>1.71</v>
      </c>
      <c r="AS421" s="4">
        <v>1732</v>
      </c>
      <c r="AT421" s="1">
        <v>1014</v>
      </c>
      <c r="AX421" s="3">
        <v>595051.32999999996</v>
      </c>
      <c r="BB421" t="s">
        <v>84</v>
      </c>
      <c r="BD421" s="3">
        <v>1.72</v>
      </c>
      <c r="BE421" s="4">
        <v>1274</v>
      </c>
      <c r="BF421" s="1">
        <v>740</v>
      </c>
      <c r="BG421" s="1">
        <v>122</v>
      </c>
      <c r="BH421" s="1">
        <v>76</v>
      </c>
      <c r="BK421" t="s">
        <v>1025</v>
      </c>
      <c r="BL421" t="s">
        <v>104</v>
      </c>
    </row>
    <row r="422" spans="1:64" x14ac:dyDescent="0.25">
      <c r="A422" t="s">
        <v>2428</v>
      </c>
      <c r="B422" t="s">
        <v>2429</v>
      </c>
      <c r="C422" s="4">
        <f>(AA422*(H422*0.9))*12</f>
        <v>2664036</v>
      </c>
      <c r="D422" s="4">
        <f>IF(C422=0,"",(H422*150*12)+C422)</f>
        <v>2970036</v>
      </c>
      <c r="E422" s="4">
        <f>IFERROR(D422*0.5,"")</f>
        <v>1485018</v>
      </c>
      <c r="F422" s="4">
        <f>IFERROR(E422/0.06,"")</f>
        <v>24750300</v>
      </c>
      <c r="G422" s="4">
        <f>IFERROR(F422/H422,"")</f>
        <v>145590</v>
      </c>
      <c r="H422" s="1">
        <v>170</v>
      </c>
      <c r="I422" s="1">
        <v>1998</v>
      </c>
      <c r="J422" t="s">
        <v>64</v>
      </c>
      <c r="K422" t="s">
        <v>65</v>
      </c>
      <c r="L422" t="s">
        <v>2430</v>
      </c>
      <c r="M422" t="s">
        <v>2431</v>
      </c>
      <c r="N422" t="s">
        <v>2432</v>
      </c>
      <c r="O422" t="s">
        <v>2430</v>
      </c>
      <c r="P422" s="1">
        <v>3</v>
      </c>
      <c r="Q422" t="s">
        <v>91</v>
      </c>
      <c r="R422" t="s">
        <v>70</v>
      </c>
      <c r="S422" t="s">
        <v>71</v>
      </c>
      <c r="U422" t="s">
        <v>72</v>
      </c>
      <c r="V422" t="s">
        <v>73</v>
      </c>
      <c r="W422" t="s">
        <v>74</v>
      </c>
      <c r="X422" t="s">
        <v>92</v>
      </c>
      <c r="Y422" s="2">
        <v>838</v>
      </c>
      <c r="Z422" s="3">
        <v>1.73</v>
      </c>
      <c r="AA422" s="4">
        <v>1451</v>
      </c>
      <c r="AK422" s="5">
        <v>14.7059</v>
      </c>
      <c r="AN422" s="1">
        <v>3</v>
      </c>
      <c r="AO422" t="s">
        <v>81</v>
      </c>
      <c r="AP422" t="s">
        <v>82</v>
      </c>
      <c r="AQ422" t="s">
        <v>83</v>
      </c>
      <c r="AR422" s="3">
        <v>1.7</v>
      </c>
      <c r="AS422" s="4">
        <v>1688</v>
      </c>
      <c r="AT422" s="1">
        <v>990</v>
      </c>
      <c r="AU422" s="3">
        <v>1.84</v>
      </c>
      <c r="AV422" s="4">
        <v>2221</v>
      </c>
      <c r="AW422" s="1">
        <v>1207</v>
      </c>
      <c r="AX422" s="3">
        <v>670509</v>
      </c>
      <c r="BB422" t="s">
        <v>84</v>
      </c>
      <c r="BD422" s="3">
        <v>1.73</v>
      </c>
      <c r="BE422" s="4">
        <v>1197</v>
      </c>
      <c r="BF422" s="1">
        <v>691</v>
      </c>
      <c r="BG422" s="1">
        <v>95</v>
      </c>
      <c r="BH422" s="1">
        <v>63</v>
      </c>
      <c r="BI422" s="1">
        <v>12</v>
      </c>
    </row>
    <row r="423" spans="1:64" x14ac:dyDescent="0.25">
      <c r="A423" t="s">
        <v>2130</v>
      </c>
      <c r="B423" t="s">
        <v>2131</v>
      </c>
      <c r="C423" s="4">
        <f>(AA423*(H423*0.9))*12</f>
        <v>2789402.4000000004</v>
      </c>
      <c r="D423" s="4">
        <f>IF(C423=0,"",(H423*150*12)+C423)</f>
        <v>3109802.4000000004</v>
      </c>
      <c r="E423" s="4">
        <f>IFERROR(D423*0.5,"")</f>
        <v>1554901.2000000002</v>
      </c>
      <c r="F423" s="4">
        <f>IFERROR(E423/0.06,"")</f>
        <v>25915020.000000004</v>
      </c>
      <c r="G423" s="4">
        <f>IFERROR(F423/H423,"")</f>
        <v>145590.00000000003</v>
      </c>
      <c r="H423" s="1">
        <v>178</v>
      </c>
      <c r="I423" s="1">
        <v>1995</v>
      </c>
      <c r="J423" t="s">
        <v>64</v>
      </c>
      <c r="K423" t="s">
        <v>198</v>
      </c>
      <c r="L423" t="s">
        <v>2132</v>
      </c>
      <c r="M423" t="s">
        <v>2133</v>
      </c>
      <c r="N423" t="s">
        <v>2134</v>
      </c>
      <c r="O423" t="s">
        <v>2132</v>
      </c>
      <c r="P423" s="1">
        <v>3</v>
      </c>
      <c r="Q423" t="s">
        <v>91</v>
      </c>
      <c r="R423" t="s">
        <v>70</v>
      </c>
      <c r="S423" t="s">
        <v>71</v>
      </c>
      <c r="U423" t="s">
        <v>72</v>
      </c>
      <c r="V423" t="s">
        <v>110</v>
      </c>
      <c r="W423" t="s">
        <v>74</v>
      </c>
      <c r="X423" t="s">
        <v>202</v>
      </c>
      <c r="Y423" s="2">
        <v>907</v>
      </c>
      <c r="Z423" s="3">
        <v>1.6</v>
      </c>
      <c r="AA423" s="4">
        <v>1451</v>
      </c>
      <c r="AK423" s="5">
        <v>7.6271000000000004</v>
      </c>
      <c r="AM423" s="1">
        <v>2019</v>
      </c>
      <c r="AN423" s="1">
        <v>3</v>
      </c>
      <c r="AO423" t="s">
        <v>81</v>
      </c>
      <c r="AP423" t="s">
        <v>82</v>
      </c>
      <c r="AQ423" t="s">
        <v>83</v>
      </c>
      <c r="AR423" s="3">
        <v>1.57</v>
      </c>
      <c r="AS423" s="4">
        <v>1568</v>
      </c>
      <c r="AT423" s="1">
        <v>1001</v>
      </c>
      <c r="AU423" s="3">
        <v>1.55</v>
      </c>
      <c r="AV423" s="4">
        <v>1966</v>
      </c>
      <c r="AW423" s="1">
        <v>1270</v>
      </c>
      <c r="AX423" s="3">
        <v>6192.75</v>
      </c>
      <c r="BB423" t="s">
        <v>84</v>
      </c>
      <c r="BD423" s="3">
        <v>1.64</v>
      </c>
      <c r="BE423" s="4">
        <v>1310</v>
      </c>
      <c r="BF423" s="1">
        <v>797</v>
      </c>
      <c r="BG423" s="1">
        <v>61</v>
      </c>
      <c r="BH423" s="1">
        <v>52</v>
      </c>
      <c r="BI423" s="1">
        <v>5</v>
      </c>
    </row>
    <row r="424" spans="1:64" x14ac:dyDescent="0.25">
      <c r="A424" t="s">
        <v>2768</v>
      </c>
      <c r="B424" t="s">
        <v>2769</v>
      </c>
      <c r="C424" s="4">
        <f>(AA424*(H424*0.9))*12</f>
        <v>3640636.8000000003</v>
      </c>
      <c r="D424" s="4">
        <f>IF(C424=0,"",(H424*150*12)+C424)</f>
        <v>4058236.8000000003</v>
      </c>
      <c r="E424" s="4">
        <f>IFERROR(D424*0.5,"")</f>
        <v>2029118.4000000001</v>
      </c>
      <c r="F424" s="4">
        <f>IFERROR(E424/0.06,"")</f>
        <v>33818640</v>
      </c>
      <c r="G424" s="4">
        <f>IFERROR(F424/H424,"")</f>
        <v>145770</v>
      </c>
      <c r="H424" s="1">
        <v>232</v>
      </c>
      <c r="I424" s="1">
        <v>1999</v>
      </c>
      <c r="J424" t="s">
        <v>64</v>
      </c>
      <c r="K424" t="s">
        <v>123</v>
      </c>
      <c r="L424" t="s">
        <v>1400</v>
      </c>
      <c r="M424" t="s">
        <v>2770</v>
      </c>
      <c r="N424" t="s">
        <v>2771</v>
      </c>
      <c r="O424" t="s">
        <v>1400</v>
      </c>
      <c r="P424" s="1">
        <v>3</v>
      </c>
      <c r="Q424" t="s">
        <v>91</v>
      </c>
      <c r="R424" t="s">
        <v>70</v>
      </c>
      <c r="S424" t="s">
        <v>71</v>
      </c>
      <c r="T424" t="s">
        <v>128</v>
      </c>
      <c r="U424" t="s">
        <v>72</v>
      </c>
      <c r="V424" t="s">
        <v>129</v>
      </c>
      <c r="W424" t="s">
        <v>74</v>
      </c>
      <c r="X424" t="s">
        <v>2772</v>
      </c>
      <c r="Y424" s="2">
        <v>837</v>
      </c>
      <c r="Z424" s="3">
        <v>1.73</v>
      </c>
      <c r="AA424" s="4">
        <v>1453</v>
      </c>
      <c r="AK424" s="5">
        <v>9.4827999999999992</v>
      </c>
      <c r="AN424" s="1">
        <v>3</v>
      </c>
      <c r="AO424" t="s">
        <v>81</v>
      </c>
      <c r="AP424" t="s">
        <v>82</v>
      </c>
      <c r="AQ424" t="s">
        <v>83</v>
      </c>
      <c r="AR424" s="3">
        <v>1.54</v>
      </c>
      <c r="AS424" s="4">
        <v>1507</v>
      </c>
      <c r="AT424" s="1">
        <v>981</v>
      </c>
      <c r="AU424" s="3">
        <v>1.72</v>
      </c>
      <c r="AV424" s="4">
        <v>2115</v>
      </c>
      <c r="AW424" s="1">
        <v>1231</v>
      </c>
      <c r="AX424" s="3">
        <v>713706.95</v>
      </c>
      <c r="BB424" t="s">
        <v>84</v>
      </c>
      <c r="BD424" s="3">
        <v>2</v>
      </c>
      <c r="BE424" s="4">
        <v>1256</v>
      </c>
      <c r="BF424" s="1">
        <v>630</v>
      </c>
      <c r="BG424" s="1">
        <v>113</v>
      </c>
      <c r="BH424" s="1">
        <v>93</v>
      </c>
      <c r="BI424" s="1">
        <v>26</v>
      </c>
      <c r="BL424" t="s">
        <v>131</v>
      </c>
    </row>
    <row r="425" spans="1:64" x14ac:dyDescent="0.25">
      <c r="A425" t="s">
        <v>3724</v>
      </c>
      <c r="B425" t="s">
        <v>3725</v>
      </c>
      <c r="C425" s="4">
        <f>(AA425*(H425*0.9))*12</f>
        <v>6940814.4000000004</v>
      </c>
      <c r="D425" s="4">
        <f>IF(C425=0,"",(H425*150*12)+C425)</f>
        <v>7736414.4000000004</v>
      </c>
      <c r="E425" s="4">
        <f>IFERROR(D425*0.5,"")</f>
        <v>3868207.2</v>
      </c>
      <c r="F425" s="4">
        <f>IFERROR(E425/0.06,"")</f>
        <v>64470120.000000007</v>
      </c>
      <c r="G425" s="4">
        <f>IFERROR(F425/H425,"")</f>
        <v>145860.00000000003</v>
      </c>
      <c r="H425" s="1">
        <v>442</v>
      </c>
      <c r="I425" s="1">
        <v>2000</v>
      </c>
      <c r="J425" t="s">
        <v>64</v>
      </c>
      <c r="K425" t="s">
        <v>140</v>
      </c>
      <c r="L425" t="s">
        <v>854</v>
      </c>
      <c r="M425" t="s">
        <v>3726</v>
      </c>
      <c r="N425" t="s">
        <v>3727</v>
      </c>
      <c r="O425" t="s">
        <v>854</v>
      </c>
      <c r="P425" s="1">
        <v>4</v>
      </c>
      <c r="Q425" t="s">
        <v>91</v>
      </c>
      <c r="R425" t="s">
        <v>70</v>
      </c>
      <c r="S425" t="s">
        <v>71</v>
      </c>
      <c r="U425" t="s">
        <v>72</v>
      </c>
      <c r="V425" t="s">
        <v>134</v>
      </c>
      <c r="W425" t="s">
        <v>74</v>
      </c>
      <c r="X425" t="s">
        <v>3728</v>
      </c>
      <c r="Y425" s="2">
        <v>978</v>
      </c>
      <c r="Z425" s="3">
        <v>1.49</v>
      </c>
      <c r="AA425" s="4">
        <v>1454</v>
      </c>
      <c r="AK425" s="5">
        <v>4.9774000000000003</v>
      </c>
      <c r="AN425" s="1">
        <v>3</v>
      </c>
      <c r="AO425" t="s">
        <v>81</v>
      </c>
      <c r="AP425" t="s">
        <v>82</v>
      </c>
      <c r="AQ425" t="s">
        <v>83</v>
      </c>
      <c r="AR425" s="3">
        <v>1.44</v>
      </c>
      <c r="AS425" s="4">
        <v>1606</v>
      </c>
      <c r="AT425" s="1">
        <v>1119</v>
      </c>
      <c r="AU425" s="3">
        <v>1.35</v>
      </c>
      <c r="AV425" s="4">
        <v>1886</v>
      </c>
      <c r="AW425" s="1">
        <v>1393</v>
      </c>
      <c r="AX425" s="3">
        <v>1313279.18</v>
      </c>
      <c r="BB425" t="s">
        <v>84</v>
      </c>
      <c r="BD425" s="3">
        <v>1.59</v>
      </c>
      <c r="BE425" s="4">
        <v>1245</v>
      </c>
      <c r="BF425" s="1">
        <v>784</v>
      </c>
      <c r="BG425" s="1">
        <v>210</v>
      </c>
      <c r="BH425" s="1">
        <v>202</v>
      </c>
      <c r="BI425" s="1">
        <v>30</v>
      </c>
      <c r="BK425" t="s">
        <v>811</v>
      </c>
      <c r="BL425" t="s">
        <v>744</v>
      </c>
    </row>
    <row r="426" spans="1:64" x14ac:dyDescent="0.25">
      <c r="A426" t="s">
        <v>3983</v>
      </c>
      <c r="B426" t="s">
        <v>3984</v>
      </c>
      <c r="C426" s="4">
        <f>(AA426*(H426*0.9))*12</f>
        <v>6510067.1999999993</v>
      </c>
      <c r="D426" s="4">
        <f>IF(C426=0,"",(H426*150*12)+C426)</f>
        <v>7255267.1999999993</v>
      </c>
      <c r="E426" s="4">
        <f>IFERROR(D426*0.5,"")</f>
        <v>3627633.5999999996</v>
      </c>
      <c r="F426" s="4">
        <f>IFERROR(E426/0.06,"")</f>
        <v>60460559.999999993</v>
      </c>
      <c r="G426" s="4">
        <f>IFERROR(F426/H426,"")</f>
        <v>146039.99999999997</v>
      </c>
      <c r="H426" s="1">
        <v>414</v>
      </c>
      <c r="I426" s="1">
        <v>1999</v>
      </c>
      <c r="J426" t="s">
        <v>64</v>
      </c>
      <c r="K426" t="s">
        <v>841</v>
      </c>
      <c r="L426" t="s">
        <v>835</v>
      </c>
      <c r="M426" t="s">
        <v>3985</v>
      </c>
      <c r="N426" t="s">
        <v>3986</v>
      </c>
      <c r="O426" t="s">
        <v>835</v>
      </c>
      <c r="P426" s="1">
        <v>3</v>
      </c>
      <c r="Q426" t="s">
        <v>91</v>
      </c>
      <c r="R426" t="s">
        <v>70</v>
      </c>
      <c r="S426" t="s">
        <v>71</v>
      </c>
      <c r="U426" t="s">
        <v>72</v>
      </c>
      <c r="V426" t="s">
        <v>841</v>
      </c>
      <c r="W426" t="s">
        <v>74</v>
      </c>
      <c r="X426" t="s">
        <v>845</v>
      </c>
      <c r="Y426" s="2">
        <v>948</v>
      </c>
      <c r="Z426" s="3">
        <v>1.53</v>
      </c>
      <c r="AA426" s="4">
        <v>1456</v>
      </c>
      <c r="AK426" s="5">
        <v>17.874400000000001</v>
      </c>
      <c r="AN426" s="1">
        <v>2</v>
      </c>
      <c r="AO426" t="s">
        <v>81</v>
      </c>
      <c r="AP426" t="s">
        <v>82</v>
      </c>
      <c r="AQ426" t="s">
        <v>83</v>
      </c>
      <c r="AR426" s="3">
        <v>1.45</v>
      </c>
      <c r="AS426" s="4">
        <v>1611</v>
      </c>
      <c r="AT426" s="1">
        <v>1109</v>
      </c>
      <c r="AU426" s="3">
        <v>1.61</v>
      </c>
      <c r="AV426" s="4">
        <v>2094</v>
      </c>
      <c r="AW426" s="1">
        <v>1300</v>
      </c>
      <c r="AX426" s="3">
        <v>1090252.6200000001</v>
      </c>
      <c r="BB426" t="s">
        <v>84</v>
      </c>
      <c r="BD426" s="3">
        <v>1.62</v>
      </c>
      <c r="BE426" s="4">
        <v>1250</v>
      </c>
      <c r="BF426" s="1">
        <v>771</v>
      </c>
      <c r="BG426" s="1">
        <v>210</v>
      </c>
      <c r="BH426" s="1">
        <v>180</v>
      </c>
      <c r="BI426" s="1">
        <v>24</v>
      </c>
      <c r="BL426" t="s">
        <v>131</v>
      </c>
    </row>
    <row r="427" spans="1:64" x14ac:dyDescent="0.25">
      <c r="A427" t="s">
        <v>1415</v>
      </c>
      <c r="B427" t="s">
        <v>1416</v>
      </c>
      <c r="C427" s="4">
        <f>(AA427*(H427*0.9))*12</f>
        <v>3396556.8000000003</v>
      </c>
      <c r="D427" s="4">
        <f>IF(C427=0,"",(H427*150*12)+C427)</f>
        <v>3785356.8000000003</v>
      </c>
      <c r="E427" s="4">
        <f>IFERROR(D427*0.5,"")</f>
        <v>1892678.4000000001</v>
      </c>
      <c r="F427" s="4">
        <f>IFERROR(E427/0.06,"")</f>
        <v>31544640.000000004</v>
      </c>
      <c r="G427" s="4">
        <f>IFERROR(F427/H427,"")</f>
        <v>146040.00000000003</v>
      </c>
      <c r="H427" s="1">
        <v>216</v>
      </c>
      <c r="I427" s="1">
        <v>1985</v>
      </c>
      <c r="J427" t="s">
        <v>64</v>
      </c>
      <c r="K427" t="s">
        <v>800</v>
      </c>
      <c r="L427" t="s">
        <v>390</v>
      </c>
      <c r="M427" t="s">
        <v>1417</v>
      </c>
      <c r="O427" t="s">
        <v>390</v>
      </c>
      <c r="P427" s="1">
        <v>3</v>
      </c>
      <c r="Q427" t="s">
        <v>91</v>
      </c>
      <c r="R427" t="s">
        <v>70</v>
      </c>
      <c r="S427" t="s">
        <v>71</v>
      </c>
      <c r="U427" t="s">
        <v>72</v>
      </c>
      <c r="V427" t="s">
        <v>800</v>
      </c>
      <c r="W427" t="s">
        <v>74</v>
      </c>
      <c r="X427" t="s">
        <v>803</v>
      </c>
      <c r="Y427" s="2">
        <v>802</v>
      </c>
      <c r="Z427" s="3">
        <v>1.81</v>
      </c>
      <c r="AA427" s="4">
        <v>1456</v>
      </c>
      <c r="AK427" s="5">
        <v>3.2406999999999999</v>
      </c>
      <c r="AN427" s="1">
        <v>2</v>
      </c>
      <c r="AO427" t="s">
        <v>81</v>
      </c>
      <c r="AP427" t="s">
        <v>82</v>
      </c>
      <c r="AQ427" t="s">
        <v>83</v>
      </c>
      <c r="AR427" s="3">
        <v>1.76</v>
      </c>
      <c r="AS427" s="4">
        <v>1624</v>
      </c>
      <c r="AT427" s="1">
        <v>924</v>
      </c>
      <c r="AU427" s="3">
        <v>1.76</v>
      </c>
      <c r="AV427" s="4">
        <v>2191</v>
      </c>
      <c r="AW427" s="1">
        <v>1244</v>
      </c>
      <c r="AX427" s="3">
        <v>0</v>
      </c>
      <c r="BB427" t="s">
        <v>84</v>
      </c>
      <c r="BD427" s="3">
        <v>1.88</v>
      </c>
      <c r="BE427" s="4">
        <v>1246</v>
      </c>
      <c r="BF427" s="1">
        <v>663</v>
      </c>
      <c r="BG427" s="1">
        <v>120</v>
      </c>
      <c r="BH427" s="1">
        <v>80</v>
      </c>
      <c r="BI427" s="1">
        <v>16</v>
      </c>
      <c r="BL427" t="s">
        <v>365</v>
      </c>
    </row>
    <row r="428" spans="1:64" x14ac:dyDescent="0.25">
      <c r="A428" t="s">
        <v>3108</v>
      </c>
      <c r="B428" t="s">
        <v>3109</v>
      </c>
      <c r="C428" s="4">
        <f>(AA428*(H428*0.9))*12</f>
        <v>4405968</v>
      </c>
      <c r="D428" s="4">
        <f>IF(C428=0,"",(H428*150*12)+C428)</f>
        <v>4909968</v>
      </c>
      <c r="E428" s="4">
        <f>IFERROR(D428*0.5,"")</f>
        <v>2454984</v>
      </c>
      <c r="F428" s="4">
        <f>IFERROR(E428/0.06,"")</f>
        <v>40916400</v>
      </c>
      <c r="G428" s="4">
        <f>IFERROR(F428/H428,"")</f>
        <v>146130</v>
      </c>
      <c r="H428" s="1">
        <v>280</v>
      </c>
      <c r="I428" s="1">
        <v>1996</v>
      </c>
      <c r="J428" t="s">
        <v>64</v>
      </c>
      <c r="K428" t="s">
        <v>660</v>
      </c>
      <c r="L428" t="s">
        <v>1400</v>
      </c>
      <c r="M428" t="s">
        <v>3110</v>
      </c>
      <c r="N428" t="s">
        <v>3111</v>
      </c>
      <c r="O428" t="s">
        <v>1400</v>
      </c>
      <c r="P428" s="1">
        <v>3</v>
      </c>
      <c r="Q428" t="s">
        <v>91</v>
      </c>
      <c r="R428" t="s">
        <v>70</v>
      </c>
      <c r="S428" t="s">
        <v>71</v>
      </c>
      <c r="U428" t="s">
        <v>72</v>
      </c>
      <c r="V428" t="s">
        <v>1012</v>
      </c>
      <c r="W428" t="s">
        <v>74</v>
      </c>
      <c r="X428" t="s">
        <v>1013</v>
      </c>
      <c r="Y428" s="2">
        <v>868</v>
      </c>
      <c r="Z428" s="3">
        <v>1.68</v>
      </c>
      <c r="AA428" s="4">
        <v>1457</v>
      </c>
      <c r="AK428" s="5">
        <v>6.4286000000000003</v>
      </c>
      <c r="AN428" s="1">
        <v>2</v>
      </c>
      <c r="AO428" t="s">
        <v>81</v>
      </c>
      <c r="AP428" t="s">
        <v>82</v>
      </c>
      <c r="AQ428" t="s">
        <v>83</v>
      </c>
      <c r="AR428" s="3">
        <v>1.66</v>
      </c>
      <c r="AS428" s="4">
        <v>1622</v>
      </c>
      <c r="AT428" s="1">
        <v>977</v>
      </c>
      <c r="AU428" s="3">
        <v>1.67</v>
      </c>
      <c r="AV428" s="4">
        <v>2173</v>
      </c>
      <c r="AW428" s="1">
        <v>1301</v>
      </c>
      <c r="AX428" s="3">
        <v>815010.98</v>
      </c>
      <c r="BB428" t="s">
        <v>84</v>
      </c>
      <c r="BD428" s="3">
        <v>1.71</v>
      </c>
      <c r="BE428" s="4">
        <v>1192</v>
      </c>
      <c r="BF428" s="1">
        <v>698</v>
      </c>
      <c r="BG428" s="1">
        <v>128</v>
      </c>
      <c r="BH428" s="1">
        <v>136</v>
      </c>
      <c r="BI428" s="1">
        <v>16</v>
      </c>
      <c r="BL428" t="s">
        <v>131</v>
      </c>
    </row>
    <row r="429" spans="1:64" x14ac:dyDescent="0.25">
      <c r="A429" t="s">
        <v>3290</v>
      </c>
      <c r="B429" t="s">
        <v>3291</v>
      </c>
      <c r="C429" s="4">
        <f>(AA429*(H429*0.9))*12</f>
        <v>6923664</v>
      </c>
      <c r="D429" s="4">
        <f>IF(C429=0,"",(H429*150*12)+C429)</f>
        <v>7715664</v>
      </c>
      <c r="E429" s="4">
        <f>IFERROR(D429*0.5,"")</f>
        <v>3857832</v>
      </c>
      <c r="F429" s="4">
        <f>IFERROR(E429/0.06,"")</f>
        <v>64297200</v>
      </c>
      <c r="G429" s="4">
        <f>IFERROR(F429/H429,"")</f>
        <v>146130</v>
      </c>
      <c r="H429" s="1">
        <v>440</v>
      </c>
      <c r="I429" s="1">
        <v>1996</v>
      </c>
      <c r="J429" t="s">
        <v>64</v>
      </c>
      <c r="K429" t="s">
        <v>1133</v>
      </c>
      <c r="L429" t="s">
        <v>2786</v>
      </c>
      <c r="M429" t="s">
        <v>3292</v>
      </c>
      <c r="N429" t="s">
        <v>3293</v>
      </c>
      <c r="O429" t="s">
        <v>2786</v>
      </c>
      <c r="P429" s="1">
        <v>3</v>
      </c>
      <c r="Q429" t="s">
        <v>69</v>
      </c>
      <c r="R429" t="s">
        <v>70</v>
      </c>
      <c r="S429" t="s">
        <v>71</v>
      </c>
      <c r="U429" t="s">
        <v>72</v>
      </c>
      <c r="V429" t="s">
        <v>264</v>
      </c>
      <c r="W429" t="s">
        <v>74</v>
      </c>
      <c r="X429" t="s">
        <v>1594</v>
      </c>
      <c r="Y429" s="2">
        <v>1007</v>
      </c>
      <c r="Z429" s="3">
        <v>1.45</v>
      </c>
      <c r="AA429" s="4">
        <v>1457</v>
      </c>
      <c r="AK429" s="5">
        <v>3.1818</v>
      </c>
      <c r="AN429" s="1">
        <v>2</v>
      </c>
      <c r="AO429" t="s">
        <v>81</v>
      </c>
      <c r="AP429" t="s">
        <v>82</v>
      </c>
      <c r="AQ429" t="s">
        <v>83</v>
      </c>
      <c r="AR429" s="3">
        <v>1.38</v>
      </c>
      <c r="AS429" s="4">
        <v>1743</v>
      </c>
      <c r="AT429" s="1">
        <v>1267</v>
      </c>
      <c r="AX429" s="3">
        <v>1671464.2</v>
      </c>
      <c r="BB429" t="s">
        <v>84</v>
      </c>
      <c r="BD429" s="3">
        <v>1.5</v>
      </c>
      <c r="BE429" s="4">
        <v>1313</v>
      </c>
      <c r="BF429" s="1">
        <v>877</v>
      </c>
      <c r="BG429" s="1">
        <v>293</v>
      </c>
      <c r="BH429" s="1">
        <v>147</v>
      </c>
      <c r="BL429" t="s">
        <v>131</v>
      </c>
    </row>
    <row r="430" spans="1:64" x14ac:dyDescent="0.25">
      <c r="A430" t="s">
        <v>3154</v>
      </c>
      <c r="B430" t="s">
        <v>3155</v>
      </c>
      <c r="C430" s="4">
        <f>(AA430*(H430*0.9))*12</f>
        <v>4849891.1999999993</v>
      </c>
      <c r="D430" s="4">
        <f>IF(C430=0,"",(H430*150*12)+C430)</f>
        <v>5404291.1999999993</v>
      </c>
      <c r="E430" s="4">
        <f>IFERROR(D430*0.5,"")</f>
        <v>2702145.5999999996</v>
      </c>
      <c r="F430" s="4">
        <f>IFERROR(E430/0.06,"")</f>
        <v>45035759.999999993</v>
      </c>
      <c r="G430" s="4">
        <f>IFERROR(F430/H430,"")</f>
        <v>146219.99999999997</v>
      </c>
      <c r="H430" s="1">
        <v>308</v>
      </c>
      <c r="I430" s="1">
        <v>1997</v>
      </c>
      <c r="J430" t="s">
        <v>64</v>
      </c>
      <c r="K430" t="s">
        <v>123</v>
      </c>
      <c r="L430" t="s">
        <v>2557</v>
      </c>
      <c r="M430" t="s">
        <v>3156</v>
      </c>
      <c r="N430" t="s">
        <v>3157</v>
      </c>
      <c r="O430" t="s">
        <v>2557</v>
      </c>
      <c r="P430" s="1">
        <v>4</v>
      </c>
      <c r="Q430" t="s">
        <v>91</v>
      </c>
      <c r="R430" t="s">
        <v>70</v>
      </c>
      <c r="S430" t="s">
        <v>71</v>
      </c>
      <c r="U430" t="s">
        <v>72</v>
      </c>
      <c r="V430" t="s">
        <v>129</v>
      </c>
      <c r="W430" t="s">
        <v>74</v>
      </c>
      <c r="X430" t="s">
        <v>2570</v>
      </c>
      <c r="Y430" s="2">
        <v>960</v>
      </c>
      <c r="Z430" s="3">
        <v>1.52</v>
      </c>
      <c r="AA430" s="4">
        <v>1458</v>
      </c>
      <c r="AK430" s="5">
        <v>3.5714000000000001</v>
      </c>
      <c r="AN430" s="1">
        <v>3</v>
      </c>
      <c r="AO430" t="s">
        <v>81</v>
      </c>
      <c r="AP430" t="s">
        <v>82</v>
      </c>
      <c r="AQ430" t="s">
        <v>83</v>
      </c>
      <c r="AR430" s="3">
        <v>1.45</v>
      </c>
      <c r="AS430" s="4">
        <v>1647</v>
      </c>
      <c r="AT430" s="1">
        <v>1135</v>
      </c>
      <c r="AU430" s="3">
        <v>1.51</v>
      </c>
      <c r="AV430" s="4">
        <v>2039</v>
      </c>
      <c r="AW430" s="1">
        <v>1351</v>
      </c>
      <c r="AX430" s="3">
        <v>745469.5</v>
      </c>
      <c r="BB430" t="s">
        <v>84</v>
      </c>
      <c r="BD430" s="3">
        <v>1.59</v>
      </c>
      <c r="BE430" s="4">
        <v>1245</v>
      </c>
      <c r="BF430" s="1">
        <v>784</v>
      </c>
      <c r="BG430" s="1">
        <v>168</v>
      </c>
      <c r="BH430" s="1">
        <v>116</v>
      </c>
      <c r="BI430" s="1">
        <v>24</v>
      </c>
      <c r="BK430" t="s">
        <v>261</v>
      </c>
      <c r="BL430" t="s">
        <v>104</v>
      </c>
    </row>
    <row r="431" spans="1:64" x14ac:dyDescent="0.25">
      <c r="A431" t="s">
        <v>1648</v>
      </c>
      <c r="B431" t="s">
        <v>1649</v>
      </c>
      <c r="C431" s="4">
        <f>(AA431*(H431*0.9))*12</f>
        <v>2365200</v>
      </c>
      <c r="D431" s="4">
        <f>IF(C431=0,"",(H431*150*12)+C431)</f>
        <v>2635200</v>
      </c>
      <c r="E431" s="4">
        <f>IFERROR(D431*0.5,"")</f>
        <v>1317600</v>
      </c>
      <c r="F431" s="4">
        <f>IFERROR(E431/0.06,"")</f>
        <v>21960000</v>
      </c>
      <c r="G431" s="4">
        <f>IFERROR(F431/H431,"")</f>
        <v>146400</v>
      </c>
      <c r="H431" s="1">
        <v>150</v>
      </c>
      <c r="I431" s="1">
        <v>1985</v>
      </c>
      <c r="J431" t="s">
        <v>64</v>
      </c>
      <c r="K431" t="s">
        <v>1133</v>
      </c>
      <c r="L431" t="s">
        <v>1650</v>
      </c>
      <c r="M431" t="s">
        <v>1651</v>
      </c>
      <c r="N431" t="s">
        <v>1650</v>
      </c>
      <c r="P431" s="1">
        <v>3</v>
      </c>
      <c r="Q431" t="s">
        <v>69</v>
      </c>
      <c r="R431" t="s">
        <v>70</v>
      </c>
      <c r="S431" t="s">
        <v>71</v>
      </c>
      <c r="U431" t="s">
        <v>72</v>
      </c>
      <c r="V431" t="s">
        <v>264</v>
      </c>
      <c r="W431" t="s">
        <v>74</v>
      </c>
      <c r="X431" t="s">
        <v>1594</v>
      </c>
      <c r="Y431" s="2">
        <v>829</v>
      </c>
      <c r="Z431" s="3">
        <v>1.76</v>
      </c>
      <c r="AA431" s="4">
        <v>1460</v>
      </c>
      <c r="AK431" s="5">
        <v>8.6667000000000005</v>
      </c>
      <c r="AN431" s="1">
        <v>2</v>
      </c>
      <c r="AO431" t="s">
        <v>81</v>
      </c>
      <c r="AP431" t="s">
        <v>82</v>
      </c>
      <c r="AQ431" t="s">
        <v>83</v>
      </c>
      <c r="AR431" s="3">
        <v>1.65</v>
      </c>
      <c r="AS431" s="4">
        <v>1916</v>
      </c>
      <c r="AT431" s="1">
        <v>1160</v>
      </c>
      <c r="AX431" s="3">
        <v>0</v>
      </c>
      <c r="BB431" t="s">
        <v>84</v>
      </c>
      <c r="BD431" s="3">
        <v>1.82</v>
      </c>
      <c r="BE431" s="4">
        <v>1294</v>
      </c>
      <c r="BF431" s="1">
        <v>710</v>
      </c>
      <c r="BG431" s="1">
        <v>110</v>
      </c>
      <c r="BH431" s="1">
        <v>40</v>
      </c>
    </row>
    <row r="432" spans="1:64" x14ac:dyDescent="0.25">
      <c r="A432" t="s">
        <v>1709</v>
      </c>
      <c r="B432" t="s">
        <v>1710</v>
      </c>
      <c r="C432" s="4">
        <f>(AA432*(H432*0.9))*12</f>
        <v>1781784</v>
      </c>
      <c r="D432" s="4">
        <f>IF(C432=0,"",(H432*150*12)+C432)</f>
        <v>1985184</v>
      </c>
      <c r="E432" s="4">
        <f>IFERROR(D432*0.5,"")</f>
        <v>992592</v>
      </c>
      <c r="F432" s="4">
        <f>IFERROR(E432/0.06,"")</f>
        <v>16543200</v>
      </c>
      <c r="G432" s="4">
        <f>IFERROR(F432/H432,"")</f>
        <v>146400</v>
      </c>
      <c r="H432" s="1">
        <v>113</v>
      </c>
      <c r="I432" s="1">
        <v>1987</v>
      </c>
      <c r="J432" t="s">
        <v>64</v>
      </c>
      <c r="K432" t="s">
        <v>114</v>
      </c>
      <c r="L432" t="s">
        <v>1711</v>
      </c>
      <c r="M432" t="s">
        <v>1712</v>
      </c>
      <c r="N432" t="s">
        <v>1713</v>
      </c>
      <c r="O432" t="s">
        <v>1711</v>
      </c>
      <c r="P432" s="1">
        <v>2</v>
      </c>
      <c r="Q432" t="s">
        <v>69</v>
      </c>
      <c r="R432" t="s">
        <v>70</v>
      </c>
      <c r="S432" t="s">
        <v>71</v>
      </c>
      <c r="U432" t="s">
        <v>72</v>
      </c>
      <c r="V432" t="s">
        <v>348</v>
      </c>
      <c r="W432" t="s">
        <v>74</v>
      </c>
      <c r="X432" t="s">
        <v>1714</v>
      </c>
      <c r="Y432" s="2">
        <v>856</v>
      </c>
      <c r="Z432" s="3">
        <v>1.7</v>
      </c>
      <c r="AA432" s="4">
        <v>1460</v>
      </c>
      <c r="AK432" s="5">
        <v>3.5398000000000001</v>
      </c>
      <c r="AN432" s="1">
        <v>2</v>
      </c>
      <c r="AO432" t="s">
        <v>81</v>
      </c>
      <c r="AP432" t="s">
        <v>82</v>
      </c>
      <c r="AQ432" t="s">
        <v>83</v>
      </c>
      <c r="AR432" s="3">
        <v>1.61</v>
      </c>
      <c r="AS432" s="4">
        <v>1509</v>
      </c>
      <c r="AT432" s="1">
        <v>936</v>
      </c>
      <c r="AU432" s="3">
        <v>1.62</v>
      </c>
      <c r="AV432" s="4">
        <v>1714</v>
      </c>
      <c r="AW432" s="1">
        <v>1059</v>
      </c>
      <c r="AX432" s="3">
        <v>269643.14</v>
      </c>
      <c r="BB432" t="s">
        <v>84</v>
      </c>
      <c r="BD432" s="3">
        <v>1.94</v>
      </c>
      <c r="BE432" s="4">
        <v>1289</v>
      </c>
      <c r="BF432" s="1">
        <v>663</v>
      </c>
      <c r="BG432" s="1">
        <v>40</v>
      </c>
      <c r="BH432" s="1">
        <v>57</v>
      </c>
      <c r="BI432" s="1">
        <v>16</v>
      </c>
    </row>
    <row r="433" spans="1:67" x14ac:dyDescent="0.25">
      <c r="A433" t="s">
        <v>2936</v>
      </c>
      <c r="B433" t="s">
        <v>2937</v>
      </c>
      <c r="C433" s="4">
        <f>(AA433*(H433*0.9))*12</f>
        <v>5865696</v>
      </c>
      <c r="D433" s="4">
        <f>IF(C433=0,"",(H433*150*12)+C433)</f>
        <v>6535296</v>
      </c>
      <c r="E433" s="4">
        <f>IFERROR(D433*0.5,"")</f>
        <v>3267648</v>
      </c>
      <c r="F433" s="4">
        <f>IFERROR(E433/0.06,"")</f>
        <v>54460800</v>
      </c>
      <c r="G433" s="4">
        <f>IFERROR(F433/H433,"")</f>
        <v>146400</v>
      </c>
      <c r="H433" s="1">
        <v>372</v>
      </c>
      <c r="I433" s="1">
        <v>1996</v>
      </c>
      <c r="J433" t="s">
        <v>64</v>
      </c>
      <c r="K433" t="s">
        <v>123</v>
      </c>
      <c r="L433" t="s">
        <v>1038</v>
      </c>
      <c r="M433" t="s">
        <v>2938</v>
      </c>
      <c r="N433" t="s">
        <v>1038</v>
      </c>
      <c r="O433" t="s">
        <v>1038</v>
      </c>
      <c r="P433" s="1">
        <v>4</v>
      </c>
      <c r="Q433" t="s">
        <v>729</v>
      </c>
      <c r="R433" t="s">
        <v>70</v>
      </c>
      <c r="S433" t="s">
        <v>71</v>
      </c>
      <c r="U433" t="s">
        <v>72</v>
      </c>
      <c r="V433" t="s">
        <v>129</v>
      </c>
      <c r="W433" t="s">
        <v>74</v>
      </c>
      <c r="X433" t="s">
        <v>2570</v>
      </c>
      <c r="Y433" s="2">
        <v>919</v>
      </c>
      <c r="Z433" s="3">
        <v>1.59</v>
      </c>
      <c r="AA433" s="4">
        <v>1460</v>
      </c>
      <c r="AK433" s="5">
        <v>6.1828000000000003</v>
      </c>
      <c r="AN433" s="1">
        <v>3</v>
      </c>
      <c r="AO433" t="s">
        <v>81</v>
      </c>
      <c r="AP433" t="s">
        <v>82</v>
      </c>
      <c r="AQ433" t="s">
        <v>83</v>
      </c>
      <c r="AR433" s="3">
        <v>1.47</v>
      </c>
      <c r="AS433" s="4">
        <v>1544</v>
      </c>
      <c r="AT433" s="1">
        <v>1048</v>
      </c>
      <c r="AU433" s="3">
        <v>1.6</v>
      </c>
      <c r="AV433" s="4">
        <v>1996</v>
      </c>
      <c r="AW433" s="1">
        <v>1251</v>
      </c>
      <c r="AX433" s="3">
        <v>967738.24</v>
      </c>
      <c r="BB433" t="s">
        <v>84</v>
      </c>
      <c r="BD433" s="3">
        <v>1.75</v>
      </c>
      <c r="BE433" s="4">
        <v>1262</v>
      </c>
      <c r="BF433" s="1">
        <v>720</v>
      </c>
      <c r="BG433" s="1">
        <v>168</v>
      </c>
      <c r="BH433" s="1">
        <v>168</v>
      </c>
      <c r="BI433" s="1">
        <v>36</v>
      </c>
      <c r="BL433" t="s">
        <v>744</v>
      </c>
    </row>
    <row r="434" spans="1:67" x14ac:dyDescent="0.25">
      <c r="A434" t="s">
        <v>2671</v>
      </c>
      <c r="B434" t="s">
        <v>2672</v>
      </c>
      <c r="C434" s="4">
        <f>(AA434*(H434*0.9))*12</f>
        <v>3944700</v>
      </c>
      <c r="D434" s="4">
        <f>IF(C434=0,"",(H434*150*12)+C434)</f>
        <v>4394700</v>
      </c>
      <c r="E434" s="4">
        <f>IFERROR(D434*0.5,"")</f>
        <v>2197350</v>
      </c>
      <c r="F434" s="4">
        <f>IFERROR(E434/0.06,"")</f>
        <v>36622500</v>
      </c>
      <c r="G434" s="4">
        <f>IFERROR(F434/H434,"")</f>
        <v>146490</v>
      </c>
      <c r="H434" s="1">
        <v>250</v>
      </c>
      <c r="I434" s="1">
        <v>1997</v>
      </c>
      <c r="J434" t="s">
        <v>64</v>
      </c>
      <c r="K434" t="s">
        <v>611</v>
      </c>
      <c r="L434" t="s">
        <v>2673</v>
      </c>
      <c r="M434" t="s">
        <v>2674</v>
      </c>
      <c r="N434" t="s">
        <v>2675</v>
      </c>
      <c r="O434" t="s">
        <v>2673</v>
      </c>
      <c r="P434" s="1">
        <v>3</v>
      </c>
      <c r="Q434" t="s">
        <v>91</v>
      </c>
      <c r="R434" t="s">
        <v>70</v>
      </c>
      <c r="S434" t="s">
        <v>71</v>
      </c>
      <c r="T434" t="s">
        <v>118</v>
      </c>
      <c r="U434" t="s">
        <v>72</v>
      </c>
      <c r="V434" t="s">
        <v>611</v>
      </c>
      <c r="W434" t="s">
        <v>74</v>
      </c>
      <c r="X434" t="s">
        <v>2676</v>
      </c>
      <c r="Y434" s="2">
        <v>1145</v>
      </c>
      <c r="Z434" s="3">
        <v>1.28</v>
      </c>
      <c r="AA434" s="4">
        <v>1461</v>
      </c>
      <c r="AK434" s="5">
        <v>21.2</v>
      </c>
      <c r="AN434" s="1">
        <v>2</v>
      </c>
      <c r="AO434" t="s">
        <v>81</v>
      </c>
      <c r="AP434" t="s">
        <v>82</v>
      </c>
      <c r="AQ434" t="s">
        <v>83</v>
      </c>
      <c r="AR434" s="3">
        <v>1.31</v>
      </c>
      <c r="AS434" s="4">
        <v>1329</v>
      </c>
      <c r="AT434" s="1">
        <v>1015</v>
      </c>
      <c r="AU434" s="3">
        <v>1.24</v>
      </c>
      <c r="AV434" s="4">
        <v>1472</v>
      </c>
      <c r="AW434" s="1">
        <v>1184</v>
      </c>
      <c r="AX434" s="3">
        <v>545697.84</v>
      </c>
      <c r="BB434" t="s">
        <v>84</v>
      </c>
      <c r="BH434" s="1">
        <v>108</v>
      </c>
      <c r="BI434" s="1">
        <v>104</v>
      </c>
      <c r="BJ434" s="1">
        <v>38</v>
      </c>
      <c r="BK434" t="s">
        <v>2677</v>
      </c>
      <c r="BL434" t="s">
        <v>104</v>
      </c>
      <c r="BM434" s="3">
        <v>1.28</v>
      </c>
      <c r="BN434" s="4">
        <v>1807</v>
      </c>
      <c r="BO434" s="1">
        <v>1413</v>
      </c>
    </row>
    <row r="435" spans="1:67" x14ac:dyDescent="0.25">
      <c r="A435" t="s">
        <v>2480</v>
      </c>
      <c r="B435" t="s">
        <v>2481</v>
      </c>
      <c r="C435" s="4">
        <f>(AA435*(H435*0.9))*12</f>
        <v>4522003.2</v>
      </c>
      <c r="D435" s="4">
        <f>IF(C435=0,"",(H435*150*12)+C435)</f>
        <v>5036803.2</v>
      </c>
      <c r="E435" s="4">
        <f>IFERROR(D435*0.5,"")</f>
        <v>2518401.6</v>
      </c>
      <c r="F435" s="4">
        <f>IFERROR(E435/0.06,"")</f>
        <v>41973360</v>
      </c>
      <c r="G435" s="4">
        <f>IFERROR(F435/H435,"")</f>
        <v>146760</v>
      </c>
      <c r="H435" s="1">
        <v>286</v>
      </c>
      <c r="I435" s="1">
        <v>1992</v>
      </c>
      <c r="J435" t="s">
        <v>64</v>
      </c>
      <c r="K435" t="s">
        <v>1133</v>
      </c>
      <c r="L435" t="s">
        <v>2482</v>
      </c>
      <c r="M435" t="s">
        <v>2483</v>
      </c>
      <c r="N435" t="s">
        <v>2484</v>
      </c>
      <c r="O435" t="s">
        <v>2482</v>
      </c>
      <c r="P435" s="1">
        <v>3</v>
      </c>
      <c r="Q435" t="s">
        <v>91</v>
      </c>
      <c r="R435" t="s">
        <v>70</v>
      </c>
      <c r="S435" t="s">
        <v>71</v>
      </c>
      <c r="U435" t="s">
        <v>72</v>
      </c>
      <c r="V435" t="s">
        <v>264</v>
      </c>
      <c r="W435" t="s">
        <v>74</v>
      </c>
      <c r="X435" t="s">
        <v>1594</v>
      </c>
      <c r="Y435" s="2">
        <v>771</v>
      </c>
      <c r="Z435" s="3">
        <v>1.9</v>
      </c>
      <c r="AA435" s="4">
        <v>1464</v>
      </c>
      <c r="AK435" s="5">
        <v>7.6923000000000004</v>
      </c>
      <c r="AN435" s="1">
        <v>2</v>
      </c>
      <c r="AO435" t="s">
        <v>81</v>
      </c>
      <c r="AP435" t="s">
        <v>82</v>
      </c>
      <c r="AQ435" t="s">
        <v>83</v>
      </c>
      <c r="AR435" s="3">
        <v>1.84</v>
      </c>
      <c r="AS435" s="4">
        <v>1805</v>
      </c>
      <c r="AT435" s="1">
        <v>979</v>
      </c>
      <c r="AX435" s="3">
        <v>1146932.3400000001</v>
      </c>
      <c r="BB435" t="s">
        <v>84</v>
      </c>
      <c r="BD435" s="3">
        <v>1.94</v>
      </c>
      <c r="BE435" s="4">
        <v>1269</v>
      </c>
      <c r="BF435" s="1">
        <v>654</v>
      </c>
      <c r="BG435" s="1">
        <v>182</v>
      </c>
      <c r="BH435" s="1">
        <v>104</v>
      </c>
    </row>
    <row r="436" spans="1:67" x14ac:dyDescent="0.25">
      <c r="A436" t="s">
        <v>3091</v>
      </c>
      <c r="B436" t="s">
        <v>3092</v>
      </c>
      <c r="C436" s="4">
        <f>(AA436*(H436*0.9))*12</f>
        <v>3984422.4000000004</v>
      </c>
      <c r="D436" s="4">
        <f>IF(C436=0,"",(H436*150*12)+C436)</f>
        <v>4438022.4000000004</v>
      </c>
      <c r="E436" s="4">
        <f>IFERROR(D436*0.5,"")</f>
        <v>2219011.2000000002</v>
      </c>
      <c r="F436" s="4">
        <f>IFERROR(E436/0.06,"")</f>
        <v>36983520.000000007</v>
      </c>
      <c r="G436" s="4">
        <f>IFERROR(F436/H436,"")</f>
        <v>146760.00000000003</v>
      </c>
      <c r="H436" s="1">
        <v>252</v>
      </c>
      <c r="I436" s="1">
        <v>1998</v>
      </c>
      <c r="J436" t="s">
        <v>64</v>
      </c>
      <c r="K436" t="s">
        <v>97</v>
      </c>
      <c r="L436" t="s">
        <v>3093</v>
      </c>
      <c r="M436" t="s">
        <v>3094</v>
      </c>
      <c r="N436" t="s">
        <v>3095</v>
      </c>
      <c r="O436" t="s">
        <v>3093</v>
      </c>
      <c r="P436" s="1">
        <v>3</v>
      </c>
      <c r="Q436" t="s">
        <v>69</v>
      </c>
      <c r="R436" t="s">
        <v>70</v>
      </c>
      <c r="S436" t="s">
        <v>71</v>
      </c>
      <c r="T436" t="s">
        <v>118</v>
      </c>
      <c r="U436" t="s">
        <v>72</v>
      </c>
      <c r="V436" t="s">
        <v>961</v>
      </c>
      <c r="W436" t="s">
        <v>74</v>
      </c>
      <c r="X436" t="s">
        <v>3096</v>
      </c>
      <c r="Y436" s="2">
        <v>859</v>
      </c>
      <c r="Z436" s="3">
        <v>1.7</v>
      </c>
      <c r="AA436" s="4">
        <v>1464</v>
      </c>
      <c r="AK436" s="5">
        <v>5.1586999999999996</v>
      </c>
      <c r="AN436" s="1">
        <v>2</v>
      </c>
      <c r="AO436" t="s">
        <v>81</v>
      </c>
      <c r="AP436" t="s">
        <v>82</v>
      </c>
      <c r="AQ436" t="s">
        <v>83</v>
      </c>
      <c r="AR436" s="3">
        <v>1.65</v>
      </c>
      <c r="AS436" s="4">
        <v>1610</v>
      </c>
      <c r="AT436" s="1">
        <v>975</v>
      </c>
      <c r="AU436" s="3">
        <v>1.56</v>
      </c>
      <c r="AV436" s="4">
        <v>1840</v>
      </c>
      <c r="AW436" s="1">
        <v>1176</v>
      </c>
      <c r="AX436" s="3">
        <v>809851.13</v>
      </c>
      <c r="BB436" t="s">
        <v>84</v>
      </c>
      <c r="BD436" s="3">
        <v>1.79</v>
      </c>
      <c r="BE436" s="4">
        <v>1283</v>
      </c>
      <c r="BF436" s="1">
        <v>715</v>
      </c>
      <c r="BG436" s="1">
        <v>124</v>
      </c>
      <c r="BH436" s="1">
        <v>112</v>
      </c>
      <c r="BI436" s="1">
        <v>16</v>
      </c>
      <c r="BL436" t="s">
        <v>131</v>
      </c>
    </row>
    <row r="437" spans="1:67" x14ac:dyDescent="0.25">
      <c r="A437" t="s">
        <v>2712</v>
      </c>
      <c r="B437" t="s">
        <v>2713</v>
      </c>
      <c r="C437" s="4">
        <f>(AA437*(H437*0.9))*12</f>
        <v>3480840</v>
      </c>
      <c r="D437" s="4">
        <f>IF(C437=0,"",(H437*150*12)+C437)</f>
        <v>3876840</v>
      </c>
      <c r="E437" s="4">
        <f>IFERROR(D437*0.5,"")</f>
        <v>1938420</v>
      </c>
      <c r="F437" s="4">
        <f>IFERROR(E437/0.06,"")</f>
        <v>32307000</v>
      </c>
      <c r="G437" s="4">
        <f>IFERROR(F437/H437,"")</f>
        <v>146850</v>
      </c>
      <c r="H437" s="1">
        <v>220</v>
      </c>
      <c r="I437" s="1">
        <v>1995</v>
      </c>
      <c r="J437" t="s">
        <v>64</v>
      </c>
      <c r="K437" t="s">
        <v>660</v>
      </c>
      <c r="L437" t="s">
        <v>2714</v>
      </c>
      <c r="M437" t="s">
        <v>2715</v>
      </c>
      <c r="N437" t="s">
        <v>2716</v>
      </c>
      <c r="O437" t="s">
        <v>2714</v>
      </c>
      <c r="P437" s="1">
        <v>3</v>
      </c>
      <c r="Q437" t="s">
        <v>91</v>
      </c>
      <c r="R437" t="s">
        <v>70</v>
      </c>
      <c r="S437" t="s">
        <v>71</v>
      </c>
      <c r="T437" t="s">
        <v>118</v>
      </c>
      <c r="U437" t="s">
        <v>72</v>
      </c>
      <c r="V437" t="s">
        <v>664</v>
      </c>
      <c r="W437" t="s">
        <v>74</v>
      </c>
      <c r="X437" t="s">
        <v>2717</v>
      </c>
      <c r="Y437" s="2">
        <v>807</v>
      </c>
      <c r="Z437" s="3">
        <v>1.81</v>
      </c>
      <c r="AA437" s="4">
        <v>1465</v>
      </c>
      <c r="AK437" s="5">
        <v>13.181800000000001</v>
      </c>
      <c r="AN437" s="1">
        <v>2</v>
      </c>
      <c r="AO437" t="s">
        <v>81</v>
      </c>
      <c r="AP437" t="s">
        <v>82</v>
      </c>
      <c r="AQ437" t="s">
        <v>83</v>
      </c>
      <c r="AR437" s="3">
        <v>1.82</v>
      </c>
      <c r="AS437" s="4">
        <v>1427</v>
      </c>
      <c r="AT437" s="1">
        <v>783</v>
      </c>
      <c r="AU437" s="3">
        <v>1.7</v>
      </c>
      <c r="AV437" s="4">
        <v>1632</v>
      </c>
      <c r="AW437" s="1">
        <v>959</v>
      </c>
      <c r="AX437" s="3">
        <v>222508.75</v>
      </c>
      <c r="BB437" t="s">
        <v>84</v>
      </c>
      <c r="BD437" s="3">
        <v>2.11</v>
      </c>
      <c r="BE437" s="4">
        <v>1225</v>
      </c>
      <c r="BF437" s="1">
        <v>580</v>
      </c>
      <c r="BG437" s="1">
        <v>60</v>
      </c>
      <c r="BH437" s="1">
        <v>60</v>
      </c>
      <c r="BI437" s="1">
        <v>100</v>
      </c>
      <c r="BK437" t="s">
        <v>2718</v>
      </c>
      <c r="BL437" t="s">
        <v>131</v>
      </c>
    </row>
    <row r="438" spans="1:67" x14ac:dyDescent="0.25">
      <c r="A438" t="s">
        <v>2496</v>
      </c>
      <c r="B438" t="s">
        <v>2497</v>
      </c>
      <c r="C438" s="4">
        <f>(AA438*(H438*0.9))*12</f>
        <v>3675715.2</v>
      </c>
      <c r="D438" s="4">
        <f>IF(C438=0,"",(H438*150*12)+C438)</f>
        <v>4093315.2</v>
      </c>
      <c r="E438" s="4">
        <f>IFERROR(D438*0.5,"")</f>
        <v>2046657.6</v>
      </c>
      <c r="F438" s="4">
        <f>IFERROR(E438/0.06,"")</f>
        <v>34110960</v>
      </c>
      <c r="G438" s="4">
        <f>IFERROR(F438/H438,"")</f>
        <v>147030</v>
      </c>
      <c r="H438" s="1">
        <v>232</v>
      </c>
      <c r="I438" s="1">
        <v>1994</v>
      </c>
      <c r="J438" t="s">
        <v>64</v>
      </c>
      <c r="K438" t="s">
        <v>486</v>
      </c>
      <c r="L438" t="s">
        <v>2498</v>
      </c>
      <c r="M438" t="s">
        <v>2499</v>
      </c>
      <c r="O438" t="s">
        <v>2498</v>
      </c>
      <c r="P438" s="1">
        <v>3</v>
      </c>
      <c r="Q438" t="s">
        <v>91</v>
      </c>
      <c r="R438" t="s">
        <v>70</v>
      </c>
      <c r="S438" t="s">
        <v>71</v>
      </c>
      <c r="T438" t="s">
        <v>118</v>
      </c>
      <c r="U438" t="s">
        <v>72</v>
      </c>
      <c r="V438" t="s">
        <v>73</v>
      </c>
      <c r="W438" t="s">
        <v>74</v>
      </c>
      <c r="X438" t="s">
        <v>419</v>
      </c>
      <c r="Y438" s="2">
        <v>925</v>
      </c>
      <c r="Z438" s="3">
        <v>1.58</v>
      </c>
      <c r="AA438" s="4">
        <v>1467</v>
      </c>
      <c r="AK438" s="5">
        <v>5.6033999999999997</v>
      </c>
      <c r="AN438" s="1">
        <v>2</v>
      </c>
      <c r="AO438" t="s">
        <v>81</v>
      </c>
      <c r="AP438" t="s">
        <v>82</v>
      </c>
      <c r="AQ438" t="s">
        <v>83</v>
      </c>
      <c r="AR438" s="3">
        <v>1.53</v>
      </c>
      <c r="AS438" s="4">
        <v>1458</v>
      </c>
      <c r="AT438" s="1">
        <v>951</v>
      </c>
      <c r="AU438" s="3">
        <v>1.57</v>
      </c>
      <c r="AV438" s="4">
        <v>1682</v>
      </c>
      <c r="AW438" s="1">
        <v>1070</v>
      </c>
      <c r="AX438" s="3">
        <v>420006.83</v>
      </c>
      <c r="BB438" t="s">
        <v>84</v>
      </c>
      <c r="BD438" s="3">
        <v>1.75</v>
      </c>
      <c r="BE438" s="4">
        <v>1220</v>
      </c>
      <c r="BF438" s="1">
        <v>698</v>
      </c>
      <c r="BG438" s="1">
        <v>54</v>
      </c>
      <c r="BH438" s="1">
        <v>112</v>
      </c>
      <c r="BI438" s="1">
        <v>66</v>
      </c>
    </row>
    <row r="439" spans="1:67" x14ac:dyDescent="0.25">
      <c r="A439" t="s">
        <v>2961</v>
      </c>
      <c r="B439" t="s">
        <v>2962</v>
      </c>
      <c r="C439" s="4">
        <f>(AA439*(H439*0.9))*12</f>
        <v>2027980.7999999998</v>
      </c>
      <c r="D439" s="4">
        <f>IF(C439=0,"",(H439*150*12)+C439)</f>
        <v>2258380.7999999998</v>
      </c>
      <c r="E439" s="4">
        <f>IFERROR(D439*0.5,"")</f>
        <v>1129190.3999999999</v>
      </c>
      <c r="F439" s="4">
        <f>IFERROR(E439/0.06,"")</f>
        <v>18819840</v>
      </c>
      <c r="G439" s="4">
        <f>IFERROR(F439/H439,"")</f>
        <v>147030</v>
      </c>
      <c r="H439" s="1">
        <v>128</v>
      </c>
      <c r="I439" s="1">
        <v>2000</v>
      </c>
      <c r="J439" t="s">
        <v>64</v>
      </c>
      <c r="K439" t="s">
        <v>439</v>
      </c>
      <c r="L439" t="s">
        <v>2845</v>
      </c>
      <c r="M439" t="s">
        <v>2963</v>
      </c>
      <c r="N439" t="s">
        <v>2964</v>
      </c>
      <c r="O439" t="s">
        <v>2845</v>
      </c>
      <c r="P439" s="1">
        <v>4</v>
      </c>
      <c r="Q439" t="s">
        <v>91</v>
      </c>
      <c r="R439" t="s">
        <v>70</v>
      </c>
      <c r="S439" t="s">
        <v>71</v>
      </c>
      <c r="U439" t="s">
        <v>72</v>
      </c>
      <c r="V439" t="s">
        <v>885</v>
      </c>
      <c r="W439" t="s">
        <v>74</v>
      </c>
      <c r="X439" t="s">
        <v>886</v>
      </c>
      <c r="Y439" s="2">
        <v>963</v>
      </c>
      <c r="Z439" s="3">
        <v>1.52</v>
      </c>
      <c r="AA439" s="4">
        <v>1467</v>
      </c>
      <c r="AK439" s="5">
        <v>13.2813</v>
      </c>
      <c r="AN439" s="1">
        <v>3</v>
      </c>
      <c r="AO439" t="s">
        <v>81</v>
      </c>
      <c r="AP439" t="s">
        <v>82</v>
      </c>
      <c r="AQ439" t="s">
        <v>83</v>
      </c>
      <c r="AR439" s="3">
        <v>1.51</v>
      </c>
      <c r="AS439" s="4">
        <v>1429</v>
      </c>
      <c r="AT439" s="1">
        <v>947</v>
      </c>
      <c r="AU439" s="3">
        <v>1.43</v>
      </c>
      <c r="AV439" s="4">
        <v>1727</v>
      </c>
      <c r="AW439" s="1">
        <v>1207</v>
      </c>
      <c r="AX439" s="3">
        <v>119217.03</v>
      </c>
      <c r="BB439" t="s">
        <v>84</v>
      </c>
      <c r="BD439" s="3">
        <v>1.79</v>
      </c>
      <c r="BE439" s="4">
        <v>1234</v>
      </c>
      <c r="BF439" s="1">
        <v>688</v>
      </c>
      <c r="BG439" s="1">
        <v>24</v>
      </c>
      <c r="BH439" s="1">
        <v>72</v>
      </c>
      <c r="BI439" s="1">
        <v>32</v>
      </c>
      <c r="BK439" t="s">
        <v>2965</v>
      </c>
      <c r="BL439" t="s">
        <v>104</v>
      </c>
    </row>
    <row r="440" spans="1:67" x14ac:dyDescent="0.25">
      <c r="A440" t="s">
        <v>2453</v>
      </c>
      <c r="B440" t="s">
        <v>2454</v>
      </c>
      <c r="C440" s="4">
        <f>(AA440*(H440*0.9))*12</f>
        <v>4246084.8000000007</v>
      </c>
      <c r="D440" s="4">
        <f>IF(C440=0,"",(H440*150*12)+C440)</f>
        <v>4728484.8000000007</v>
      </c>
      <c r="E440" s="4">
        <f>IFERROR(D440*0.5,"")</f>
        <v>2364242.4000000004</v>
      </c>
      <c r="F440" s="4">
        <f>IFERROR(E440/0.06,"")</f>
        <v>39404040.000000007</v>
      </c>
      <c r="G440" s="4">
        <f>IFERROR(F440/H440,"")</f>
        <v>147030.00000000003</v>
      </c>
      <c r="H440" s="1">
        <v>268</v>
      </c>
      <c r="I440" s="1">
        <v>1997</v>
      </c>
      <c r="J440" t="s">
        <v>64</v>
      </c>
      <c r="K440" t="s">
        <v>198</v>
      </c>
      <c r="L440" t="s">
        <v>2395</v>
      </c>
      <c r="M440" t="s">
        <v>2455</v>
      </c>
      <c r="N440" t="s">
        <v>2397</v>
      </c>
      <c r="O440" t="s">
        <v>2395</v>
      </c>
      <c r="P440" s="1">
        <v>3</v>
      </c>
      <c r="Q440" t="s">
        <v>91</v>
      </c>
      <c r="R440" t="s">
        <v>70</v>
      </c>
      <c r="S440" t="s">
        <v>71</v>
      </c>
      <c r="U440" t="s">
        <v>72</v>
      </c>
      <c r="V440" t="s">
        <v>152</v>
      </c>
      <c r="W440" t="s">
        <v>74</v>
      </c>
      <c r="X440" t="s">
        <v>1801</v>
      </c>
      <c r="Y440" s="2">
        <v>912</v>
      </c>
      <c r="Z440" s="3">
        <v>1.61</v>
      </c>
      <c r="AA440" s="4">
        <v>1467</v>
      </c>
      <c r="AK440" s="5">
        <v>5.2239000000000004</v>
      </c>
      <c r="AN440" s="1">
        <v>1</v>
      </c>
      <c r="AO440" t="s">
        <v>81</v>
      </c>
      <c r="AP440" t="s">
        <v>82</v>
      </c>
      <c r="AQ440" t="s">
        <v>83</v>
      </c>
      <c r="AR440" s="3">
        <v>1.49</v>
      </c>
      <c r="AS440" s="4">
        <v>1649</v>
      </c>
      <c r="AT440" s="1">
        <v>1106</v>
      </c>
      <c r="AU440" s="3">
        <v>1.61</v>
      </c>
      <c r="AV440" s="4">
        <v>2061</v>
      </c>
      <c r="AW440" s="1">
        <v>1280</v>
      </c>
      <c r="AX440" s="3">
        <v>1024656.07</v>
      </c>
      <c r="BB440" t="s">
        <v>84</v>
      </c>
      <c r="BD440" s="3">
        <v>1.71</v>
      </c>
      <c r="BE440" s="4">
        <v>1294</v>
      </c>
      <c r="BF440" s="1">
        <v>755</v>
      </c>
      <c r="BG440" s="1">
        <v>156</v>
      </c>
      <c r="BH440" s="1">
        <v>96</v>
      </c>
      <c r="BI440" s="1">
        <v>16</v>
      </c>
    </row>
    <row r="441" spans="1:67" x14ac:dyDescent="0.25">
      <c r="A441" t="s">
        <v>2319</v>
      </c>
      <c r="B441" t="s">
        <v>2320</v>
      </c>
      <c r="C441" s="4">
        <f>(AA441*(H441*0.9))*12</f>
        <v>4692902.4000000004</v>
      </c>
      <c r="D441" s="4">
        <f>IF(C441=0,"",(H441*150*12)+C441)</f>
        <v>5225702.4000000004</v>
      </c>
      <c r="E441" s="4">
        <f>IFERROR(D441*0.5,"")</f>
        <v>2612851.2000000002</v>
      </c>
      <c r="F441" s="4">
        <f>IFERROR(E441/0.06,"")</f>
        <v>43547520.000000007</v>
      </c>
      <c r="G441" s="4">
        <f>IFERROR(F441/H441,"")</f>
        <v>147120.00000000003</v>
      </c>
      <c r="H441" s="1">
        <v>296</v>
      </c>
      <c r="I441" s="1">
        <v>2000</v>
      </c>
      <c r="J441" t="s">
        <v>64</v>
      </c>
      <c r="K441" t="s">
        <v>725</v>
      </c>
      <c r="L441" t="s">
        <v>2321</v>
      </c>
      <c r="M441" t="s">
        <v>2322</v>
      </c>
      <c r="N441" t="s">
        <v>2323</v>
      </c>
      <c r="O441" t="s">
        <v>2321</v>
      </c>
      <c r="P441" s="1">
        <v>4</v>
      </c>
      <c r="Q441" t="s">
        <v>729</v>
      </c>
      <c r="R441" t="s">
        <v>70</v>
      </c>
      <c r="S441" t="s">
        <v>71</v>
      </c>
      <c r="U441" t="s">
        <v>72</v>
      </c>
      <c r="V441" t="s">
        <v>73</v>
      </c>
      <c r="W441" t="s">
        <v>74</v>
      </c>
      <c r="X441" t="s">
        <v>2324</v>
      </c>
      <c r="Y441" s="2">
        <v>974</v>
      </c>
      <c r="Z441" s="3">
        <v>1.51</v>
      </c>
      <c r="AA441" s="4">
        <v>1468</v>
      </c>
      <c r="AK441" s="5">
        <v>2.7027000000000001</v>
      </c>
      <c r="AN441" s="1">
        <v>3</v>
      </c>
      <c r="AO441" t="s">
        <v>81</v>
      </c>
      <c r="AP441" t="s">
        <v>82</v>
      </c>
      <c r="AQ441" t="s">
        <v>83</v>
      </c>
      <c r="AR441" s="3">
        <v>1.43</v>
      </c>
      <c r="AS441" s="4">
        <v>1569</v>
      </c>
      <c r="AT441" s="1">
        <v>1094</v>
      </c>
      <c r="AU441" s="3">
        <v>1.5</v>
      </c>
      <c r="AV441" s="4">
        <v>2103</v>
      </c>
      <c r="AW441" s="1">
        <v>1404</v>
      </c>
      <c r="AX441" s="3">
        <v>851030.26</v>
      </c>
      <c r="BB441" t="s">
        <v>84</v>
      </c>
      <c r="BD441" s="3">
        <v>1.64</v>
      </c>
      <c r="BE441" s="4">
        <v>1225</v>
      </c>
      <c r="BF441" s="1">
        <v>749</v>
      </c>
      <c r="BG441" s="1">
        <v>124</v>
      </c>
      <c r="BH441" s="1">
        <v>148</v>
      </c>
      <c r="BI441" s="1">
        <v>24</v>
      </c>
      <c r="BK441" t="s">
        <v>2325</v>
      </c>
      <c r="BL441" t="s">
        <v>104</v>
      </c>
    </row>
    <row r="442" spans="1:67" x14ac:dyDescent="0.25">
      <c r="A442" t="s">
        <v>2773</v>
      </c>
      <c r="B442" t="s">
        <v>2774</v>
      </c>
      <c r="C442" s="4">
        <f>(AA442*(H442*0.9))*12</f>
        <v>4946572.8000000007</v>
      </c>
      <c r="D442" s="4">
        <f>IF(C442=0,"",(H442*150*12)+C442)</f>
        <v>5508172.8000000007</v>
      </c>
      <c r="E442" s="4">
        <f>IFERROR(D442*0.5,"")</f>
        <v>2754086.4000000004</v>
      </c>
      <c r="F442" s="4">
        <f>IFERROR(E442/0.06,"")</f>
        <v>45901440.000000007</v>
      </c>
      <c r="G442" s="4">
        <f>IFERROR(F442/H442,"")</f>
        <v>147120.00000000003</v>
      </c>
      <c r="H442" s="1">
        <v>312</v>
      </c>
      <c r="I442" s="1">
        <v>1996</v>
      </c>
      <c r="J442" t="s">
        <v>64</v>
      </c>
      <c r="K442" t="s">
        <v>228</v>
      </c>
      <c r="L442" t="s">
        <v>1169</v>
      </c>
      <c r="M442" t="s">
        <v>2775</v>
      </c>
      <c r="N442" t="s">
        <v>2776</v>
      </c>
      <c r="O442" t="s">
        <v>1169</v>
      </c>
      <c r="P442" s="1">
        <v>4</v>
      </c>
      <c r="Q442" t="s">
        <v>91</v>
      </c>
      <c r="R442" t="s">
        <v>70</v>
      </c>
      <c r="S442" t="s">
        <v>71</v>
      </c>
      <c r="U442" t="s">
        <v>72</v>
      </c>
      <c r="V442" t="s">
        <v>232</v>
      </c>
      <c r="W442" t="s">
        <v>74</v>
      </c>
      <c r="X442" t="s">
        <v>2777</v>
      </c>
      <c r="Y442" s="2">
        <v>928</v>
      </c>
      <c r="Z442" s="3">
        <v>1.58</v>
      </c>
      <c r="AA442" s="4">
        <v>1468</v>
      </c>
      <c r="AK442" s="5">
        <v>31.730799999999999</v>
      </c>
      <c r="AM442" s="1">
        <v>2017</v>
      </c>
      <c r="AN442" s="1">
        <v>3</v>
      </c>
      <c r="AO442" t="s">
        <v>81</v>
      </c>
      <c r="AP442" t="s">
        <v>82</v>
      </c>
      <c r="AQ442" t="s">
        <v>83</v>
      </c>
      <c r="AR442" s="3">
        <v>1.5</v>
      </c>
      <c r="AS442" s="4">
        <v>1593</v>
      </c>
      <c r="AT442" s="1">
        <v>1065</v>
      </c>
      <c r="AU442" s="3">
        <v>1.53</v>
      </c>
      <c r="AV442" s="4">
        <v>2030</v>
      </c>
      <c r="AW442" s="1">
        <v>1330</v>
      </c>
      <c r="AX442" s="3">
        <v>1171357.03</v>
      </c>
      <c r="BB442" t="s">
        <v>84</v>
      </c>
      <c r="BD442" s="3">
        <v>1.7</v>
      </c>
      <c r="BE442" s="4">
        <v>1276</v>
      </c>
      <c r="BF442" s="1">
        <v>751</v>
      </c>
      <c r="BG442" s="1">
        <v>156</v>
      </c>
      <c r="BH442" s="1">
        <v>132</v>
      </c>
      <c r="BI442" s="1">
        <v>24</v>
      </c>
      <c r="BL442" t="s">
        <v>131</v>
      </c>
    </row>
    <row r="443" spans="1:67" x14ac:dyDescent="0.25">
      <c r="A443" t="s">
        <v>560</v>
      </c>
      <c r="B443" t="s">
        <v>561</v>
      </c>
      <c r="C443" s="4">
        <f>(AA443*(H443*0.9))*12</f>
        <v>3873744</v>
      </c>
      <c r="D443" s="4">
        <f>IF(C443=0,"",(H443*150*12)+C443)</f>
        <v>4312944</v>
      </c>
      <c r="E443" s="4">
        <f>IFERROR(D443*0.5,"")</f>
        <v>2156472</v>
      </c>
      <c r="F443" s="4">
        <f>IFERROR(E443/0.06,"")</f>
        <v>35941200</v>
      </c>
      <c r="G443" s="4">
        <f>IFERROR(F443/H443,"")</f>
        <v>147300</v>
      </c>
      <c r="H443" s="1">
        <v>244</v>
      </c>
      <c r="I443" s="1">
        <v>1985</v>
      </c>
      <c r="J443" t="s">
        <v>64</v>
      </c>
      <c r="K443" t="s">
        <v>140</v>
      </c>
      <c r="L443" t="s">
        <v>562</v>
      </c>
      <c r="M443" t="s">
        <v>563</v>
      </c>
      <c r="N443" t="s">
        <v>564</v>
      </c>
      <c r="O443" t="s">
        <v>562</v>
      </c>
      <c r="P443" s="1">
        <v>3</v>
      </c>
      <c r="Q443" t="s">
        <v>91</v>
      </c>
      <c r="R443" t="s">
        <v>70</v>
      </c>
      <c r="S443" t="s">
        <v>71</v>
      </c>
      <c r="U443" t="s">
        <v>72</v>
      </c>
      <c r="V443" t="s">
        <v>140</v>
      </c>
      <c r="W443" t="s">
        <v>74</v>
      </c>
      <c r="X443" t="s">
        <v>565</v>
      </c>
      <c r="Y443" s="2">
        <v>878</v>
      </c>
      <c r="Z443" s="3">
        <v>1.67</v>
      </c>
      <c r="AA443" s="4">
        <v>1470</v>
      </c>
      <c r="AK443" s="5">
        <v>5.7377000000000002</v>
      </c>
      <c r="AM443" s="1">
        <v>1995</v>
      </c>
      <c r="AN443" s="1">
        <v>2</v>
      </c>
      <c r="AO443" t="s">
        <v>81</v>
      </c>
      <c r="AP443" t="s">
        <v>82</v>
      </c>
      <c r="AQ443" t="s">
        <v>83</v>
      </c>
      <c r="AR443" s="3">
        <v>1.69</v>
      </c>
      <c r="AS443" s="4">
        <v>1720</v>
      </c>
      <c r="AT443" s="1">
        <v>1019</v>
      </c>
      <c r="AU443" s="3">
        <v>1.48</v>
      </c>
      <c r="AV443" s="4">
        <v>1867</v>
      </c>
      <c r="AW443" s="1">
        <v>1260</v>
      </c>
      <c r="AX443" s="3">
        <v>520497</v>
      </c>
      <c r="BB443" t="s">
        <v>84</v>
      </c>
      <c r="BD443" s="3">
        <v>1.7</v>
      </c>
      <c r="BE443" s="4">
        <v>1331</v>
      </c>
      <c r="BF443" s="1">
        <v>781</v>
      </c>
      <c r="BG443" s="1">
        <v>164</v>
      </c>
      <c r="BH443" s="1">
        <v>60</v>
      </c>
      <c r="BI443" s="1">
        <v>20</v>
      </c>
      <c r="BK443" t="s">
        <v>566</v>
      </c>
      <c r="BL443" t="s">
        <v>104</v>
      </c>
    </row>
    <row r="444" spans="1:67" x14ac:dyDescent="0.25">
      <c r="A444" t="s">
        <v>957</v>
      </c>
      <c r="B444" t="s">
        <v>958</v>
      </c>
      <c r="C444" s="4">
        <f>(AA444*(H444*0.9))*12</f>
        <v>4130568</v>
      </c>
      <c r="D444" s="4">
        <f>IF(C444=0,"",(H444*150*12)+C444)</f>
        <v>4598568</v>
      </c>
      <c r="E444" s="4">
        <f>IFERROR(D444*0.5,"")</f>
        <v>2299284</v>
      </c>
      <c r="F444" s="4">
        <f>IFERROR(E444/0.06,"")</f>
        <v>38321400</v>
      </c>
      <c r="G444" s="4">
        <f>IFERROR(F444/H444,"")</f>
        <v>147390</v>
      </c>
      <c r="H444" s="1">
        <v>260</v>
      </c>
      <c r="I444" s="1">
        <v>1986</v>
      </c>
      <c r="J444" t="s">
        <v>64</v>
      </c>
      <c r="K444" t="s">
        <v>97</v>
      </c>
      <c r="L444" t="s">
        <v>929</v>
      </c>
      <c r="M444" t="s">
        <v>959</v>
      </c>
      <c r="N444" t="s">
        <v>960</v>
      </c>
      <c r="O444" t="s">
        <v>929</v>
      </c>
      <c r="P444" s="1">
        <v>3</v>
      </c>
      <c r="Q444" t="s">
        <v>91</v>
      </c>
      <c r="R444" t="s">
        <v>70</v>
      </c>
      <c r="S444" t="s">
        <v>71</v>
      </c>
      <c r="U444" t="s">
        <v>72</v>
      </c>
      <c r="V444" t="s">
        <v>961</v>
      </c>
      <c r="W444" t="s">
        <v>74</v>
      </c>
      <c r="X444" t="s">
        <v>962</v>
      </c>
      <c r="Y444" s="2">
        <v>828</v>
      </c>
      <c r="Z444" s="3">
        <v>1.77</v>
      </c>
      <c r="AA444" s="4">
        <v>1471</v>
      </c>
      <c r="AK444" s="5">
        <v>6.9230999999999998</v>
      </c>
      <c r="AN444" s="1">
        <v>2</v>
      </c>
      <c r="AO444" t="s">
        <v>81</v>
      </c>
      <c r="AP444" t="s">
        <v>82</v>
      </c>
      <c r="AQ444" t="s">
        <v>83</v>
      </c>
      <c r="AR444" s="3">
        <v>1.64</v>
      </c>
      <c r="AS444" s="4">
        <v>1543</v>
      </c>
      <c r="AT444" s="1">
        <v>941</v>
      </c>
      <c r="AX444" s="3">
        <v>735184</v>
      </c>
      <c r="BB444" t="s">
        <v>84</v>
      </c>
      <c r="BD444" s="3">
        <v>2.06</v>
      </c>
      <c r="BE444" s="4">
        <v>1362</v>
      </c>
      <c r="BF444" s="1">
        <v>660</v>
      </c>
      <c r="BG444" s="1">
        <v>104</v>
      </c>
      <c r="BH444" s="1">
        <v>156</v>
      </c>
      <c r="BK444" t="s">
        <v>919</v>
      </c>
      <c r="BL444" t="s">
        <v>104</v>
      </c>
    </row>
    <row r="445" spans="1:67" x14ac:dyDescent="0.25">
      <c r="A445" t="s">
        <v>3168</v>
      </c>
      <c r="B445" t="s">
        <v>3169</v>
      </c>
      <c r="C445" s="4">
        <f>(AA445*(H445*0.9))*12</f>
        <v>1527206.4000000001</v>
      </c>
      <c r="D445" s="4">
        <f>IF(C445=0,"",(H445*150*12)+C445)</f>
        <v>1700006.4000000001</v>
      </c>
      <c r="E445" s="4">
        <f>IFERROR(D445*0.5,"")</f>
        <v>850003.20000000007</v>
      </c>
      <c r="F445" s="4">
        <f>IFERROR(E445/0.06,"")</f>
        <v>14166720.000000002</v>
      </c>
      <c r="G445" s="4">
        <f>IFERROR(F445/H445,"")</f>
        <v>147570.00000000003</v>
      </c>
      <c r="H445" s="1">
        <v>96</v>
      </c>
      <c r="I445" s="1">
        <v>2000</v>
      </c>
      <c r="J445" t="s">
        <v>64</v>
      </c>
      <c r="K445" t="s">
        <v>611</v>
      </c>
      <c r="L445" t="s">
        <v>770</v>
      </c>
      <c r="M445" t="s">
        <v>3170</v>
      </c>
      <c r="N445" t="s">
        <v>3171</v>
      </c>
      <c r="O445" t="s">
        <v>770</v>
      </c>
      <c r="P445" s="1">
        <v>3</v>
      </c>
      <c r="Q445" t="s">
        <v>91</v>
      </c>
      <c r="R445" t="s">
        <v>70</v>
      </c>
      <c r="S445" t="s">
        <v>71</v>
      </c>
      <c r="U445" t="s">
        <v>72</v>
      </c>
      <c r="V445" t="s">
        <v>3172</v>
      </c>
      <c r="W445" t="s">
        <v>74</v>
      </c>
      <c r="X445" t="s">
        <v>3173</v>
      </c>
      <c r="Y445" s="2">
        <v>846</v>
      </c>
      <c r="Z445" s="3">
        <v>1.74</v>
      </c>
      <c r="AA445" s="4">
        <v>1473</v>
      </c>
      <c r="AK445" s="5">
        <v>17.708300000000001</v>
      </c>
      <c r="AN445" s="1">
        <v>2</v>
      </c>
      <c r="AO445" t="s">
        <v>81</v>
      </c>
      <c r="AP445" t="s">
        <v>82</v>
      </c>
      <c r="AQ445" t="s">
        <v>83</v>
      </c>
      <c r="AR445" s="3">
        <v>1.72</v>
      </c>
      <c r="AS445" s="4">
        <v>1558</v>
      </c>
      <c r="AT445" s="1">
        <v>906</v>
      </c>
      <c r="AX445" s="3">
        <v>394242.4</v>
      </c>
      <c r="BB445" t="s">
        <v>84</v>
      </c>
      <c r="BD445" s="3">
        <v>1.78</v>
      </c>
      <c r="BE445" s="4">
        <v>1331</v>
      </c>
      <c r="BF445" s="1">
        <v>747</v>
      </c>
      <c r="BG445" s="1">
        <v>36</v>
      </c>
      <c r="BH445" s="1">
        <v>60</v>
      </c>
    </row>
    <row r="446" spans="1:67" x14ac:dyDescent="0.25">
      <c r="A446" t="s">
        <v>2823</v>
      </c>
      <c r="B446" t="s">
        <v>2824</v>
      </c>
      <c r="C446" s="4">
        <f>(AA446*(H446*0.9))*12</f>
        <v>7444353.6000000006</v>
      </c>
      <c r="D446" s="4">
        <f>IF(C446=0,"",(H446*150*12)+C446)</f>
        <v>8284953.6000000006</v>
      </c>
      <c r="E446" s="4">
        <f>IFERROR(D446*0.5,"")</f>
        <v>4142476.8000000003</v>
      </c>
      <c r="F446" s="4">
        <f>IFERROR(E446/0.06,"")</f>
        <v>69041280</v>
      </c>
      <c r="G446" s="4">
        <f>IFERROR(F446/H446,"")</f>
        <v>147840</v>
      </c>
      <c r="H446" s="1">
        <v>467</v>
      </c>
      <c r="I446" s="1">
        <v>1995</v>
      </c>
      <c r="J446" t="s">
        <v>64</v>
      </c>
      <c r="K446" t="s">
        <v>734</v>
      </c>
      <c r="L446" t="s">
        <v>1038</v>
      </c>
      <c r="M446" t="s">
        <v>2825</v>
      </c>
      <c r="N446" t="s">
        <v>1038</v>
      </c>
      <c r="O446" t="s">
        <v>1038</v>
      </c>
      <c r="P446" s="1">
        <v>3</v>
      </c>
      <c r="Q446" t="s">
        <v>91</v>
      </c>
      <c r="R446" t="s">
        <v>70</v>
      </c>
      <c r="S446" t="s">
        <v>71</v>
      </c>
      <c r="U446" t="s">
        <v>72</v>
      </c>
      <c r="V446" t="s">
        <v>73</v>
      </c>
      <c r="W446" t="s">
        <v>74</v>
      </c>
      <c r="X446" t="s">
        <v>738</v>
      </c>
      <c r="Y446" s="2">
        <v>925</v>
      </c>
      <c r="Z446" s="3">
        <v>1.59</v>
      </c>
      <c r="AA446" s="4">
        <v>1476</v>
      </c>
      <c r="AK446" s="5">
        <v>4.9250999999999996</v>
      </c>
      <c r="AN446" s="1">
        <v>2</v>
      </c>
      <c r="AO446" t="s">
        <v>81</v>
      </c>
      <c r="AP446" t="s">
        <v>82</v>
      </c>
      <c r="AQ446" t="s">
        <v>83</v>
      </c>
      <c r="AR446" s="3">
        <v>1.55</v>
      </c>
      <c r="AS446" s="4">
        <v>1666</v>
      </c>
      <c r="AT446" s="1">
        <v>1074</v>
      </c>
      <c r="AX446" s="3">
        <v>1309327.1499999999</v>
      </c>
      <c r="BB446" t="s">
        <v>84</v>
      </c>
      <c r="BD446" s="3">
        <v>1.69</v>
      </c>
      <c r="BE446" s="4">
        <v>1197</v>
      </c>
      <c r="BF446" s="1">
        <v>708</v>
      </c>
      <c r="BG446" s="1">
        <v>189</v>
      </c>
      <c r="BH446" s="1">
        <v>278</v>
      </c>
    </row>
    <row r="447" spans="1:67" x14ac:dyDescent="0.25">
      <c r="A447" t="s">
        <v>3055</v>
      </c>
      <c r="B447" t="s">
        <v>3056</v>
      </c>
      <c r="C447" s="4">
        <f>(AA447*(H447*0.9))*12</f>
        <v>2231712</v>
      </c>
      <c r="D447" s="4">
        <f>IF(C447=0,"",(H447*150*12)+C447)</f>
        <v>2483712</v>
      </c>
      <c r="E447" s="4">
        <f>IFERROR(D447*0.5,"")</f>
        <v>1241856</v>
      </c>
      <c r="F447" s="4">
        <f>IFERROR(E447/0.06,"")</f>
        <v>20697600</v>
      </c>
      <c r="G447" s="4">
        <f>IFERROR(F447/H447,"")</f>
        <v>147840</v>
      </c>
      <c r="H447" s="1">
        <v>140</v>
      </c>
      <c r="I447" s="1">
        <v>1999</v>
      </c>
      <c r="J447" t="s">
        <v>64</v>
      </c>
      <c r="K447" t="s">
        <v>114</v>
      </c>
      <c r="L447" t="s">
        <v>1711</v>
      </c>
      <c r="M447" t="s">
        <v>3057</v>
      </c>
      <c r="N447" t="s">
        <v>3058</v>
      </c>
      <c r="O447" t="s">
        <v>1711</v>
      </c>
      <c r="P447" s="1">
        <v>4</v>
      </c>
      <c r="Q447" t="s">
        <v>91</v>
      </c>
      <c r="R447" t="s">
        <v>70</v>
      </c>
      <c r="S447" t="s">
        <v>71</v>
      </c>
      <c r="U447" t="s">
        <v>72</v>
      </c>
      <c r="V447" t="s">
        <v>356</v>
      </c>
      <c r="W447" t="s">
        <v>74</v>
      </c>
      <c r="X447" t="s">
        <v>3059</v>
      </c>
      <c r="Y447" s="2">
        <v>871</v>
      </c>
      <c r="Z447" s="3">
        <v>1.69</v>
      </c>
      <c r="AA447" s="4">
        <v>1476</v>
      </c>
      <c r="AK447" s="5">
        <v>2.8571</v>
      </c>
      <c r="AN447" s="1">
        <v>2</v>
      </c>
      <c r="AO447" t="s">
        <v>81</v>
      </c>
      <c r="AP447" t="s">
        <v>82</v>
      </c>
      <c r="AQ447" t="s">
        <v>83</v>
      </c>
      <c r="AR447" s="3">
        <v>1.63</v>
      </c>
      <c r="AS447" s="4">
        <v>1575</v>
      </c>
      <c r="AT447" s="1">
        <v>968</v>
      </c>
      <c r="AU447" s="3">
        <v>1.51</v>
      </c>
      <c r="AV447" s="4">
        <v>1854</v>
      </c>
      <c r="AW447" s="1">
        <v>1230</v>
      </c>
      <c r="AX447" s="3">
        <v>292372.09000000003</v>
      </c>
      <c r="BB447" t="s">
        <v>84</v>
      </c>
      <c r="BD447" s="3">
        <v>1.84</v>
      </c>
      <c r="BE447" s="4">
        <v>1307</v>
      </c>
      <c r="BF447" s="1">
        <v>709</v>
      </c>
      <c r="BG447" s="1">
        <v>64</v>
      </c>
      <c r="BH447" s="1">
        <v>64</v>
      </c>
      <c r="BI447" s="1">
        <v>12</v>
      </c>
      <c r="BK447" t="s">
        <v>3060</v>
      </c>
      <c r="BL447" t="s">
        <v>104</v>
      </c>
    </row>
    <row r="448" spans="1:67" x14ac:dyDescent="0.25">
      <c r="A448" t="s">
        <v>3422</v>
      </c>
      <c r="B448" t="s">
        <v>3423</v>
      </c>
      <c r="C448" s="4">
        <f>(AA448*(H448*0.9))*12</f>
        <v>4147416</v>
      </c>
      <c r="D448" s="4">
        <f>IF(C448=0,"",(H448*150*12)+C448)</f>
        <v>4615416</v>
      </c>
      <c r="E448" s="4">
        <f>IFERROR(D448*0.5,"")</f>
        <v>2307708</v>
      </c>
      <c r="F448" s="4">
        <f>IFERROR(E448/0.06,"")</f>
        <v>38461800</v>
      </c>
      <c r="G448" s="4">
        <f>IFERROR(F448/H448,"")</f>
        <v>147930</v>
      </c>
      <c r="H448" s="1">
        <v>260</v>
      </c>
      <c r="I448" s="1">
        <v>1998</v>
      </c>
      <c r="J448" t="s">
        <v>64</v>
      </c>
      <c r="K448" t="s">
        <v>756</v>
      </c>
      <c r="L448" t="s">
        <v>3424</v>
      </c>
      <c r="M448" t="s">
        <v>3425</v>
      </c>
      <c r="N448" t="s">
        <v>3426</v>
      </c>
      <c r="O448" t="s">
        <v>3424</v>
      </c>
      <c r="P448" s="1">
        <v>4</v>
      </c>
      <c r="Q448" t="s">
        <v>729</v>
      </c>
      <c r="R448" t="s">
        <v>70</v>
      </c>
      <c r="S448" t="s">
        <v>71</v>
      </c>
      <c r="U448" t="s">
        <v>72</v>
      </c>
      <c r="V448" t="s">
        <v>73</v>
      </c>
      <c r="W448" t="s">
        <v>74</v>
      </c>
      <c r="X448" t="s">
        <v>3427</v>
      </c>
      <c r="Y448" s="2">
        <v>911</v>
      </c>
      <c r="Z448" s="3">
        <v>1.62</v>
      </c>
      <c r="AA448" s="4">
        <v>1477</v>
      </c>
      <c r="AK448" s="5">
        <v>8.4614999999999991</v>
      </c>
      <c r="AN448" s="1">
        <v>4</v>
      </c>
      <c r="AO448" t="s">
        <v>81</v>
      </c>
      <c r="AP448" t="s">
        <v>82</v>
      </c>
      <c r="AQ448" t="s">
        <v>83</v>
      </c>
      <c r="AR448" s="3">
        <v>1.57</v>
      </c>
      <c r="AS448" s="4">
        <v>1692</v>
      </c>
      <c r="AT448" s="1">
        <v>1078</v>
      </c>
      <c r="AU448" s="3">
        <v>1.51</v>
      </c>
      <c r="AV448" s="4">
        <v>1968</v>
      </c>
      <c r="AW448" s="1">
        <v>1300</v>
      </c>
      <c r="AX448" s="3">
        <v>1101207.6499999999</v>
      </c>
      <c r="BB448" t="s">
        <v>84</v>
      </c>
      <c r="BD448" s="3">
        <v>1.71</v>
      </c>
      <c r="BE448" s="4">
        <v>1235</v>
      </c>
      <c r="BF448" s="1">
        <v>721</v>
      </c>
      <c r="BG448" s="1">
        <v>136</v>
      </c>
      <c r="BH448" s="1">
        <v>100</v>
      </c>
      <c r="BI448" s="1">
        <v>24</v>
      </c>
      <c r="BK448" t="s">
        <v>2198</v>
      </c>
      <c r="BL448" t="s">
        <v>131</v>
      </c>
    </row>
    <row r="449" spans="1:64" x14ac:dyDescent="0.25">
      <c r="A449" t="s">
        <v>2888</v>
      </c>
      <c r="B449" t="s">
        <v>2889</v>
      </c>
      <c r="C449" s="4">
        <f>(AA449*(H449*0.9))*12</f>
        <v>5370624.0000000009</v>
      </c>
      <c r="D449" s="4">
        <f>IF(C449=0,"",(H449*150*12)+C449)</f>
        <v>5975424.0000000009</v>
      </c>
      <c r="E449" s="4">
        <f>IFERROR(D449*0.5,"")</f>
        <v>2987712.0000000005</v>
      </c>
      <c r="F449" s="4">
        <f>IFERROR(E449/0.06,"")</f>
        <v>49795200.000000007</v>
      </c>
      <c r="G449" s="4">
        <f>IFERROR(F449/H449,"")</f>
        <v>148200.00000000003</v>
      </c>
      <c r="H449" s="1">
        <v>336</v>
      </c>
      <c r="I449" s="1">
        <v>1998</v>
      </c>
      <c r="J449" t="s">
        <v>64</v>
      </c>
      <c r="K449" t="s">
        <v>800</v>
      </c>
      <c r="L449" t="s">
        <v>2890</v>
      </c>
      <c r="M449" t="s">
        <v>2891</v>
      </c>
      <c r="N449" t="s">
        <v>2892</v>
      </c>
      <c r="O449" t="s">
        <v>2890</v>
      </c>
      <c r="P449" s="1">
        <v>3</v>
      </c>
      <c r="Q449" t="s">
        <v>91</v>
      </c>
      <c r="R449" t="s">
        <v>70</v>
      </c>
      <c r="S449" t="s">
        <v>71</v>
      </c>
      <c r="U449" t="s">
        <v>72</v>
      </c>
      <c r="V449" t="s">
        <v>800</v>
      </c>
      <c r="W449" t="s">
        <v>74</v>
      </c>
      <c r="X449" t="s">
        <v>803</v>
      </c>
      <c r="Y449" s="2">
        <v>948</v>
      </c>
      <c r="Z449" s="3">
        <v>1.56</v>
      </c>
      <c r="AA449" s="4">
        <v>1480</v>
      </c>
      <c r="AK449" s="5">
        <v>5.6547999999999998</v>
      </c>
      <c r="AN449" s="1">
        <v>2</v>
      </c>
      <c r="AO449" t="s">
        <v>81</v>
      </c>
      <c r="AP449" t="s">
        <v>82</v>
      </c>
      <c r="AQ449" t="s">
        <v>83</v>
      </c>
      <c r="AR449" s="3">
        <v>1.51</v>
      </c>
      <c r="AS449" s="4">
        <v>1583</v>
      </c>
      <c r="AT449" s="1">
        <v>1047</v>
      </c>
      <c r="AU449" s="3">
        <v>1.76</v>
      </c>
      <c r="AV449" s="4">
        <v>2161</v>
      </c>
      <c r="AW449" s="1">
        <v>1226</v>
      </c>
      <c r="AX449" s="3">
        <v>307212.36</v>
      </c>
      <c r="BB449" t="s">
        <v>84</v>
      </c>
      <c r="BD449" s="3">
        <v>1.61</v>
      </c>
      <c r="BE449" s="4">
        <v>1325</v>
      </c>
      <c r="BF449" s="1">
        <v>821</v>
      </c>
      <c r="BG449" s="1">
        <v>152</v>
      </c>
      <c r="BH449" s="1">
        <v>176</v>
      </c>
      <c r="BI449" s="1">
        <v>8</v>
      </c>
      <c r="BL449" t="s">
        <v>131</v>
      </c>
    </row>
    <row r="450" spans="1:64" x14ac:dyDescent="0.25">
      <c r="A450" t="s">
        <v>798</v>
      </c>
      <c r="B450" t="s">
        <v>799</v>
      </c>
      <c r="C450" s="4">
        <f>(AA450*(H450*0.9))*12</f>
        <v>7197660</v>
      </c>
      <c r="D450" s="4">
        <f>IF(C450=0,"",(H450*150*12)+C450)</f>
        <v>8007660</v>
      </c>
      <c r="E450" s="4">
        <f>IFERROR(D450*0.5,"")</f>
        <v>4003830</v>
      </c>
      <c r="F450" s="4">
        <f>IFERROR(E450/0.06,"")</f>
        <v>66730500</v>
      </c>
      <c r="G450" s="4">
        <f>IFERROR(F450/H450,"")</f>
        <v>148290</v>
      </c>
      <c r="H450" s="1">
        <v>450</v>
      </c>
      <c r="I450" s="1">
        <v>1986</v>
      </c>
      <c r="J450" t="s">
        <v>64</v>
      </c>
      <c r="K450" t="s">
        <v>800</v>
      </c>
      <c r="L450" t="s">
        <v>801</v>
      </c>
      <c r="M450" t="s">
        <v>802</v>
      </c>
      <c r="O450" t="s">
        <v>801</v>
      </c>
      <c r="P450" s="1">
        <v>3</v>
      </c>
      <c r="Q450" t="s">
        <v>91</v>
      </c>
      <c r="R450" t="s">
        <v>70</v>
      </c>
      <c r="S450" t="s">
        <v>71</v>
      </c>
      <c r="U450" t="s">
        <v>72</v>
      </c>
      <c r="V450" t="s">
        <v>800</v>
      </c>
      <c r="W450" t="s">
        <v>74</v>
      </c>
      <c r="X450" t="s">
        <v>803</v>
      </c>
      <c r="Y450" s="2">
        <v>860</v>
      </c>
      <c r="Z450" s="3">
        <v>1.72</v>
      </c>
      <c r="AA450" s="4">
        <v>1481</v>
      </c>
      <c r="AK450" s="5">
        <v>3.3332999999999999</v>
      </c>
      <c r="AN450" s="1">
        <v>2</v>
      </c>
      <c r="AO450" t="s">
        <v>81</v>
      </c>
      <c r="AP450" t="s">
        <v>82</v>
      </c>
      <c r="AQ450" t="s">
        <v>83</v>
      </c>
      <c r="AR450" s="3">
        <v>1.63</v>
      </c>
      <c r="AS450" s="4">
        <v>1589</v>
      </c>
      <c r="AT450" s="1">
        <v>975</v>
      </c>
      <c r="AU450" s="3">
        <v>1.68</v>
      </c>
      <c r="AV450" s="4">
        <v>2119</v>
      </c>
      <c r="AW450" s="1">
        <v>1264</v>
      </c>
      <c r="AX450" s="3">
        <v>409455.72</v>
      </c>
      <c r="AY450" s="3">
        <v>1.77</v>
      </c>
      <c r="AZ450" s="4">
        <v>1171</v>
      </c>
      <c r="BA450" s="6">
        <v>663</v>
      </c>
      <c r="BB450" t="s">
        <v>84</v>
      </c>
      <c r="BD450" s="3">
        <v>1.8</v>
      </c>
      <c r="BE450" s="4">
        <v>1401</v>
      </c>
      <c r="BF450" s="1">
        <v>779</v>
      </c>
      <c r="BG450" s="1">
        <v>242</v>
      </c>
      <c r="BH450" s="1">
        <v>164</v>
      </c>
      <c r="BI450" s="1">
        <v>16</v>
      </c>
      <c r="BK450" t="s">
        <v>804</v>
      </c>
      <c r="BL450" t="s">
        <v>94</v>
      </c>
    </row>
    <row r="451" spans="1:64" x14ac:dyDescent="0.25">
      <c r="A451" t="s">
        <v>3800</v>
      </c>
      <c r="B451" t="s">
        <v>3801</v>
      </c>
      <c r="C451" s="4">
        <f>(AA451*(H451*0.9))*12</f>
        <v>3198960</v>
      </c>
      <c r="D451" s="4">
        <f>IF(C451=0,"",(H451*150*12)+C451)</f>
        <v>3558960</v>
      </c>
      <c r="E451" s="4">
        <f>IFERROR(D451*0.5,"")</f>
        <v>1779480</v>
      </c>
      <c r="F451" s="4">
        <f>IFERROR(E451/0.06,"")</f>
        <v>29658000</v>
      </c>
      <c r="G451" s="4">
        <f>IFERROR(F451/H451,"")</f>
        <v>148290</v>
      </c>
      <c r="H451" s="1">
        <v>200</v>
      </c>
      <c r="I451" s="1">
        <v>1997</v>
      </c>
      <c r="J451" t="s">
        <v>64</v>
      </c>
      <c r="K451" t="s">
        <v>97</v>
      </c>
      <c r="L451" t="s">
        <v>3802</v>
      </c>
      <c r="M451" t="s">
        <v>3803</v>
      </c>
      <c r="O451" t="s">
        <v>3802</v>
      </c>
      <c r="P451" s="1">
        <v>3</v>
      </c>
      <c r="Q451" t="s">
        <v>91</v>
      </c>
      <c r="R451" t="s">
        <v>70</v>
      </c>
      <c r="S451" t="s">
        <v>71</v>
      </c>
      <c r="T451" t="s">
        <v>118</v>
      </c>
      <c r="U451" t="s">
        <v>72</v>
      </c>
      <c r="V451" t="s">
        <v>1599</v>
      </c>
      <c r="W451" t="s">
        <v>74</v>
      </c>
      <c r="X451" t="s">
        <v>3804</v>
      </c>
      <c r="Y451" s="2">
        <v>1072</v>
      </c>
      <c r="Z451" s="3">
        <v>1.38</v>
      </c>
      <c r="AA451" s="4">
        <v>1481</v>
      </c>
      <c r="AK451" s="5">
        <v>10</v>
      </c>
      <c r="AN451" s="1">
        <v>2</v>
      </c>
      <c r="AO451" t="s">
        <v>81</v>
      </c>
      <c r="AP451" t="s">
        <v>82</v>
      </c>
      <c r="AQ451" t="s">
        <v>83</v>
      </c>
      <c r="AR451" s="3">
        <v>1.36</v>
      </c>
      <c r="AS451" s="4">
        <v>1434</v>
      </c>
      <c r="AT451" s="1">
        <v>1054</v>
      </c>
      <c r="AU451" s="3">
        <v>1.52</v>
      </c>
      <c r="AV451" s="4">
        <v>1825</v>
      </c>
      <c r="AW451" s="1">
        <v>1204</v>
      </c>
      <c r="AX451" s="3">
        <v>723983.96</v>
      </c>
      <c r="BB451" t="s">
        <v>84</v>
      </c>
      <c r="BH451" s="1">
        <v>176</v>
      </c>
      <c r="BI451" s="1">
        <v>24</v>
      </c>
    </row>
    <row r="452" spans="1:64" x14ac:dyDescent="0.25">
      <c r="A452" t="s">
        <v>138</v>
      </c>
      <c r="B452" t="s">
        <v>139</v>
      </c>
      <c r="C452" s="4">
        <f>(AA452*(H452*0.9))*12</f>
        <v>5894035.1999999993</v>
      </c>
      <c r="D452" s="4">
        <f>IF(C452=0,"",(H452*150*12)+C452)</f>
        <v>6556435.1999999993</v>
      </c>
      <c r="E452" s="4">
        <f>IFERROR(D452*0.5,"")</f>
        <v>3278217.5999999996</v>
      </c>
      <c r="F452" s="4">
        <f>IFERROR(E452/0.06,"")</f>
        <v>54636959.999999993</v>
      </c>
      <c r="G452" s="4">
        <f>IFERROR(F452/H452,"")</f>
        <v>148469.99999999997</v>
      </c>
      <c r="H452" s="1">
        <v>368</v>
      </c>
      <c r="I452" s="1">
        <v>1985</v>
      </c>
      <c r="J452" t="s">
        <v>64</v>
      </c>
      <c r="K452" t="s">
        <v>140</v>
      </c>
      <c r="L452" t="s">
        <v>141</v>
      </c>
      <c r="M452" t="s">
        <v>142</v>
      </c>
      <c r="N452" t="s">
        <v>143</v>
      </c>
      <c r="O452" t="s">
        <v>141</v>
      </c>
      <c r="P452" s="1">
        <v>3</v>
      </c>
      <c r="Q452" t="s">
        <v>91</v>
      </c>
      <c r="R452" t="s">
        <v>70</v>
      </c>
      <c r="S452" t="s">
        <v>71</v>
      </c>
      <c r="T452" t="s">
        <v>128</v>
      </c>
      <c r="U452" t="s">
        <v>72</v>
      </c>
      <c r="V452" t="s">
        <v>140</v>
      </c>
      <c r="W452" t="s">
        <v>74</v>
      </c>
      <c r="X452" t="s">
        <v>144</v>
      </c>
      <c r="Y452" s="2">
        <v>856</v>
      </c>
      <c r="Z452" s="3">
        <v>1.73</v>
      </c>
      <c r="AA452" s="4">
        <v>1483</v>
      </c>
      <c r="AK452" s="5">
        <v>7.3369999999999997</v>
      </c>
      <c r="AM452" s="1">
        <v>2021</v>
      </c>
      <c r="AN452" s="1">
        <v>2</v>
      </c>
      <c r="AO452" t="s">
        <v>81</v>
      </c>
      <c r="AP452" t="s">
        <v>82</v>
      </c>
      <c r="AQ452" t="s">
        <v>83</v>
      </c>
      <c r="AR452" s="3">
        <v>1.69</v>
      </c>
      <c r="AS452" s="4">
        <v>1592</v>
      </c>
      <c r="AT452" s="1">
        <v>940</v>
      </c>
      <c r="AX452" s="3">
        <v>968853.12</v>
      </c>
      <c r="BB452" t="s">
        <v>84</v>
      </c>
      <c r="BD452" s="3">
        <v>1.84</v>
      </c>
      <c r="BE452" s="4">
        <v>1257</v>
      </c>
      <c r="BF452" s="1">
        <v>685</v>
      </c>
      <c r="BG452" s="1">
        <v>120</v>
      </c>
      <c r="BH452" s="1">
        <v>248</v>
      </c>
      <c r="BK452" t="s">
        <v>145</v>
      </c>
      <c r="BL452" t="s">
        <v>104</v>
      </c>
    </row>
    <row r="453" spans="1:64" x14ac:dyDescent="0.25">
      <c r="A453" t="s">
        <v>3276</v>
      </c>
      <c r="B453" t="s">
        <v>3277</v>
      </c>
      <c r="C453" s="4">
        <f>(AA453*(H453*0.9))*12</f>
        <v>8072265.6000000006</v>
      </c>
      <c r="D453" s="4">
        <f>IF(C453=0,"",(H453*150*12)+C453)</f>
        <v>8979465.6000000015</v>
      </c>
      <c r="E453" s="4">
        <f>IFERROR(D453*0.5,"")</f>
        <v>4489732.8000000007</v>
      </c>
      <c r="F453" s="4">
        <f>IFERROR(E453/0.06,"")</f>
        <v>74828880.000000015</v>
      </c>
      <c r="G453" s="4">
        <f>IFERROR(F453/H453,"")</f>
        <v>148470.00000000003</v>
      </c>
      <c r="H453" s="1">
        <v>504</v>
      </c>
      <c r="I453" s="1">
        <v>1998</v>
      </c>
      <c r="J453" t="s">
        <v>64</v>
      </c>
      <c r="K453" t="s">
        <v>1133</v>
      </c>
      <c r="L453" t="s">
        <v>3278</v>
      </c>
      <c r="M453" t="s">
        <v>3279</v>
      </c>
      <c r="N453" t="s">
        <v>3280</v>
      </c>
      <c r="O453" t="s">
        <v>3278</v>
      </c>
      <c r="P453" s="1">
        <v>4</v>
      </c>
      <c r="Q453" t="s">
        <v>729</v>
      </c>
      <c r="R453" t="s">
        <v>70</v>
      </c>
      <c r="S453" t="s">
        <v>71</v>
      </c>
      <c r="U453" t="s">
        <v>72</v>
      </c>
      <c r="V453" t="s">
        <v>264</v>
      </c>
      <c r="W453" t="s">
        <v>74</v>
      </c>
      <c r="X453" t="s">
        <v>1594</v>
      </c>
      <c r="Y453" s="2">
        <v>906</v>
      </c>
      <c r="Z453" s="3">
        <v>1.64</v>
      </c>
      <c r="AA453" s="4">
        <v>1483</v>
      </c>
      <c r="AK453" s="5">
        <v>21.626999999999999</v>
      </c>
      <c r="AN453" s="1">
        <v>3</v>
      </c>
      <c r="AO453" t="s">
        <v>81</v>
      </c>
      <c r="AP453" t="s">
        <v>82</v>
      </c>
      <c r="AQ453" t="s">
        <v>83</v>
      </c>
      <c r="AR453" s="3">
        <v>1.55</v>
      </c>
      <c r="AS453" s="4">
        <v>1686</v>
      </c>
      <c r="AT453" s="1">
        <v>1086</v>
      </c>
      <c r="AU453" s="3">
        <v>1.55</v>
      </c>
      <c r="AV453" s="4">
        <v>2240</v>
      </c>
      <c r="AW453" s="1">
        <v>1449</v>
      </c>
      <c r="AX453" s="3">
        <v>2100326.73</v>
      </c>
      <c r="BB453" t="s">
        <v>84</v>
      </c>
      <c r="BD453" s="3">
        <v>1.75</v>
      </c>
      <c r="BE453" s="4">
        <v>1261</v>
      </c>
      <c r="BF453" s="1">
        <v>720</v>
      </c>
      <c r="BG453" s="1">
        <v>267</v>
      </c>
      <c r="BH453" s="1">
        <v>217</v>
      </c>
      <c r="BI453" s="1">
        <v>20</v>
      </c>
      <c r="BL453" t="s">
        <v>131</v>
      </c>
    </row>
    <row r="454" spans="1:64" x14ac:dyDescent="0.25">
      <c r="A454" t="s">
        <v>1121</v>
      </c>
      <c r="B454" t="s">
        <v>1122</v>
      </c>
      <c r="C454" s="4">
        <f>(AA454*(H454*0.9))*12</f>
        <v>6571152</v>
      </c>
      <c r="D454" s="4">
        <f>IF(C454=0,"",(H454*150*12)+C454)</f>
        <v>7309152</v>
      </c>
      <c r="E454" s="4">
        <f>IFERROR(D454*0.5,"")</f>
        <v>3654576</v>
      </c>
      <c r="F454" s="4">
        <f>IFERROR(E454/0.06,"")</f>
        <v>60909600</v>
      </c>
      <c r="G454" s="4">
        <f>IFERROR(F454/H454,"")</f>
        <v>148560</v>
      </c>
      <c r="H454" s="1">
        <v>410</v>
      </c>
      <c r="I454" s="1">
        <v>1987</v>
      </c>
      <c r="J454" t="s">
        <v>64</v>
      </c>
      <c r="K454" t="s">
        <v>514</v>
      </c>
      <c r="L454" t="s">
        <v>848</v>
      </c>
      <c r="M454" t="s">
        <v>1123</v>
      </c>
      <c r="N454" t="s">
        <v>850</v>
      </c>
      <c r="O454" t="s">
        <v>848</v>
      </c>
      <c r="P454" s="1">
        <v>3</v>
      </c>
      <c r="Q454" t="s">
        <v>91</v>
      </c>
      <c r="R454" t="s">
        <v>70</v>
      </c>
      <c r="S454" t="s">
        <v>71</v>
      </c>
      <c r="U454" t="s">
        <v>72</v>
      </c>
      <c r="V454" t="s">
        <v>264</v>
      </c>
      <c r="W454" t="s">
        <v>74</v>
      </c>
      <c r="X454" t="s">
        <v>851</v>
      </c>
      <c r="Y454" s="2">
        <v>853</v>
      </c>
      <c r="Z454" s="3">
        <v>1.74</v>
      </c>
      <c r="AA454" s="4">
        <v>1484</v>
      </c>
      <c r="AK454" s="5">
        <v>5.3658999999999999</v>
      </c>
      <c r="AN454" s="1">
        <v>3</v>
      </c>
      <c r="AO454" t="s">
        <v>81</v>
      </c>
      <c r="AP454" t="s">
        <v>82</v>
      </c>
      <c r="AQ454" t="s">
        <v>83</v>
      </c>
      <c r="AR454" s="3">
        <v>1.63</v>
      </c>
      <c r="AS454" s="4">
        <v>1802</v>
      </c>
      <c r="AT454" s="1">
        <v>1106</v>
      </c>
      <c r="AX454" s="3">
        <v>1477508.11</v>
      </c>
      <c r="BB454" t="s">
        <v>84</v>
      </c>
      <c r="BD454" s="3">
        <v>1.81</v>
      </c>
      <c r="BE454" s="4">
        <v>1349</v>
      </c>
      <c r="BF454" s="1">
        <v>746</v>
      </c>
      <c r="BG454" s="1">
        <v>288</v>
      </c>
      <c r="BH454" s="1">
        <v>122</v>
      </c>
      <c r="BK454" t="s">
        <v>1124</v>
      </c>
      <c r="BL454" t="s">
        <v>104</v>
      </c>
    </row>
    <row r="455" spans="1:64" x14ac:dyDescent="0.25">
      <c r="A455" t="s">
        <v>3006</v>
      </c>
      <c r="B455" t="s">
        <v>3007</v>
      </c>
      <c r="C455" s="4">
        <f>(AA455*(H455*0.9))*12</f>
        <v>5962118.4000000004</v>
      </c>
      <c r="D455" s="4">
        <f>IF(C455=0,"",(H455*150*12)+C455)</f>
        <v>6631718.4000000004</v>
      </c>
      <c r="E455" s="4">
        <f>IFERROR(D455*0.5,"")</f>
        <v>3315859.2</v>
      </c>
      <c r="F455" s="4">
        <f>IFERROR(E455/0.06,"")</f>
        <v>55264320.000000007</v>
      </c>
      <c r="G455" s="4">
        <f>IFERROR(F455/H455,"")</f>
        <v>148560.00000000003</v>
      </c>
      <c r="H455" s="1">
        <v>372</v>
      </c>
      <c r="I455" s="1">
        <v>1995</v>
      </c>
      <c r="J455" t="s">
        <v>64</v>
      </c>
      <c r="K455" t="s">
        <v>734</v>
      </c>
      <c r="L455" t="s">
        <v>3008</v>
      </c>
      <c r="M455" t="s">
        <v>3009</v>
      </c>
      <c r="N455" t="s">
        <v>3010</v>
      </c>
      <c r="O455" t="s">
        <v>3008</v>
      </c>
      <c r="P455" s="1">
        <v>3</v>
      </c>
      <c r="Q455" t="s">
        <v>91</v>
      </c>
      <c r="R455" t="s">
        <v>70</v>
      </c>
      <c r="S455" t="s">
        <v>71</v>
      </c>
      <c r="U455" t="s">
        <v>72</v>
      </c>
      <c r="V455" t="s">
        <v>73</v>
      </c>
      <c r="W455" t="s">
        <v>74</v>
      </c>
      <c r="X455" t="s">
        <v>730</v>
      </c>
      <c r="Y455" s="2">
        <v>918</v>
      </c>
      <c r="Z455" s="3">
        <v>1.61</v>
      </c>
      <c r="AA455" s="4">
        <v>1484</v>
      </c>
      <c r="AK455" s="5">
        <v>4.0323000000000002</v>
      </c>
      <c r="AN455" s="1">
        <v>3</v>
      </c>
      <c r="AO455" t="s">
        <v>81</v>
      </c>
      <c r="AP455" t="s">
        <v>82</v>
      </c>
      <c r="AQ455" t="s">
        <v>83</v>
      </c>
      <c r="AR455" s="3">
        <v>1.49</v>
      </c>
      <c r="AS455" s="4">
        <v>1630</v>
      </c>
      <c r="AT455" s="1">
        <v>1095</v>
      </c>
      <c r="AU455" s="3">
        <v>1.58</v>
      </c>
      <c r="AV455" s="4">
        <v>2206</v>
      </c>
      <c r="AW455" s="1">
        <v>1399</v>
      </c>
      <c r="AX455" s="3">
        <v>1162404.1100000001</v>
      </c>
      <c r="BB455" t="s">
        <v>84</v>
      </c>
      <c r="BD455" s="3">
        <v>1.75</v>
      </c>
      <c r="BE455" s="4">
        <v>1322</v>
      </c>
      <c r="BF455" s="1">
        <v>757</v>
      </c>
      <c r="BG455" s="1">
        <v>210</v>
      </c>
      <c r="BH455" s="1">
        <v>144</v>
      </c>
      <c r="BI455" s="1">
        <v>18</v>
      </c>
      <c r="BL455" t="s">
        <v>365</v>
      </c>
    </row>
    <row r="456" spans="1:64" x14ac:dyDescent="0.25">
      <c r="A456" t="s">
        <v>1986</v>
      </c>
      <c r="B456" t="s">
        <v>1987</v>
      </c>
      <c r="C456" s="4">
        <f>(AA456*(H456*0.9))*12</f>
        <v>3533112</v>
      </c>
      <c r="D456" s="4">
        <f>IF(C456=0,"",(H456*150*12)+C456)</f>
        <v>3929112</v>
      </c>
      <c r="E456" s="4">
        <f>IFERROR(D456*0.5,"")</f>
        <v>1964556</v>
      </c>
      <c r="F456" s="4">
        <f>IFERROR(E456/0.06,"")</f>
        <v>32742600</v>
      </c>
      <c r="G456" s="4">
        <f>IFERROR(F456/H456,"")</f>
        <v>148830</v>
      </c>
      <c r="H456" s="1">
        <v>220</v>
      </c>
      <c r="I456" s="1">
        <v>1986</v>
      </c>
      <c r="J456" t="s">
        <v>64</v>
      </c>
      <c r="K456" t="s">
        <v>409</v>
      </c>
      <c r="L456" t="s">
        <v>929</v>
      </c>
      <c r="M456" t="s">
        <v>1988</v>
      </c>
      <c r="N456" t="s">
        <v>1989</v>
      </c>
      <c r="O456" t="s">
        <v>929</v>
      </c>
      <c r="P456" s="1">
        <v>3</v>
      </c>
      <c r="Q456" t="s">
        <v>69</v>
      </c>
      <c r="R456" t="s">
        <v>70</v>
      </c>
      <c r="S456" t="s">
        <v>71</v>
      </c>
      <c r="U456" t="s">
        <v>72</v>
      </c>
      <c r="V456" t="s">
        <v>110</v>
      </c>
      <c r="W456" t="s">
        <v>74</v>
      </c>
      <c r="X456" t="s">
        <v>1990</v>
      </c>
      <c r="Y456" s="2">
        <v>867</v>
      </c>
      <c r="Z456" s="3">
        <v>1.71</v>
      </c>
      <c r="AA456" s="4">
        <v>1487</v>
      </c>
      <c r="AK456" s="5">
        <v>5</v>
      </c>
      <c r="AN456" s="1">
        <v>2</v>
      </c>
      <c r="AO456" t="s">
        <v>81</v>
      </c>
      <c r="AP456" t="s">
        <v>82</v>
      </c>
      <c r="AQ456" t="s">
        <v>83</v>
      </c>
      <c r="AR456" s="3">
        <v>1.65</v>
      </c>
      <c r="AS456" s="4">
        <v>1619</v>
      </c>
      <c r="AT456" s="1">
        <v>983</v>
      </c>
      <c r="AU456" s="3">
        <v>1.52</v>
      </c>
      <c r="AV456" s="4">
        <v>1906</v>
      </c>
      <c r="AW456" s="1">
        <v>1255</v>
      </c>
      <c r="AX456" s="3">
        <v>657859.57999999996</v>
      </c>
      <c r="BB456" t="s">
        <v>84</v>
      </c>
      <c r="BD456" s="3">
        <v>1.85</v>
      </c>
      <c r="BE456" s="4">
        <v>1310</v>
      </c>
      <c r="BF456" s="1">
        <v>707</v>
      </c>
      <c r="BG456" s="1">
        <v>116</v>
      </c>
      <c r="BH456" s="1">
        <v>80</v>
      </c>
      <c r="BI456" s="1">
        <v>24</v>
      </c>
      <c r="BL456" t="s">
        <v>131</v>
      </c>
    </row>
    <row r="457" spans="1:64" x14ac:dyDescent="0.25">
      <c r="A457" t="s">
        <v>191</v>
      </c>
      <c r="B457" t="s">
        <v>192</v>
      </c>
      <c r="C457" s="4">
        <f>(AA457*(H457*0.9))*12</f>
        <v>1302577.2000000002</v>
      </c>
      <c r="D457" s="4">
        <f>IF(C457=0,"",(H457*150*12)+C457)</f>
        <v>1448377.2000000002</v>
      </c>
      <c r="E457" s="4">
        <f>IFERROR(D457*0.5,"")</f>
        <v>724188.60000000009</v>
      </c>
      <c r="F457" s="4">
        <f>IFERROR(E457/0.06,"")</f>
        <v>12069810.000000002</v>
      </c>
      <c r="G457" s="4">
        <f>IFERROR(F457/H457,"")</f>
        <v>149010.00000000003</v>
      </c>
      <c r="H457" s="1">
        <v>81</v>
      </c>
      <c r="I457" s="1">
        <v>1985</v>
      </c>
      <c r="J457" t="s">
        <v>64</v>
      </c>
      <c r="K457" t="s">
        <v>177</v>
      </c>
      <c r="L457" t="s">
        <v>193</v>
      </c>
      <c r="M457" t="s">
        <v>194</v>
      </c>
      <c r="N457" t="s">
        <v>195</v>
      </c>
      <c r="O457" t="s">
        <v>193</v>
      </c>
      <c r="P457" s="1">
        <v>3</v>
      </c>
      <c r="Q457" t="s">
        <v>91</v>
      </c>
      <c r="R457" t="s">
        <v>70</v>
      </c>
      <c r="S457" t="s">
        <v>71</v>
      </c>
      <c r="U457" t="s">
        <v>72</v>
      </c>
      <c r="V457" t="s">
        <v>172</v>
      </c>
      <c r="W457" t="s">
        <v>74</v>
      </c>
      <c r="X457" t="s">
        <v>196</v>
      </c>
      <c r="Y457" s="2">
        <v>849</v>
      </c>
      <c r="Z457" s="3">
        <v>1.75</v>
      </c>
      <c r="AA457" s="4">
        <v>1489</v>
      </c>
      <c r="AK457" s="5">
        <v>8.6419999999999995</v>
      </c>
      <c r="AN457" s="1">
        <v>2</v>
      </c>
      <c r="AO457" t="s">
        <v>81</v>
      </c>
      <c r="AP457" t="s">
        <v>82</v>
      </c>
      <c r="AQ457" t="s">
        <v>83</v>
      </c>
      <c r="AR457" s="3">
        <v>1.7</v>
      </c>
      <c r="AS457" s="4">
        <v>1646</v>
      </c>
      <c r="AT457" s="1">
        <v>969</v>
      </c>
      <c r="BB457" t="s">
        <v>84</v>
      </c>
      <c r="BD457" s="3">
        <v>1.83</v>
      </c>
      <c r="BE457" s="4">
        <v>1319</v>
      </c>
      <c r="BF457" s="1">
        <v>720</v>
      </c>
      <c r="BG457" s="1">
        <v>39</v>
      </c>
      <c r="BH457" s="1">
        <v>42</v>
      </c>
      <c r="BL457" t="s">
        <v>131</v>
      </c>
    </row>
    <row r="458" spans="1:64" x14ac:dyDescent="0.25">
      <c r="A458" t="s">
        <v>2851</v>
      </c>
      <c r="B458" t="s">
        <v>2852</v>
      </c>
      <c r="C458" s="4">
        <f>(AA458*(H458*0.9))*12</f>
        <v>7724160</v>
      </c>
      <c r="D458" s="4">
        <f>IF(C458=0,"",(H458*150*12)+C458)</f>
        <v>8588160</v>
      </c>
      <c r="E458" s="4">
        <f>IFERROR(D458*0.5,"")</f>
        <v>4294080</v>
      </c>
      <c r="F458" s="4">
        <f>IFERROR(E458/0.06,"")</f>
        <v>71568000</v>
      </c>
      <c r="G458" s="4">
        <f>IFERROR(F458/H458,"")</f>
        <v>149100</v>
      </c>
      <c r="H458" s="1">
        <v>480</v>
      </c>
      <c r="I458" s="1">
        <v>1995</v>
      </c>
      <c r="J458" t="s">
        <v>64</v>
      </c>
      <c r="K458" t="s">
        <v>338</v>
      </c>
      <c r="L458" t="s">
        <v>1532</v>
      </c>
      <c r="M458" t="s">
        <v>2853</v>
      </c>
      <c r="N458" t="s">
        <v>2854</v>
      </c>
      <c r="O458" t="s">
        <v>1532</v>
      </c>
      <c r="P458" s="1">
        <v>4</v>
      </c>
      <c r="Q458" t="s">
        <v>91</v>
      </c>
      <c r="R458" t="s">
        <v>70</v>
      </c>
      <c r="S458" t="s">
        <v>71</v>
      </c>
      <c r="U458" t="s">
        <v>72</v>
      </c>
      <c r="V458" t="s">
        <v>73</v>
      </c>
      <c r="W458" t="s">
        <v>74</v>
      </c>
      <c r="X458" t="s">
        <v>2855</v>
      </c>
      <c r="Y458" s="2">
        <v>860</v>
      </c>
      <c r="Z458" s="3">
        <v>1.73</v>
      </c>
      <c r="AA458" s="4">
        <v>1490</v>
      </c>
      <c r="AK458" s="5">
        <v>10.208299999999999</v>
      </c>
      <c r="AM458" s="1">
        <v>2016</v>
      </c>
      <c r="AN458" s="1">
        <v>3</v>
      </c>
      <c r="AO458" t="s">
        <v>81</v>
      </c>
      <c r="AP458" t="s">
        <v>82</v>
      </c>
      <c r="AQ458" t="s">
        <v>83</v>
      </c>
      <c r="AR458" s="3">
        <v>1.63</v>
      </c>
      <c r="AS458" s="4">
        <v>1659</v>
      </c>
      <c r="AT458" s="1">
        <v>1018</v>
      </c>
      <c r="AU458" s="3">
        <v>1.68</v>
      </c>
      <c r="AV458" s="4">
        <v>2390</v>
      </c>
      <c r="AW458" s="1">
        <v>1419</v>
      </c>
      <c r="AX458" s="3">
        <v>2108974.31</v>
      </c>
      <c r="AY458" s="3">
        <v>2.68</v>
      </c>
      <c r="AZ458" s="4">
        <v>1498</v>
      </c>
      <c r="BA458" s="6">
        <v>558</v>
      </c>
      <c r="BB458" t="s">
        <v>84</v>
      </c>
      <c r="BD458" s="3">
        <v>1.85</v>
      </c>
      <c r="BE458" s="4">
        <v>1283</v>
      </c>
      <c r="BF458" s="1">
        <v>694</v>
      </c>
      <c r="BG458" s="1">
        <v>253</v>
      </c>
      <c r="BH458" s="1">
        <v>207</v>
      </c>
      <c r="BI458" s="1">
        <v>18</v>
      </c>
      <c r="BK458" t="s">
        <v>2856</v>
      </c>
      <c r="BL458" t="s">
        <v>104</v>
      </c>
    </row>
    <row r="459" spans="1:64" x14ac:dyDescent="0.25">
      <c r="A459" t="s">
        <v>2362</v>
      </c>
      <c r="B459" t="s">
        <v>2363</v>
      </c>
      <c r="C459" s="4">
        <f>(AA459*(H459*0.9))*12</f>
        <v>5539363.2000000002</v>
      </c>
      <c r="D459" s="4">
        <f>IF(C459=0,"",(H459*150*12)+C459)</f>
        <v>6158563.2000000002</v>
      </c>
      <c r="E459" s="4">
        <f>IFERROR(D459*0.5,"")</f>
        <v>3079281.6</v>
      </c>
      <c r="F459" s="4">
        <f>IFERROR(E459/0.06,"")</f>
        <v>51321360</v>
      </c>
      <c r="G459" s="4">
        <f>IFERROR(F459/H459,"")</f>
        <v>149190</v>
      </c>
      <c r="H459" s="1">
        <v>344</v>
      </c>
      <c r="I459" s="1">
        <v>1998</v>
      </c>
      <c r="J459" t="s">
        <v>64</v>
      </c>
      <c r="K459" t="s">
        <v>259</v>
      </c>
      <c r="L459" t="s">
        <v>2364</v>
      </c>
      <c r="M459" t="s">
        <v>2365</v>
      </c>
      <c r="N459" t="s">
        <v>2366</v>
      </c>
      <c r="O459" t="s">
        <v>2364</v>
      </c>
      <c r="P459" s="1">
        <v>4</v>
      </c>
      <c r="Q459" t="s">
        <v>91</v>
      </c>
      <c r="R459" t="s">
        <v>70</v>
      </c>
      <c r="S459" t="s">
        <v>71</v>
      </c>
      <c r="U459" t="s">
        <v>72</v>
      </c>
      <c r="V459" t="s">
        <v>152</v>
      </c>
      <c r="W459" t="s">
        <v>74</v>
      </c>
      <c r="X459" t="s">
        <v>2367</v>
      </c>
      <c r="Y459" s="2">
        <v>984</v>
      </c>
      <c r="Z459" s="3">
        <v>1.51</v>
      </c>
      <c r="AA459" s="4">
        <v>1491</v>
      </c>
      <c r="AK459" s="5">
        <v>12.209300000000001</v>
      </c>
      <c r="AM459" s="1">
        <v>2017</v>
      </c>
      <c r="AN459" s="1">
        <v>3</v>
      </c>
      <c r="AO459" t="s">
        <v>81</v>
      </c>
      <c r="AP459" t="s">
        <v>82</v>
      </c>
      <c r="AQ459" t="s">
        <v>83</v>
      </c>
      <c r="AR459" s="3">
        <v>1.45</v>
      </c>
      <c r="AS459" s="4">
        <v>1653</v>
      </c>
      <c r="AT459" s="1">
        <v>1143</v>
      </c>
      <c r="AU459" s="3">
        <v>1.45</v>
      </c>
      <c r="AV459" s="4">
        <v>2019</v>
      </c>
      <c r="AW459" s="1">
        <v>1392</v>
      </c>
      <c r="AX459" s="3">
        <v>1464112.66</v>
      </c>
      <c r="BB459" t="s">
        <v>84</v>
      </c>
      <c r="BD459" s="3">
        <v>1.6</v>
      </c>
      <c r="BE459" s="4">
        <v>1227</v>
      </c>
      <c r="BF459" s="1">
        <v>766</v>
      </c>
      <c r="BG459" s="1">
        <v>166</v>
      </c>
      <c r="BH459" s="1">
        <v>146</v>
      </c>
      <c r="BI459" s="1">
        <v>32</v>
      </c>
      <c r="BK459" t="s">
        <v>2368</v>
      </c>
      <c r="BL459" t="s">
        <v>104</v>
      </c>
    </row>
    <row r="460" spans="1:64" x14ac:dyDescent="0.25">
      <c r="A460" t="s">
        <v>4145</v>
      </c>
      <c r="B460" t="s">
        <v>4146</v>
      </c>
      <c r="C460" s="4">
        <f>(AA460*(H460*0.9))*12</f>
        <v>4025700</v>
      </c>
      <c r="D460" s="4">
        <f>IF(C460=0,"",(H460*150*12)+C460)</f>
        <v>4475700</v>
      </c>
      <c r="E460" s="4">
        <f>IFERROR(D460*0.5,"")</f>
        <v>2237850</v>
      </c>
      <c r="F460" s="4">
        <f>IFERROR(E460/0.06,"")</f>
        <v>37297500</v>
      </c>
      <c r="G460" s="4">
        <f>IFERROR(F460/H460,"")</f>
        <v>149190</v>
      </c>
      <c r="H460" s="1">
        <v>250</v>
      </c>
      <c r="I460" s="1">
        <v>2000</v>
      </c>
      <c r="J460" t="s">
        <v>64</v>
      </c>
      <c r="K460" t="s">
        <v>660</v>
      </c>
      <c r="L460" t="s">
        <v>801</v>
      </c>
      <c r="M460" t="s">
        <v>4147</v>
      </c>
      <c r="N460" t="s">
        <v>4148</v>
      </c>
      <c r="O460" t="s">
        <v>801</v>
      </c>
      <c r="P460" s="1">
        <v>3</v>
      </c>
      <c r="Q460" t="s">
        <v>91</v>
      </c>
      <c r="R460" t="s">
        <v>70</v>
      </c>
      <c r="S460" t="s">
        <v>71</v>
      </c>
      <c r="U460" t="s">
        <v>72</v>
      </c>
      <c r="V460" t="s">
        <v>664</v>
      </c>
      <c r="W460" t="s">
        <v>74</v>
      </c>
      <c r="X460" t="s">
        <v>4149</v>
      </c>
      <c r="Y460" s="2">
        <v>852</v>
      </c>
      <c r="Z460" s="3">
        <v>1.75</v>
      </c>
      <c r="AA460" s="4">
        <v>1491</v>
      </c>
      <c r="AK460" s="5">
        <v>2.4</v>
      </c>
      <c r="AN460" s="1">
        <v>3</v>
      </c>
      <c r="AO460" t="s">
        <v>81</v>
      </c>
      <c r="AP460" t="s">
        <v>82</v>
      </c>
      <c r="AQ460" t="s">
        <v>83</v>
      </c>
      <c r="AR460" s="3">
        <v>1.64</v>
      </c>
      <c r="AS460" s="4">
        <v>1681</v>
      </c>
      <c r="AT460" s="1">
        <v>1028</v>
      </c>
      <c r="AU460" s="3">
        <v>1.63</v>
      </c>
      <c r="AV460" s="4">
        <v>2160</v>
      </c>
      <c r="AW460" s="1">
        <v>1325</v>
      </c>
      <c r="AX460" s="3">
        <v>688826.53</v>
      </c>
      <c r="BB460" t="s">
        <v>84</v>
      </c>
      <c r="BD460" s="3">
        <v>1.88</v>
      </c>
      <c r="BE460" s="4">
        <v>1306</v>
      </c>
      <c r="BF460" s="1">
        <v>694</v>
      </c>
      <c r="BG460" s="1">
        <v>140</v>
      </c>
      <c r="BH460" s="1">
        <v>100</v>
      </c>
      <c r="BI460" s="1">
        <v>10</v>
      </c>
    </row>
    <row r="461" spans="1:64" x14ac:dyDescent="0.25">
      <c r="A461" t="s">
        <v>3750</v>
      </c>
      <c r="B461" t="s">
        <v>3751</v>
      </c>
      <c r="C461" s="4">
        <f>(AA461*(H461*0.9))*12</f>
        <v>4640716.7999999998</v>
      </c>
      <c r="D461" s="4">
        <f>IF(C461=0,"",(H461*150*12)+C461)</f>
        <v>5159116.7999999998</v>
      </c>
      <c r="E461" s="4">
        <f>IFERROR(D461*0.5,"")</f>
        <v>2579558.3999999999</v>
      </c>
      <c r="F461" s="4">
        <f>IFERROR(E461/0.06,"")</f>
        <v>42992640</v>
      </c>
      <c r="G461" s="4">
        <f>IFERROR(F461/H461,"")</f>
        <v>149280</v>
      </c>
      <c r="H461" s="1">
        <v>288</v>
      </c>
      <c r="I461" s="1">
        <v>1998</v>
      </c>
      <c r="J461" t="s">
        <v>64</v>
      </c>
      <c r="K461" t="s">
        <v>140</v>
      </c>
      <c r="L461" t="s">
        <v>2165</v>
      </c>
      <c r="M461" t="s">
        <v>3752</v>
      </c>
      <c r="N461" t="s">
        <v>3753</v>
      </c>
      <c r="O461" t="s">
        <v>2165</v>
      </c>
      <c r="P461" s="1">
        <v>4</v>
      </c>
      <c r="Q461" t="s">
        <v>91</v>
      </c>
      <c r="R461" t="s">
        <v>70</v>
      </c>
      <c r="S461" t="s">
        <v>71</v>
      </c>
      <c r="U461" t="s">
        <v>72</v>
      </c>
      <c r="V461" t="s">
        <v>140</v>
      </c>
      <c r="W461" t="s">
        <v>74</v>
      </c>
      <c r="X461" t="s">
        <v>3754</v>
      </c>
      <c r="Y461" s="2">
        <v>918</v>
      </c>
      <c r="Z461" s="3">
        <v>1.62</v>
      </c>
      <c r="AA461" s="4">
        <v>1492</v>
      </c>
      <c r="AK461" s="5">
        <v>5.2083000000000004</v>
      </c>
      <c r="AM461" s="1">
        <v>2012</v>
      </c>
      <c r="AN461" s="1">
        <v>3</v>
      </c>
      <c r="AO461" t="s">
        <v>81</v>
      </c>
      <c r="AP461" t="s">
        <v>82</v>
      </c>
      <c r="AQ461" t="s">
        <v>83</v>
      </c>
      <c r="AR461" s="3">
        <v>1.48</v>
      </c>
      <c r="AS461" s="4">
        <v>1502</v>
      </c>
      <c r="AT461" s="1">
        <v>1012</v>
      </c>
      <c r="AU461" s="3">
        <v>1.88</v>
      </c>
      <c r="AV461" s="4">
        <v>2528</v>
      </c>
      <c r="AW461" s="1">
        <v>1348</v>
      </c>
      <c r="AX461" s="3">
        <v>737037.42</v>
      </c>
      <c r="BB461" t="s">
        <v>84</v>
      </c>
      <c r="BD461" s="3">
        <v>1.64</v>
      </c>
      <c r="BE461" s="4">
        <v>1188</v>
      </c>
      <c r="BF461" s="1">
        <v>725</v>
      </c>
      <c r="BG461" s="1">
        <v>140</v>
      </c>
      <c r="BH461" s="1">
        <v>108</v>
      </c>
      <c r="BI461" s="1">
        <v>40</v>
      </c>
      <c r="BK461" t="s">
        <v>3755</v>
      </c>
      <c r="BL461" t="s">
        <v>365</v>
      </c>
    </row>
    <row r="462" spans="1:64" x14ac:dyDescent="0.25">
      <c r="A462" t="s">
        <v>3417</v>
      </c>
      <c r="B462" t="s">
        <v>3418</v>
      </c>
      <c r="C462" s="4">
        <f>(AA462*(H462*0.9))*12</f>
        <v>5450047.1999999993</v>
      </c>
      <c r="D462" s="4">
        <f>IF(C462=0,"",(H462*150*12)+C462)</f>
        <v>6058447.1999999993</v>
      </c>
      <c r="E462" s="4">
        <f>IFERROR(D462*0.5,"")</f>
        <v>3029223.5999999996</v>
      </c>
      <c r="F462" s="4">
        <f>IFERROR(E462/0.06,"")</f>
        <v>50487059.999999993</v>
      </c>
      <c r="G462" s="4">
        <f>IFERROR(F462/H462,"")</f>
        <v>149369.99999999997</v>
      </c>
      <c r="H462" s="1">
        <v>338</v>
      </c>
      <c r="I462" s="1">
        <v>1993</v>
      </c>
      <c r="J462" t="s">
        <v>64</v>
      </c>
      <c r="K462" t="s">
        <v>140</v>
      </c>
      <c r="L462" t="s">
        <v>3419</v>
      </c>
      <c r="M462" t="s">
        <v>3420</v>
      </c>
      <c r="N462" t="s">
        <v>3421</v>
      </c>
      <c r="O462" t="s">
        <v>3419</v>
      </c>
      <c r="P462" s="1">
        <v>4</v>
      </c>
      <c r="Q462" t="s">
        <v>91</v>
      </c>
      <c r="R462" t="s">
        <v>70</v>
      </c>
      <c r="S462" t="s">
        <v>71</v>
      </c>
      <c r="U462" t="s">
        <v>72</v>
      </c>
      <c r="V462" t="s">
        <v>140</v>
      </c>
      <c r="W462" t="s">
        <v>74</v>
      </c>
      <c r="X462" t="s">
        <v>1351</v>
      </c>
      <c r="Y462" s="2">
        <v>912</v>
      </c>
      <c r="Z462" s="3">
        <v>1.64</v>
      </c>
      <c r="AA462" s="4">
        <v>1493</v>
      </c>
      <c r="AK462" s="5">
        <v>7.9882</v>
      </c>
      <c r="AN462" s="1">
        <v>3</v>
      </c>
      <c r="AO462" t="s">
        <v>81</v>
      </c>
      <c r="AP462" t="s">
        <v>82</v>
      </c>
      <c r="AQ462" t="s">
        <v>83</v>
      </c>
      <c r="AR462" s="3">
        <v>1.48</v>
      </c>
      <c r="AS462" s="4">
        <v>1646</v>
      </c>
      <c r="AT462" s="1">
        <v>1110</v>
      </c>
      <c r="AU462" s="3">
        <v>2.08</v>
      </c>
      <c r="AV462" s="4">
        <v>2743</v>
      </c>
      <c r="AW462" s="1">
        <v>1318</v>
      </c>
      <c r="AX462" s="3">
        <v>725210.36</v>
      </c>
      <c r="BB462" t="s">
        <v>84</v>
      </c>
      <c r="BD462" s="3">
        <v>1.96</v>
      </c>
      <c r="BE462" s="4">
        <v>1479</v>
      </c>
      <c r="BF462" s="1">
        <v>753</v>
      </c>
      <c r="BG462" s="1">
        <v>194</v>
      </c>
      <c r="BH462" s="1">
        <v>132</v>
      </c>
      <c r="BI462" s="1">
        <v>12</v>
      </c>
    </row>
    <row r="463" spans="1:64" x14ac:dyDescent="0.25">
      <c r="A463" t="s">
        <v>1418</v>
      </c>
      <c r="B463" t="s">
        <v>1419</v>
      </c>
      <c r="C463" s="4">
        <f>(AA463*(H463*0.9))*12</f>
        <v>3097958.4000000004</v>
      </c>
      <c r="D463" s="4">
        <f>IF(C463=0,"",(H463*150*12)+C463)</f>
        <v>3443558.4000000004</v>
      </c>
      <c r="E463" s="4">
        <f>IFERROR(D463*0.5,"")</f>
        <v>1721779.2000000002</v>
      </c>
      <c r="F463" s="4">
        <f>IFERROR(E463/0.06,"")</f>
        <v>28696320.000000004</v>
      </c>
      <c r="G463" s="4">
        <f>IFERROR(F463/H463,"")</f>
        <v>149460.00000000003</v>
      </c>
      <c r="H463" s="1">
        <v>192</v>
      </c>
      <c r="I463" s="1">
        <v>1985</v>
      </c>
      <c r="J463" t="s">
        <v>64</v>
      </c>
      <c r="K463" t="s">
        <v>800</v>
      </c>
      <c r="L463" t="s">
        <v>1420</v>
      </c>
      <c r="M463" t="s">
        <v>1421</v>
      </c>
      <c r="N463" t="s">
        <v>1422</v>
      </c>
      <c r="O463" t="s">
        <v>1420</v>
      </c>
      <c r="P463" s="1">
        <v>3</v>
      </c>
      <c r="Q463" t="s">
        <v>91</v>
      </c>
      <c r="R463" t="s">
        <v>70</v>
      </c>
      <c r="S463" t="s">
        <v>71</v>
      </c>
      <c r="U463" t="s">
        <v>72</v>
      </c>
      <c r="V463" t="s">
        <v>800</v>
      </c>
      <c r="W463" t="s">
        <v>74</v>
      </c>
      <c r="X463" t="s">
        <v>1423</v>
      </c>
      <c r="Y463" s="2">
        <v>935</v>
      </c>
      <c r="Z463" s="3">
        <v>1.6</v>
      </c>
      <c r="AA463" s="4">
        <v>1494</v>
      </c>
      <c r="AK463" s="5">
        <v>7.2916999999999996</v>
      </c>
      <c r="AN463" s="1">
        <v>2</v>
      </c>
      <c r="AO463" t="s">
        <v>81</v>
      </c>
      <c r="AP463" t="s">
        <v>82</v>
      </c>
      <c r="AQ463" t="s">
        <v>83</v>
      </c>
      <c r="AR463" s="3">
        <v>1.36</v>
      </c>
      <c r="AS463" s="4">
        <v>1593</v>
      </c>
      <c r="AT463" s="1">
        <v>1168</v>
      </c>
      <c r="AX463" s="3">
        <v>132144.72</v>
      </c>
      <c r="BB463" t="s">
        <v>84</v>
      </c>
      <c r="BD463" s="3">
        <v>1.82</v>
      </c>
      <c r="BE463" s="4">
        <v>1429</v>
      </c>
      <c r="BF463" s="1">
        <v>783</v>
      </c>
      <c r="BG463" s="1">
        <v>116</v>
      </c>
      <c r="BH463" s="1">
        <v>76</v>
      </c>
      <c r="BK463" t="s">
        <v>285</v>
      </c>
      <c r="BL463" t="s">
        <v>104</v>
      </c>
    </row>
    <row r="464" spans="1:64" x14ac:dyDescent="0.25">
      <c r="A464" t="s">
        <v>2387</v>
      </c>
      <c r="B464" t="s">
        <v>2388</v>
      </c>
      <c r="C464" s="4">
        <f>(AA464*(H464*0.9))*12</f>
        <v>5037552</v>
      </c>
      <c r="D464" s="4">
        <f>IF(C464=0,"",(H464*150*12)+C464)</f>
        <v>5599152</v>
      </c>
      <c r="E464" s="4">
        <f>IFERROR(D464*0.5,"")</f>
        <v>2799576</v>
      </c>
      <c r="F464" s="4">
        <f>IFERROR(E464/0.06,"")</f>
        <v>46659600</v>
      </c>
      <c r="G464" s="4">
        <f>IFERROR(F464/H464,"")</f>
        <v>149550</v>
      </c>
      <c r="H464" s="1">
        <v>312</v>
      </c>
      <c r="I464" s="1">
        <v>1994</v>
      </c>
      <c r="J464" t="s">
        <v>64</v>
      </c>
      <c r="K464" t="s">
        <v>2376</v>
      </c>
      <c r="L464" t="s">
        <v>2389</v>
      </c>
      <c r="M464" t="s">
        <v>2390</v>
      </c>
      <c r="N464" t="s">
        <v>2391</v>
      </c>
      <c r="O464" t="s">
        <v>2389</v>
      </c>
      <c r="P464" s="1">
        <v>3</v>
      </c>
      <c r="Q464" t="s">
        <v>91</v>
      </c>
      <c r="R464" t="s">
        <v>70</v>
      </c>
      <c r="S464" t="s">
        <v>71</v>
      </c>
      <c r="U464" t="s">
        <v>72</v>
      </c>
      <c r="V464" t="s">
        <v>134</v>
      </c>
      <c r="W464" t="s">
        <v>74</v>
      </c>
      <c r="X464" t="s">
        <v>2392</v>
      </c>
      <c r="Y464" s="2">
        <v>888</v>
      </c>
      <c r="Z464" s="3">
        <v>1.68</v>
      </c>
      <c r="AA464" s="4">
        <v>1495</v>
      </c>
      <c r="AK464" s="5">
        <v>13.461499999999999</v>
      </c>
      <c r="AN464" s="1">
        <v>3</v>
      </c>
      <c r="AO464" t="s">
        <v>81</v>
      </c>
      <c r="AP464" t="s">
        <v>82</v>
      </c>
      <c r="AQ464" t="s">
        <v>83</v>
      </c>
      <c r="AR464" s="3">
        <v>1.61</v>
      </c>
      <c r="AS464" s="4">
        <v>1611</v>
      </c>
      <c r="AT464" s="1">
        <v>1001</v>
      </c>
      <c r="AU464" s="3">
        <v>1.64</v>
      </c>
      <c r="AV464" s="4">
        <v>2082</v>
      </c>
      <c r="AW464" s="1">
        <v>1273</v>
      </c>
      <c r="AX464" s="3">
        <v>1112042.25</v>
      </c>
      <c r="BB464" t="s">
        <v>84</v>
      </c>
      <c r="BD464" s="3">
        <v>1.8</v>
      </c>
      <c r="BE464" s="4">
        <v>1281</v>
      </c>
      <c r="BF464" s="1">
        <v>713</v>
      </c>
      <c r="BG464" s="1">
        <v>144</v>
      </c>
      <c r="BH464" s="1">
        <v>144</v>
      </c>
      <c r="BI464" s="1">
        <v>24</v>
      </c>
      <c r="BL464" t="s">
        <v>131</v>
      </c>
    </row>
    <row r="465" spans="1:67" x14ac:dyDescent="0.25">
      <c r="A465" t="s">
        <v>2471</v>
      </c>
      <c r="B465" t="s">
        <v>2472</v>
      </c>
      <c r="C465" s="4">
        <f>(AA465*(H465*0.9))*12</f>
        <v>7267276.8000000007</v>
      </c>
      <c r="D465" s="4">
        <f>IF(C465=0,"",(H465*150*12)+C465)</f>
        <v>8073676.8000000007</v>
      </c>
      <c r="E465" s="4">
        <f>IFERROR(D465*0.5,"")</f>
        <v>4036838.4000000004</v>
      </c>
      <c r="F465" s="4">
        <f>IFERROR(E465/0.06,"")</f>
        <v>67280640.000000015</v>
      </c>
      <c r="G465" s="4">
        <f>IFERROR(F465/H465,"")</f>
        <v>150180.00000000003</v>
      </c>
      <c r="H465" s="1">
        <v>448</v>
      </c>
      <c r="I465" s="1">
        <v>1998</v>
      </c>
      <c r="J465" t="s">
        <v>64</v>
      </c>
      <c r="K465" t="s">
        <v>756</v>
      </c>
      <c r="L465" t="s">
        <v>2473</v>
      </c>
      <c r="M465" t="s">
        <v>2474</v>
      </c>
      <c r="O465" t="s">
        <v>2473</v>
      </c>
      <c r="P465" s="1">
        <v>4</v>
      </c>
      <c r="Q465" t="s">
        <v>91</v>
      </c>
      <c r="R465" t="s">
        <v>70</v>
      </c>
      <c r="S465" t="s">
        <v>71</v>
      </c>
      <c r="U465" t="s">
        <v>72</v>
      </c>
      <c r="V465" t="s">
        <v>73</v>
      </c>
      <c r="W465" t="s">
        <v>74</v>
      </c>
      <c r="X465" t="s">
        <v>2475</v>
      </c>
      <c r="Y465" s="2">
        <v>864</v>
      </c>
      <c r="Z465" s="3">
        <v>1.74</v>
      </c>
      <c r="AA465" s="4">
        <v>1502</v>
      </c>
      <c r="AK465" s="5">
        <v>6.4732000000000003</v>
      </c>
      <c r="AN465" s="1">
        <v>3</v>
      </c>
      <c r="AO465" t="s">
        <v>81</v>
      </c>
      <c r="AP465" t="s">
        <v>82</v>
      </c>
      <c r="AQ465" t="s">
        <v>83</v>
      </c>
      <c r="AR465" s="3">
        <v>1.55</v>
      </c>
      <c r="AS465" s="4">
        <v>1750</v>
      </c>
      <c r="AT465" s="1">
        <v>1128</v>
      </c>
      <c r="AX465" s="3">
        <v>1921255.9</v>
      </c>
      <c r="BB465" t="s">
        <v>84</v>
      </c>
      <c r="BD465" s="3">
        <v>1.93</v>
      </c>
      <c r="BE465" s="4">
        <v>1384</v>
      </c>
      <c r="BF465" s="1">
        <v>719</v>
      </c>
      <c r="BG465" s="1">
        <v>288</v>
      </c>
      <c r="BH465" s="1">
        <v>160</v>
      </c>
      <c r="BL465" t="s">
        <v>131</v>
      </c>
    </row>
    <row r="466" spans="1:67" x14ac:dyDescent="0.25">
      <c r="A466" t="s">
        <v>2439</v>
      </c>
      <c r="B466" t="s">
        <v>2440</v>
      </c>
      <c r="C466" s="4">
        <f>(AA466*(H466*0.9))*12</f>
        <v>6168312</v>
      </c>
      <c r="D466" s="4">
        <f>IF(C466=0,"",(H466*150*12)+C466)</f>
        <v>6852312</v>
      </c>
      <c r="E466" s="4">
        <f>IFERROR(D466*0.5,"")</f>
        <v>3426156</v>
      </c>
      <c r="F466" s="4">
        <f>IFERROR(E466/0.06,"")</f>
        <v>57102600</v>
      </c>
      <c r="G466" s="4">
        <f>IFERROR(F466/H466,"")</f>
        <v>150270</v>
      </c>
      <c r="H466" s="1">
        <v>380</v>
      </c>
      <c r="I466" s="1">
        <v>1995</v>
      </c>
      <c r="J466" t="s">
        <v>64</v>
      </c>
      <c r="K466" t="s">
        <v>1147</v>
      </c>
      <c r="L466" t="s">
        <v>720</v>
      </c>
      <c r="M466" t="s">
        <v>2441</v>
      </c>
      <c r="N466" t="s">
        <v>2442</v>
      </c>
      <c r="O466" t="s">
        <v>720</v>
      </c>
      <c r="P466" s="1">
        <v>3</v>
      </c>
      <c r="Q466" t="s">
        <v>91</v>
      </c>
      <c r="R466" t="s">
        <v>70</v>
      </c>
      <c r="S466" t="s">
        <v>71</v>
      </c>
      <c r="U466" t="s">
        <v>72</v>
      </c>
      <c r="V466" t="s">
        <v>73</v>
      </c>
      <c r="W466" t="s">
        <v>74</v>
      </c>
      <c r="X466" t="s">
        <v>1568</v>
      </c>
      <c r="Y466" s="2">
        <v>886</v>
      </c>
      <c r="Z466" s="3">
        <v>1.69</v>
      </c>
      <c r="AA466" s="4">
        <v>1503</v>
      </c>
      <c r="AK466" s="5">
        <v>8.1578999999999997</v>
      </c>
      <c r="AM466" s="1">
        <v>2012</v>
      </c>
      <c r="AN466" s="1">
        <v>3</v>
      </c>
      <c r="AO466" t="s">
        <v>81</v>
      </c>
      <c r="AP466" t="s">
        <v>82</v>
      </c>
      <c r="AQ466" t="s">
        <v>83</v>
      </c>
      <c r="AR466" s="3">
        <v>1.6</v>
      </c>
      <c r="AS466" s="4">
        <v>1670</v>
      </c>
      <c r="AT466" s="1">
        <v>1044</v>
      </c>
      <c r="AU466" s="3">
        <v>1.56</v>
      </c>
      <c r="AV466" s="4">
        <v>2113</v>
      </c>
      <c r="AW466" s="1">
        <v>1352</v>
      </c>
      <c r="AX466" s="3">
        <v>1855074.9</v>
      </c>
      <c r="BB466" t="s">
        <v>84</v>
      </c>
      <c r="BD466" s="3">
        <v>1.83</v>
      </c>
      <c r="BE466" s="4">
        <v>1312</v>
      </c>
      <c r="BF466" s="1">
        <v>718</v>
      </c>
      <c r="BG466" s="1">
        <v>202</v>
      </c>
      <c r="BH466" s="1">
        <v>158</v>
      </c>
      <c r="BI466" s="1">
        <v>20</v>
      </c>
      <c r="BK466" t="s">
        <v>462</v>
      </c>
      <c r="BL466" t="s">
        <v>131</v>
      </c>
    </row>
    <row r="467" spans="1:67" x14ac:dyDescent="0.25">
      <c r="A467" t="s">
        <v>2419</v>
      </c>
      <c r="B467" t="s">
        <v>2420</v>
      </c>
      <c r="C467" s="4">
        <f>(AA467*(H467*0.9))*12</f>
        <v>14674089.600000001</v>
      </c>
      <c r="D467" s="4">
        <f>IF(C467=0,"",(H467*150*12)+C467)</f>
        <v>16301289.600000001</v>
      </c>
      <c r="E467" s="4">
        <f>IFERROR(D467*0.5,"")</f>
        <v>8150644.8000000007</v>
      </c>
      <c r="F467" s="4">
        <f>IFERROR(E467/0.06,"")</f>
        <v>135844080.00000003</v>
      </c>
      <c r="G467" s="4">
        <f>IFERROR(F467/H467,"")</f>
        <v>150270.00000000003</v>
      </c>
      <c r="H467" s="1">
        <v>904</v>
      </c>
      <c r="I467" s="1">
        <v>1999</v>
      </c>
      <c r="J467" t="s">
        <v>64</v>
      </c>
      <c r="K467" t="s">
        <v>2421</v>
      </c>
      <c r="L467" t="s">
        <v>2395</v>
      </c>
      <c r="M467" t="s">
        <v>2422</v>
      </c>
      <c r="N467" t="s">
        <v>2423</v>
      </c>
      <c r="O467" t="s">
        <v>2395</v>
      </c>
      <c r="P467" s="1">
        <v>4</v>
      </c>
      <c r="Q467" t="s">
        <v>91</v>
      </c>
      <c r="R467" t="s">
        <v>70</v>
      </c>
      <c r="S467" t="s">
        <v>71</v>
      </c>
      <c r="U467" t="s">
        <v>72</v>
      </c>
      <c r="V467" t="s">
        <v>73</v>
      </c>
      <c r="W467" t="s">
        <v>74</v>
      </c>
      <c r="X467" t="s">
        <v>2424</v>
      </c>
      <c r="Y467" s="2">
        <v>926</v>
      </c>
      <c r="Z467" s="3">
        <v>1.62</v>
      </c>
      <c r="AA467" s="4">
        <v>1503</v>
      </c>
      <c r="AK467" s="5">
        <v>8.1858000000000004</v>
      </c>
      <c r="AN467" s="1">
        <v>3</v>
      </c>
      <c r="AO467" t="s">
        <v>81</v>
      </c>
      <c r="AP467" t="s">
        <v>82</v>
      </c>
      <c r="AQ467" t="s">
        <v>83</v>
      </c>
      <c r="AR467" s="3">
        <v>1.47</v>
      </c>
      <c r="AS467" s="4">
        <v>1811</v>
      </c>
      <c r="AT467" s="1">
        <v>1228</v>
      </c>
      <c r="AU467" s="3">
        <v>1.51</v>
      </c>
      <c r="AV467" s="4">
        <v>2712</v>
      </c>
      <c r="AW467" s="1">
        <v>1797</v>
      </c>
      <c r="AX467" s="3">
        <v>4344474.9000000004</v>
      </c>
      <c r="BB467" t="s">
        <v>84</v>
      </c>
      <c r="BD467" s="3">
        <v>1.73</v>
      </c>
      <c r="BE467" s="4">
        <v>1346</v>
      </c>
      <c r="BF467" s="1">
        <v>776</v>
      </c>
      <c r="BG467" s="1">
        <v>614</v>
      </c>
      <c r="BH467" s="1">
        <v>282</v>
      </c>
      <c r="BI467" s="1">
        <v>8</v>
      </c>
    </row>
    <row r="468" spans="1:67" x14ac:dyDescent="0.25">
      <c r="A468" t="s">
        <v>3824</v>
      </c>
      <c r="B468" t="s">
        <v>3825</v>
      </c>
      <c r="C468" s="4">
        <f>(AA468*(H468*0.9))*12</f>
        <v>19228482</v>
      </c>
      <c r="D468" s="4">
        <f>IF(C468=0,"",(H468*150*12)+C468)</f>
        <v>21357882</v>
      </c>
      <c r="E468" s="4">
        <f>IFERROR(D468*0.5,"")</f>
        <v>10678941</v>
      </c>
      <c r="F468" s="4">
        <f>IFERROR(E468/0.06,"")</f>
        <v>177982350</v>
      </c>
      <c r="G468" s="4">
        <f>IFERROR(F468/H468,"")</f>
        <v>150450</v>
      </c>
      <c r="H468" s="1">
        <v>1183</v>
      </c>
      <c r="I468" s="1">
        <v>1996</v>
      </c>
      <c r="J468" t="s">
        <v>64</v>
      </c>
      <c r="K468" t="s">
        <v>123</v>
      </c>
      <c r="L468" t="s">
        <v>199</v>
      </c>
      <c r="M468" t="s">
        <v>3826</v>
      </c>
      <c r="N468" t="s">
        <v>3827</v>
      </c>
      <c r="O468" t="s">
        <v>199</v>
      </c>
      <c r="P468" s="1">
        <v>3</v>
      </c>
      <c r="Q468" t="s">
        <v>91</v>
      </c>
      <c r="R468" t="s">
        <v>70</v>
      </c>
      <c r="S468" t="s">
        <v>71</v>
      </c>
      <c r="U468" t="s">
        <v>72</v>
      </c>
      <c r="V468" t="s">
        <v>129</v>
      </c>
      <c r="W468" t="s">
        <v>74</v>
      </c>
      <c r="X468" t="s">
        <v>130</v>
      </c>
      <c r="Y468" s="2">
        <v>921</v>
      </c>
      <c r="Z468" s="3">
        <v>1.63</v>
      </c>
      <c r="AA468" s="4">
        <v>1505</v>
      </c>
      <c r="AK468" s="5">
        <v>7.9459</v>
      </c>
      <c r="AN468" s="1">
        <v>3</v>
      </c>
      <c r="AO468" t="s">
        <v>81</v>
      </c>
      <c r="AP468" t="s">
        <v>82</v>
      </c>
      <c r="AQ468" t="s">
        <v>83</v>
      </c>
      <c r="AR468" s="3">
        <v>1.57</v>
      </c>
      <c r="AS468" s="4">
        <v>1685</v>
      </c>
      <c r="AT468" s="1">
        <v>1071</v>
      </c>
      <c r="AU468" s="3">
        <v>1.73</v>
      </c>
      <c r="AV468" s="4">
        <v>2310</v>
      </c>
      <c r="AW468" s="1">
        <v>1333</v>
      </c>
      <c r="AX468" s="3">
        <v>3222913.96</v>
      </c>
      <c r="BB468" t="s">
        <v>84</v>
      </c>
      <c r="BD468" s="3">
        <v>1.68</v>
      </c>
      <c r="BE468" s="4">
        <v>1271</v>
      </c>
      <c r="BF468" s="1">
        <v>757</v>
      </c>
      <c r="BG468" s="1">
        <v>627</v>
      </c>
      <c r="BH468" s="1">
        <v>480</v>
      </c>
      <c r="BI468" s="1">
        <v>76</v>
      </c>
      <c r="BL468" t="s">
        <v>94</v>
      </c>
    </row>
    <row r="469" spans="1:67" x14ac:dyDescent="0.25">
      <c r="A469" t="s">
        <v>2393</v>
      </c>
      <c r="B469" t="s">
        <v>2394</v>
      </c>
      <c r="C469" s="4">
        <f>(AA469*(H469*0.9))*12</f>
        <v>7546867.1999999993</v>
      </c>
      <c r="D469" s="4">
        <f>IF(C469=0,"",(H469*150*12)+C469)</f>
        <v>8382067.1999999993</v>
      </c>
      <c r="E469" s="4">
        <f>IFERROR(D469*0.5,"")</f>
        <v>4191033.5999999996</v>
      </c>
      <c r="F469" s="4">
        <f>IFERROR(E469/0.06,"")</f>
        <v>69850560</v>
      </c>
      <c r="G469" s="4">
        <f>IFERROR(F469/H469,"")</f>
        <v>150540</v>
      </c>
      <c r="H469" s="1">
        <v>464</v>
      </c>
      <c r="I469" s="1">
        <v>1996</v>
      </c>
      <c r="J469" t="s">
        <v>64</v>
      </c>
      <c r="K469" t="s">
        <v>2376</v>
      </c>
      <c r="L469" t="s">
        <v>2395</v>
      </c>
      <c r="M469" t="s">
        <v>2396</v>
      </c>
      <c r="N469" t="s">
        <v>2397</v>
      </c>
      <c r="O469" t="s">
        <v>2395</v>
      </c>
      <c r="P469" s="1">
        <v>3</v>
      </c>
      <c r="Q469" t="s">
        <v>91</v>
      </c>
      <c r="R469" t="s">
        <v>70</v>
      </c>
      <c r="S469" t="s">
        <v>71</v>
      </c>
      <c r="U469" t="s">
        <v>72</v>
      </c>
      <c r="V469" t="s">
        <v>134</v>
      </c>
      <c r="W469" t="s">
        <v>74</v>
      </c>
      <c r="X469" t="s">
        <v>2380</v>
      </c>
      <c r="Y469" s="2">
        <v>919</v>
      </c>
      <c r="Z469" s="3">
        <v>1.64</v>
      </c>
      <c r="AA469" s="4">
        <v>1506</v>
      </c>
      <c r="AK469" s="5">
        <v>3.4483000000000001</v>
      </c>
      <c r="AN469" s="1">
        <v>3</v>
      </c>
      <c r="AO469" t="s">
        <v>81</v>
      </c>
      <c r="AP469" t="s">
        <v>82</v>
      </c>
      <c r="AQ469" t="s">
        <v>83</v>
      </c>
      <c r="AR469" s="3">
        <v>1.54</v>
      </c>
      <c r="AS469" s="4">
        <v>1695</v>
      </c>
      <c r="AT469" s="1">
        <v>1104</v>
      </c>
      <c r="AX469" s="3">
        <v>1961882.39</v>
      </c>
      <c r="BB469" t="s">
        <v>84</v>
      </c>
      <c r="BD469" s="3">
        <v>1.78</v>
      </c>
      <c r="BE469" s="4">
        <v>1330</v>
      </c>
      <c r="BF469" s="1">
        <v>747</v>
      </c>
      <c r="BG469" s="1">
        <v>240</v>
      </c>
      <c r="BH469" s="1">
        <v>224</v>
      </c>
    </row>
    <row r="470" spans="1:67" x14ac:dyDescent="0.25">
      <c r="A470" t="s">
        <v>1061</v>
      </c>
      <c r="B470" t="s">
        <v>1062</v>
      </c>
      <c r="C470" s="4">
        <f>(AA470*(H470*0.9))*12</f>
        <v>4068900</v>
      </c>
      <c r="D470" s="4">
        <f>IF(C470=0,"",(H470*150*12)+C470)</f>
        <v>4518900</v>
      </c>
      <c r="E470" s="4">
        <f>IFERROR(D470*0.5,"")</f>
        <v>2259450</v>
      </c>
      <c r="F470" s="4">
        <f>IFERROR(E470/0.06,"")</f>
        <v>37657500</v>
      </c>
      <c r="G470" s="4">
        <f>IFERROR(F470/H470,"")</f>
        <v>150630</v>
      </c>
      <c r="H470" s="1">
        <v>250</v>
      </c>
      <c r="I470" s="1">
        <v>1986</v>
      </c>
      <c r="J470" t="s">
        <v>64</v>
      </c>
      <c r="K470" t="s">
        <v>140</v>
      </c>
      <c r="L470" t="s">
        <v>540</v>
      </c>
      <c r="M470" t="s">
        <v>1063</v>
      </c>
      <c r="N470" t="s">
        <v>1064</v>
      </c>
      <c r="O470" t="s">
        <v>540</v>
      </c>
      <c r="P470" s="1">
        <v>3</v>
      </c>
      <c r="Q470" t="s">
        <v>91</v>
      </c>
      <c r="R470" t="s">
        <v>70</v>
      </c>
      <c r="S470" t="s">
        <v>71</v>
      </c>
      <c r="U470" t="s">
        <v>72</v>
      </c>
      <c r="V470" t="s">
        <v>140</v>
      </c>
      <c r="W470" t="s">
        <v>74</v>
      </c>
      <c r="X470" t="s">
        <v>1065</v>
      </c>
      <c r="Y470" s="2">
        <v>810</v>
      </c>
      <c r="Z470" s="3">
        <v>1.84</v>
      </c>
      <c r="AA470" s="4">
        <v>1507</v>
      </c>
      <c r="AK470" s="5">
        <v>10</v>
      </c>
      <c r="AN470" s="1">
        <v>2</v>
      </c>
      <c r="AO470" t="s">
        <v>81</v>
      </c>
      <c r="AP470" t="s">
        <v>82</v>
      </c>
      <c r="AQ470" t="s">
        <v>83</v>
      </c>
      <c r="AR470" s="3">
        <v>1.83</v>
      </c>
      <c r="AS470" s="4">
        <v>1896</v>
      </c>
      <c r="AT470" s="1">
        <v>1038</v>
      </c>
      <c r="AU470" s="3">
        <v>1.72</v>
      </c>
      <c r="AV470" s="4">
        <v>2325</v>
      </c>
      <c r="AW470" s="1">
        <v>1290</v>
      </c>
      <c r="AX470" s="3">
        <v>611225.18000000005</v>
      </c>
      <c r="BB470" t="s">
        <v>84</v>
      </c>
      <c r="BD470" s="3">
        <v>1.86</v>
      </c>
      <c r="BE470" s="4">
        <v>1302</v>
      </c>
      <c r="BF470" s="1">
        <v>702</v>
      </c>
      <c r="BG470" s="1">
        <v>168</v>
      </c>
      <c r="BH470" s="1">
        <v>76</v>
      </c>
      <c r="BI470" s="1">
        <v>6</v>
      </c>
      <c r="BK470" t="s">
        <v>1066</v>
      </c>
      <c r="BL470" t="s">
        <v>104</v>
      </c>
    </row>
    <row r="471" spans="1:67" x14ac:dyDescent="0.25">
      <c r="A471" t="s">
        <v>2817</v>
      </c>
      <c r="B471" t="s">
        <v>2818</v>
      </c>
      <c r="C471" s="4">
        <f>(AA471*(H471*0.9))*12</f>
        <v>9472399.2000000011</v>
      </c>
      <c r="D471" s="4">
        <f>IF(C471=0,"",(H471*150*12)+C471)</f>
        <v>10519999.200000001</v>
      </c>
      <c r="E471" s="4">
        <f>IFERROR(D471*0.5,"")</f>
        <v>5259999.6000000006</v>
      </c>
      <c r="F471" s="4">
        <f>IFERROR(E471/0.06,"")</f>
        <v>87666660.000000015</v>
      </c>
      <c r="G471" s="4">
        <f>IFERROR(F471/H471,"")</f>
        <v>150630.00000000003</v>
      </c>
      <c r="H471" s="1">
        <v>582</v>
      </c>
      <c r="I471" s="1">
        <v>1997</v>
      </c>
      <c r="J471" t="s">
        <v>64</v>
      </c>
      <c r="K471" t="s">
        <v>734</v>
      </c>
      <c r="L471" t="s">
        <v>2819</v>
      </c>
      <c r="M471" t="s">
        <v>2820</v>
      </c>
      <c r="N471" t="s">
        <v>2821</v>
      </c>
      <c r="O471" t="s">
        <v>2819</v>
      </c>
      <c r="P471" s="1">
        <v>3</v>
      </c>
      <c r="Q471" t="s">
        <v>91</v>
      </c>
      <c r="R471" t="s">
        <v>70</v>
      </c>
      <c r="S471" t="s">
        <v>71</v>
      </c>
      <c r="U471" t="s">
        <v>72</v>
      </c>
      <c r="V471" t="s">
        <v>73</v>
      </c>
      <c r="W471" t="s">
        <v>74</v>
      </c>
      <c r="X471" t="s">
        <v>2822</v>
      </c>
      <c r="Y471" s="2">
        <v>884</v>
      </c>
      <c r="Z471" s="3">
        <v>1.7</v>
      </c>
      <c r="AA471" s="4">
        <v>1507</v>
      </c>
      <c r="AK471" s="5">
        <v>6.1856</v>
      </c>
      <c r="AM471" s="1">
        <v>2017</v>
      </c>
      <c r="AN471" s="1">
        <v>3</v>
      </c>
      <c r="AO471" t="s">
        <v>81</v>
      </c>
      <c r="AP471" t="s">
        <v>82</v>
      </c>
      <c r="AQ471" t="s">
        <v>83</v>
      </c>
      <c r="AR471" s="3">
        <v>1.64</v>
      </c>
      <c r="AS471" s="4">
        <v>1718</v>
      </c>
      <c r="AT471" s="1">
        <v>1047</v>
      </c>
      <c r="AU471" s="3">
        <v>1.66</v>
      </c>
      <c r="AV471" s="4">
        <v>2158</v>
      </c>
      <c r="AW471" s="1">
        <v>1302</v>
      </c>
      <c r="AX471" s="3">
        <v>1831089.09</v>
      </c>
      <c r="BB471" t="s">
        <v>84</v>
      </c>
      <c r="BD471" s="3">
        <v>1.79</v>
      </c>
      <c r="BE471" s="4">
        <v>1262</v>
      </c>
      <c r="BF471" s="1">
        <v>705</v>
      </c>
      <c r="BG471" s="1">
        <v>301</v>
      </c>
      <c r="BH471" s="1">
        <v>249</v>
      </c>
      <c r="BI471" s="1">
        <v>32</v>
      </c>
      <c r="BL471" t="s">
        <v>131</v>
      </c>
    </row>
    <row r="472" spans="1:67" x14ac:dyDescent="0.25">
      <c r="A472" t="s">
        <v>2092</v>
      </c>
      <c r="B472" t="s">
        <v>2093</v>
      </c>
      <c r="C472" s="4">
        <f>(AA472*(H472*0.9))*12</f>
        <v>7790061.5999999996</v>
      </c>
      <c r="D472" s="4">
        <f>IF(C472=0,"",(H472*150*12)+C472)</f>
        <v>8650461.5999999996</v>
      </c>
      <c r="E472" s="4">
        <f>IFERROR(D472*0.5,"")</f>
        <v>4325230.8</v>
      </c>
      <c r="F472" s="4">
        <f>IFERROR(E472/0.06,"")</f>
        <v>72087180</v>
      </c>
      <c r="G472" s="4">
        <f>IFERROR(F472/H472,"")</f>
        <v>150810</v>
      </c>
      <c r="H472" s="1">
        <v>478</v>
      </c>
      <c r="I472" s="1">
        <v>1996</v>
      </c>
      <c r="J472" t="s">
        <v>64</v>
      </c>
      <c r="K472" t="s">
        <v>177</v>
      </c>
      <c r="L472" t="s">
        <v>801</v>
      </c>
      <c r="M472" t="s">
        <v>2094</v>
      </c>
      <c r="N472" t="s">
        <v>2095</v>
      </c>
      <c r="O472" t="s">
        <v>801</v>
      </c>
      <c r="P472" s="1">
        <v>4</v>
      </c>
      <c r="Q472" t="s">
        <v>91</v>
      </c>
      <c r="R472" t="s">
        <v>70</v>
      </c>
      <c r="S472" t="s">
        <v>71</v>
      </c>
      <c r="U472" t="s">
        <v>72</v>
      </c>
      <c r="V472" t="s">
        <v>181</v>
      </c>
      <c r="W472" t="s">
        <v>74</v>
      </c>
      <c r="X472" t="s">
        <v>182</v>
      </c>
      <c r="Y472" s="2">
        <v>916</v>
      </c>
      <c r="Z472" s="3">
        <v>1.65</v>
      </c>
      <c r="AA472" s="4">
        <v>1509</v>
      </c>
      <c r="AK472" s="5">
        <v>7.5313999999999997</v>
      </c>
      <c r="AN472" s="1">
        <v>3</v>
      </c>
      <c r="AO472" t="s">
        <v>81</v>
      </c>
      <c r="AP472" t="s">
        <v>82</v>
      </c>
      <c r="AQ472" t="s">
        <v>83</v>
      </c>
      <c r="AR472" s="3">
        <v>1.55</v>
      </c>
      <c r="AS472" s="4">
        <v>1682</v>
      </c>
      <c r="AT472" s="1">
        <v>1084</v>
      </c>
      <c r="AU472" s="3">
        <v>1.42</v>
      </c>
      <c r="AV472" s="4">
        <v>1927</v>
      </c>
      <c r="AW472" s="1">
        <v>1352</v>
      </c>
      <c r="AX472" s="3">
        <v>1907189.12</v>
      </c>
      <c r="BB472" t="s">
        <v>84</v>
      </c>
      <c r="BD472" s="3">
        <v>1.79</v>
      </c>
      <c r="BE472" s="4">
        <v>1334</v>
      </c>
      <c r="BF472" s="1">
        <v>745</v>
      </c>
      <c r="BG472" s="1">
        <v>246</v>
      </c>
      <c r="BH472" s="1">
        <v>220</v>
      </c>
      <c r="BI472" s="1">
        <v>12</v>
      </c>
    </row>
    <row r="473" spans="1:67" x14ac:dyDescent="0.25">
      <c r="A473" t="s">
        <v>2944</v>
      </c>
      <c r="B473" t="s">
        <v>2945</v>
      </c>
      <c r="C473" s="4">
        <f>(AA473*(H473*0.9))*12</f>
        <v>8463852</v>
      </c>
      <c r="D473" s="4">
        <f>IF(C473=0,"",(H473*150*12)+C473)</f>
        <v>9398052</v>
      </c>
      <c r="E473" s="4">
        <f>IFERROR(D473*0.5,"")</f>
        <v>4699026</v>
      </c>
      <c r="F473" s="4">
        <f>IFERROR(E473/0.06,"")</f>
        <v>78317100</v>
      </c>
      <c r="G473" s="4">
        <f>IFERROR(F473/H473,"")</f>
        <v>150900</v>
      </c>
      <c r="H473" s="1">
        <v>519</v>
      </c>
      <c r="I473" s="1">
        <v>1997</v>
      </c>
      <c r="J473" t="s">
        <v>64</v>
      </c>
      <c r="K473" t="s">
        <v>123</v>
      </c>
      <c r="L473" t="s">
        <v>1038</v>
      </c>
      <c r="M473" t="s">
        <v>2946</v>
      </c>
      <c r="N473" t="s">
        <v>1038</v>
      </c>
      <c r="O473" t="s">
        <v>1038</v>
      </c>
      <c r="P473" s="1">
        <v>3</v>
      </c>
      <c r="Q473" t="s">
        <v>91</v>
      </c>
      <c r="R473" t="s">
        <v>70</v>
      </c>
      <c r="S473" t="s">
        <v>71</v>
      </c>
      <c r="U473" t="s">
        <v>72</v>
      </c>
      <c r="V473" t="s">
        <v>551</v>
      </c>
      <c r="W473" t="s">
        <v>74</v>
      </c>
      <c r="X473" t="s">
        <v>986</v>
      </c>
      <c r="Y473" s="2">
        <v>956</v>
      </c>
      <c r="Z473" s="3">
        <v>1.58</v>
      </c>
      <c r="AA473" s="4">
        <v>1510</v>
      </c>
      <c r="AK473" s="5">
        <v>2.6974999999999998</v>
      </c>
      <c r="AN473" s="1">
        <v>3</v>
      </c>
      <c r="AO473" t="s">
        <v>81</v>
      </c>
      <c r="AP473" t="s">
        <v>82</v>
      </c>
      <c r="AQ473" t="s">
        <v>83</v>
      </c>
      <c r="AR473" s="3">
        <v>1.51</v>
      </c>
      <c r="AS473" s="4">
        <v>1556</v>
      </c>
      <c r="AT473" s="1">
        <v>1032</v>
      </c>
      <c r="AU473" s="3">
        <v>1.57</v>
      </c>
      <c r="AV473" s="4">
        <v>2066</v>
      </c>
      <c r="AW473" s="1">
        <v>1320</v>
      </c>
      <c r="AX473" s="3">
        <v>1383314.24</v>
      </c>
      <c r="BB473" t="s">
        <v>84</v>
      </c>
      <c r="BD473" s="3">
        <v>1.69</v>
      </c>
      <c r="BE473" s="4">
        <v>1274</v>
      </c>
      <c r="BF473" s="1">
        <v>754</v>
      </c>
      <c r="BG473" s="1">
        <v>214</v>
      </c>
      <c r="BH473" s="1">
        <v>234</v>
      </c>
      <c r="BI473" s="1">
        <v>71</v>
      </c>
    </row>
    <row r="474" spans="1:67" x14ac:dyDescent="0.25">
      <c r="A474" t="s">
        <v>1624</v>
      </c>
      <c r="B474" t="s">
        <v>1625</v>
      </c>
      <c r="C474" s="4">
        <f>(AA474*(H474*0.9))*12</f>
        <v>7506648</v>
      </c>
      <c r="D474" s="4">
        <f>IF(C474=0,"",(H474*150*12)+C474)</f>
        <v>8334648</v>
      </c>
      <c r="E474" s="4">
        <f>IFERROR(D474*0.5,"")</f>
        <v>4167324</v>
      </c>
      <c r="F474" s="4">
        <f>IFERROR(E474/0.06,"")</f>
        <v>69455400</v>
      </c>
      <c r="G474" s="4">
        <f>IFERROR(F474/H474,"")</f>
        <v>150990</v>
      </c>
      <c r="H474" s="1">
        <v>460</v>
      </c>
      <c r="I474" s="1">
        <v>1985</v>
      </c>
      <c r="J474" t="s">
        <v>64</v>
      </c>
      <c r="K474" t="s">
        <v>1133</v>
      </c>
      <c r="L474" t="s">
        <v>1626</v>
      </c>
      <c r="M474" t="s">
        <v>1627</v>
      </c>
      <c r="N474" t="s">
        <v>1628</v>
      </c>
      <c r="O474" t="s">
        <v>1626</v>
      </c>
      <c r="P474" s="1">
        <v>3</v>
      </c>
      <c r="Q474" t="s">
        <v>69</v>
      </c>
      <c r="R474" t="s">
        <v>70</v>
      </c>
      <c r="S474" t="s">
        <v>71</v>
      </c>
      <c r="U474" t="s">
        <v>72</v>
      </c>
      <c r="V474" t="s">
        <v>264</v>
      </c>
      <c r="W474" t="s">
        <v>74</v>
      </c>
      <c r="X474" t="s">
        <v>1629</v>
      </c>
      <c r="Y474" s="2">
        <v>847</v>
      </c>
      <c r="Z474" s="3">
        <v>1.78</v>
      </c>
      <c r="AA474" s="4">
        <v>1511</v>
      </c>
      <c r="AK474" s="5">
        <v>10.434799999999999</v>
      </c>
      <c r="AN474" s="1">
        <v>3</v>
      </c>
      <c r="AO474" t="s">
        <v>81</v>
      </c>
      <c r="AP474" t="s">
        <v>82</v>
      </c>
      <c r="AQ474" t="s">
        <v>83</v>
      </c>
      <c r="AR474" s="3">
        <v>1.82</v>
      </c>
      <c r="AS474" s="4">
        <v>1842</v>
      </c>
      <c r="AT474" s="1">
        <v>1010</v>
      </c>
      <c r="AX474" s="3">
        <v>1550502.98</v>
      </c>
      <c r="BB474" t="s">
        <v>84</v>
      </c>
      <c r="BD474" s="3">
        <v>1.76</v>
      </c>
      <c r="BE474" s="4">
        <v>1357</v>
      </c>
      <c r="BF474" s="1">
        <v>772</v>
      </c>
      <c r="BG474" s="1">
        <v>314</v>
      </c>
      <c r="BH474" s="1">
        <v>146</v>
      </c>
      <c r="BK474" t="s">
        <v>956</v>
      </c>
      <c r="BL474" t="s">
        <v>104</v>
      </c>
    </row>
    <row r="475" spans="1:67" x14ac:dyDescent="0.25">
      <c r="A475" t="s">
        <v>1793</v>
      </c>
      <c r="B475" t="s">
        <v>1794</v>
      </c>
      <c r="C475" s="4">
        <f>(AA475*(H475*0.9))*12</f>
        <v>7049721.6000000006</v>
      </c>
      <c r="D475" s="4">
        <f>IF(C475=0,"",(H475*150*12)+C475)</f>
        <v>7827321.6000000006</v>
      </c>
      <c r="E475" s="4">
        <f>IFERROR(D475*0.5,"")</f>
        <v>3913660.8000000003</v>
      </c>
      <c r="F475" s="4">
        <f>IFERROR(E475/0.06,"")</f>
        <v>65227680.000000007</v>
      </c>
      <c r="G475" s="4">
        <f>IFERROR(F475/H475,"")</f>
        <v>150990.00000000003</v>
      </c>
      <c r="H475" s="1">
        <v>432</v>
      </c>
      <c r="I475" s="1">
        <v>1986</v>
      </c>
      <c r="J475" t="s">
        <v>64</v>
      </c>
      <c r="K475" t="s">
        <v>514</v>
      </c>
      <c r="L475" t="s">
        <v>1499</v>
      </c>
      <c r="M475" t="s">
        <v>1795</v>
      </c>
      <c r="N475" t="s">
        <v>1796</v>
      </c>
      <c r="O475" t="s">
        <v>1499</v>
      </c>
      <c r="P475" s="1">
        <v>3</v>
      </c>
      <c r="Q475" t="s">
        <v>91</v>
      </c>
      <c r="R475" t="s">
        <v>70</v>
      </c>
      <c r="S475" t="s">
        <v>71</v>
      </c>
      <c r="U475" t="s">
        <v>72</v>
      </c>
      <c r="V475" t="s">
        <v>264</v>
      </c>
      <c r="W475" t="s">
        <v>74</v>
      </c>
      <c r="X475" t="s">
        <v>517</v>
      </c>
      <c r="Y475" s="2">
        <v>865</v>
      </c>
      <c r="Z475" s="3">
        <v>1.75</v>
      </c>
      <c r="AA475" s="4">
        <v>1511</v>
      </c>
      <c r="AK475" s="5">
        <v>5.5556000000000001</v>
      </c>
      <c r="AM475" s="1">
        <v>1995</v>
      </c>
      <c r="AN475" s="1">
        <v>3</v>
      </c>
      <c r="AO475" t="s">
        <v>81</v>
      </c>
      <c r="AP475" t="s">
        <v>82</v>
      </c>
      <c r="AQ475" t="s">
        <v>83</v>
      </c>
      <c r="AR475" s="3">
        <v>1.62</v>
      </c>
      <c r="AS475" s="4">
        <v>1698</v>
      </c>
      <c r="AT475" s="1">
        <v>1047</v>
      </c>
      <c r="AU475" s="3">
        <v>1.81</v>
      </c>
      <c r="AV475" s="4">
        <v>2325</v>
      </c>
      <c r="AW475" s="1">
        <v>1285</v>
      </c>
      <c r="AX475" s="3">
        <v>1326650.8500000001</v>
      </c>
      <c r="BB475" t="s">
        <v>84</v>
      </c>
      <c r="BD475" s="3">
        <v>1.86</v>
      </c>
      <c r="BE475" s="4">
        <v>1370</v>
      </c>
      <c r="BF475" s="1">
        <v>737</v>
      </c>
      <c r="BG475" s="1">
        <v>258</v>
      </c>
      <c r="BH475" s="1">
        <v>168</v>
      </c>
      <c r="BI475" s="1">
        <v>6</v>
      </c>
    </row>
    <row r="476" spans="1:67" x14ac:dyDescent="0.25">
      <c r="A476" t="s">
        <v>241</v>
      </c>
      <c r="B476" t="s">
        <v>242</v>
      </c>
      <c r="C476" s="4">
        <f>(AA476*(H476*0.9))*12</f>
        <v>4964198.4000000004</v>
      </c>
      <c r="D476" s="4">
        <f>IF(C476=0,"",(H476*150*12)+C476)</f>
        <v>5511398.4000000004</v>
      </c>
      <c r="E476" s="4">
        <f>IFERROR(D476*0.5,"")</f>
        <v>2755699.2</v>
      </c>
      <c r="F476" s="4">
        <f>IFERROR(E476/0.06,"")</f>
        <v>45928320.000000007</v>
      </c>
      <c r="G476" s="4">
        <f>IFERROR(F476/H476,"")</f>
        <v>151080.00000000003</v>
      </c>
      <c r="H476" s="1">
        <v>304</v>
      </c>
      <c r="I476" s="1">
        <v>1986</v>
      </c>
      <c r="J476" t="s">
        <v>64</v>
      </c>
      <c r="K476" t="s">
        <v>177</v>
      </c>
      <c r="L476" t="s">
        <v>243</v>
      </c>
      <c r="M476" t="s">
        <v>244</v>
      </c>
      <c r="N476" t="s">
        <v>245</v>
      </c>
      <c r="O476" t="s">
        <v>243</v>
      </c>
      <c r="P476" s="1">
        <v>3</v>
      </c>
      <c r="Q476" t="s">
        <v>91</v>
      </c>
      <c r="R476" t="s">
        <v>70</v>
      </c>
      <c r="S476" t="s">
        <v>71</v>
      </c>
      <c r="U476" t="s">
        <v>72</v>
      </c>
      <c r="V476" t="s">
        <v>172</v>
      </c>
      <c r="W476" t="s">
        <v>74</v>
      </c>
      <c r="X476" t="s">
        <v>246</v>
      </c>
      <c r="Y476" s="2">
        <v>896</v>
      </c>
      <c r="Z476" s="3">
        <v>1.69</v>
      </c>
      <c r="AA476" s="4">
        <v>1512</v>
      </c>
      <c r="AK476" s="5">
        <v>6.25</v>
      </c>
      <c r="AN476" s="1">
        <v>2</v>
      </c>
      <c r="AO476" t="s">
        <v>81</v>
      </c>
      <c r="AP476" t="s">
        <v>82</v>
      </c>
      <c r="AQ476" t="s">
        <v>83</v>
      </c>
      <c r="AR476" s="3">
        <v>1.63</v>
      </c>
      <c r="AS476" s="4">
        <v>1630</v>
      </c>
      <c r="AT476" s="1">
        <v>1002</v>
      </c>
      <c r="AX476" s="3">
        <v>933756.96</v>
      </c>
      <c r="BB476" t="s">
        <v>84</v>
      </c>
      <c r="BD476" s="3">
        <v>1.83</v>
      </c>
      <c r="BE476" s="4">
        <v>1311</v>
      </c>
      <c r="BF476" s="1">
        <v>715</v>
      </c>
      <c r="BG476" s="1">
        <v>112</v>
      </c>
      <c r="BH476" s="1">
        <v>192</v>
      </c>
      <c r="BK476" t="s">
        <v>247</v>
      </c>
      <c r="BL476" t="s">
        <v>104</v>
      </c>
    </row>
    <row r="477" spans="1:67" x14ac:dyDescent="0.25">
      <c r="A477" t="s">
        <v>4004</v>
      </c>
      <c r="B477" t="s">
        <v>4005</v>
      </c>
      <c r="C477" s="4">
        <f>(AA477*(H477*0.9))*12</f>
        <v>1634040</v>
      </c>
      <c r="D477" s="4">
        <f>IF(C477=0,"",(H477*150*12)+C477)</f>
        <v>1814040</v>
      </c>
      <c r="E477" s="4">
        <f>IFERROR(D477*0.5,"")</f>
        <v>907020</v>
      </c>
      <c r="F477" s="4">
        <f>IFERROR(E477/0.06,"")</f>
        <v>15117000</v>
      </c>
      <c r="G477" s="4">
        <f>IFERROR(F477/H477,"")</f>
        <v>151170</v>
      </c>
      <c r="H477" s="1">
        <v>100</v>
      </c>
      <c r="I477" s="1">
        <v>1998</v>
      </c>
      <c r="J477" t="s">
        <v>64</v>
      </c>
      <c r="K477" t="s">
        <v>520</v>
      </c>
      <c r="L477" t="s">
        <v>3711</v>
      </c>
      <c r="M477" t="s">
        <v>4006</v>
      </c>
      <c r="N477" t="s">
        <v>4007</v>
      </c>
      <c r="O477" t="s">
        <v>3711</v>
      </c>
      <c r="P477" s="1">
        <v>3</v>
      </c>
      <c r="Q477" t="s">
        <v>91</v>
      </c>
      <c r="R477" t="s">
        <v>70</v>
      </c>
      <c r="S477" t="s">
        <v>71</v>
      </c>
      <c r="T477" t="s">
        <v>118</v>
      </c>
      <c r="U477" t="s">
        <v>72</v>
      </c>
      <c r="V477" t="s">
        <v>3345</v>
      </c>
      <c r="W477" t="s">
        <v>74</v>
      </c>
      <c r="X477" t="s">
        <v>4008</v>
      </c>
      <c r="Y477" s="2">
        <v>1587</v>
      </c>
      <c r="Z477" s="3">
        <v>0.95</v>
      </c>
      <c r="AA477" s="4">
        <v>1513</v>
      </c>
      <c r="AK477" s="5">
        <v>1</v>
      </c>
      <c r="AN477" s="1">
        <v>1</v>
      </c>
      <c r="AO477" t="s">
        <v>81</v>
      </c>
      <c r="AP477" t="s">
        <v>82</v>
      </c>
      <c r="AQ477" t="s">
        <v>83</v>
      </c>
      <c r="AU477" s="3">
        <v>0.94</v>
      </c>
      <c r="AV477" s="4">
        <v>1468</v>
      </c>
      <c r="AW477" s="1">
        <v>1563</v>
      </c>
      <c r="AX477" s="3">
        <v>73243.63</v>
      </c>
      <c r="BB477" t="s">
        <v>84</v>
      </c>
      <c r="BI477" s="1">
        <v>70</v>
      </c>
      <c r="BJ477" s="1">
        <v>30</v>
      </c>
      <c r="BM477" s="3">
        <v>0.98</v>
      </c>
      <c r="BN477" s="4">
        <v>1620</v>
      </c>
      <c r="BO477" s="1">
        <v>1645</v>
      </c>
    </row>
    <row r="478" spans="1:67" x14ac:dyDescent="0.25">
      <c r="A478" t="s">
        <v>3075</v>
      </c>
      <c r="B478" t="s">
        <v>3076</v>
      </c>
      <c r="C478" s="4">
        <f>(AA478*(H478*0.9))*12</f>
        <v>6540480</v>
      </c>
      <c r="D478" s="4">
        <f>IF(C478=0,"",(H478*150*12)+C478)</f>
        <v>7260480</v>
      </c>
      <c r="E478" s="4">
        <f>IFERROR(D478*0.5,"")</f>
        <v>3630240</v>
      </c>
      <c r="F478" s="4">
        <f>IFERROR(E478/0.06,"")</f>
        <v>60504000</v>
      </c>
      <c r="G478" s="4">
        <f>IFERROR(F478/H478,"")</f>
        <v>151260</v>
      </c>
      <c r="H478" s="1">
        <v>400</v>
      </c>
      <c r="I478" s="1">
        <v>1992</v>
      </c>
      <c r="J478" t="s">
        <v>64</v>
      </c>
      <c r="K478" t="s">
        <v>198</v>
      </c>
      <c r="L478" t="s">
        <v>697</v>
      </c>
      <c r="M478" t="s">
        <v>3077</v>
      </c>
      <c r="N478" t="s">
        <v>3078</v>
      </c>
      <c r="O478" t="s">
        <v>697</v>
      </c>
      <c r="P478" s="1">
        <v>4</v>
      </c>
      <c r="Q478" t="s">
        <v>91</v>
      </c>
      <c r="R478" t="s">
        <v>70</v>
      </c>
      <c r="S478" t="s">
        <v>71</v>
      </c>
      <c r="U478" t="s">
        <v>72</v>
      </c>
      <c r="V478" t="s">
        <v>110</v>
      </c>
      <c r="W478" t="s">
        <v>74</v>
      </c>
      <c r="X478" t="s">
        <v>202</v>
      </c>
      <c r="Y478" s="2">
        <v>802</v>
      </c>
      <c r="Z478" s="3">
        <v>1.89</v>
      </c>
      <c r="AA478" s="4">
        <v>1514</v>
      </c>
      <c r="AK478" s="5">
        <v>4.5</v>
      </c>
      <c r="AM478" s="1">
        <v>2017</v>
      </c>
      <c r="AN478" s="1">
        <v>3</v>
      </c>
      <c r="AO478" t="s">
        <v>81</v>
      </c>
      <c r="AP478" t="s">
        <v>82</v>
      </c>
      <c r="AQ478" t="s">
        <v>83</v>
      </c>
      <c r="AR478" s="3">
        <v>1.73</v>
      </c>
      <c r="AS478" s="4">
        <v>1787</v>
      </c>
      <c r="AT478" s="1">
        <v>1033</v>
      </c>
      <c r="AX478" s="3">
        <v>1381286.56</v>
      </c>
      <c r="BB478" t="s">
        <v>84</v>
      </c>
      <c r="BD478" s="3">
        <v>2.0099999999999998</v>
      </c>
      <c r="BE478" s="4">
        <v>1374</v>
      </c>
      <c r="BF478" s="1">
        <v>683</v>
      </c>
      <c r="BG478" s="1">
        <v>264</v>
      </c>
      <c r="BH478" s="1">
        <v>136</v>
      </c>
      <c r="BL478" t="s">
        <v>131</v>
      </c>
    </row>
    <row r="479" spans="1:67" x14ac:dyDescent="0.25">
      <c r="A479" t="s">
        <v>2054</v>
      </c>
      <c r="B479" t="s">
        <v>2055</v>
      </c>
      <c r="C479" s="4">
        <f>(AA479*(H479*0.9))*12</f>
        <v>14856696</v>
      </c>
      <c r="D479" s="4">
        <f>IF(C479=0,"",(H479*150*12)+C479)</f>
        <v>16491096</v>
      </c>
      <c r="E479" s="4">
        <f>IFERROR(D479*0.5,"")</f>
        <v>8245548</v>
      </c>
      <c r="F479" s="4">
        <f>IFERROR(E479/0.06,"")</f>
        <v>137425800</v>
      </c>
      <c r="G479" s="4">
        <f>IFERROR(F479/H479,"")</f>
        <v>151350</v>
      </c>
      <c r="H479" s="1">
        <v>908</v>
      </c>
      <c r="I479" s="1">
        <v>1992</v>
      </c>
      <c r="J479" t="s">
        <v>64</v>
      </c>
      <c r="K479" t="s">
        <v>2056</v>
      </c>
      <c r="L479" t="s">
        <v>2057</v>
      </c>
      <c r="M479" t="s">
        <v>2058</v>
      </c>
      <c r="N479" t="s">
        <v>2059</v>
      </c>
      <c r="O479" t="s">
        <v>2057</v>
      </c>
      <c r="P479" s="1">
        <v>4</v>
      </c>
      <c r="Q479" t="s">
        <v>729</v>
      </c>
      <c r="R479" t="s">
        <v>70</v>
      </c>
      <c r="S479" t="s">
        <v>71</v>
      </c>
      <c r="U479" t="s">
        <v>72</v>
      </c>
      <c r="V479" t="s">
        <v>264</v>
      </c>
      <c r="W479" t="s">
        <v>74</v>
      </c>
      <c r="X479" t="s">
        <v>2060</v>
      </c>
      <c r="Y479" s="2">
        <v>865</v>
      </c>
      <c r="Z479" s="3">
        <v>1.75</v>
      </c>
      <c r="AA479" s="4">
        <v>1515</v>
      </c>
      <c r="AK479" s="5">
        <v>8.5902999999999992</v>
      </c>
      <c r="AM479" s="1">
        <v>2016</v>
      </c>
      <c r="AN479" s="1">
        <v>4</v>
      </c>
      <c r="AO479" t="s">
        <v>81</v>
      </c>
      <c r="AP479" t="s">
        <v>82</v>
      </c>
      <c r="AQ479" t="s">
        <v>83</v>
      </c>
      <c r="AR479" s="3">
        <v>1.62</v>
      </c>
      <c r="AS479" s="4">
        <v>1736</v>
      </c>
      <c r="AT479" s="1">
        <v>1069</v>
      </c>
      <c r="AU479" s="3">
        <v>1.87</v>
      </c>
      <c r="AV479" s="4">
        <v>3895</v>
      </c>
      <c r="AW479" s="1">
        <v>2088</v>
      </c>
      <c r="AX479" s="3">
        <v>3399571.05</v>
      </c>
      <c r="AY479" s="3">
        <v>1.8</v>
      </c>
      <c r="AZ479" s="4">
        <v>1295</v>
      </c>
      <c r="BA479" s="6">
        <v>721</v>
      </c>
      <c r="BB479" t="s">
        <v>84</v>
      </c>
      <c r="BD479" s="3">
        <v>1.85</v>
      </c>
      <c r="BE479" s="4">
        <v>1379</v>
      </c>
      <c r="BF479" s="1">
        <v>745</v>
      </c>
      <c r="BG479" s="1">
        <v>558</v>
      </c>
      <c r="BH479" s="1">
        <v>323</v>
      </c>
      <c r="BI479" s="1">
        <v>4</v>
      </c>
      <c r="BL479" t="s">
        <v>131</v>
      </c>
    </row>
    <row r="480" spans="1:67" x14ac:dyDescent="0.25">
      <c r="A480" t="s">
        <v>3912</v>
      </c>
      <c r="B480" t="s">
        <v>3913</v>
      </c>
      <c r="C480" s="4">
        <f>(AA480*(H480*0.9))*12</f>
        <v>4915080</v>
      </c>
      <c r="D480" s="4">
        <f>IF(C480=0,"",(H480*150*12)+C480)</f>
        <v>5455080</v>
      </c>
      <c r="E480" s="4">
        <f>IFERROR(D480*0.5,"")</f>
        <v>2727540</v>
      </c>
      <c r="F480" s="4">
        <f>IFERROR(E480/0.06,"")</f>
        <v>45459000</v>
      </c>
      <c r="G480" s="4">
        <f>IFERROR(F480/H480,"")</f>
        <v>151530</v>
      </c>
      <c r="H480" s="1">
        <v>300</v>
      </c>
      <c r="I480" s="1">
        <v>1997</v>
      </c>
      <c r="J480" t="s">
        <v>64</v>
      </c>
      <c r="K480" t="s">
        <v>140</v>
      </c>
      <c r="L480" t="s">
        <v>3914</v>
      </c>
      <c r="M480" t="s">
        <v>3915</v>
      </c>
      <c r="N480" t="s">
        <v>3916</v>
      </c>
      <c r="O480" t="s">
        <v>3914</v>
      </c>
      <c r="P480" s="1">
        <v>4</v>
      </c>
      <c r="Q480" t="s">
        <v>91</v>
      </c>
      <c r="R480" t="s">
        <v>70</v>
      </c>
      <c r="S480" t="s">
        <v>71</v>
      </c>
      <c r="U480" t="s">
        <v>72</v>
      </c>
      <c r="V480" t="s">
        <v>140</v>
      </c>
      <c r="W480" t="s">
        <v>74</v>
      </c>
      <c r="X480" t="s">
        <v>1050</v>
      </c>
      <c r="Y480" s="2">
        <v>983</v>
      </c>
      <c r="Z480" s="3">
        <v>1.54</v>
      </c>
      <c r="AA480" s="4">
        <v>1517</v>
      </c>
      <c r="AK480" s="5">
        <v>8.3332999999999995</v>
      </c>
      <c r="AN480" s="1">
        <v>3</v>
      </c>
      <c r="AO480" t="s">
        <v>81</v>
      </c>
      <c r="AP480" t="s">
        <v>82</v>
      </c>
      <c r="AQ480" t="s">
        <v>83</v>
      </c>
      <c r="AR480" s="3">
        <v>1.46</v>
      </c>
      <c r="AS480" s="4">
        <v>1586</v>
      </c>
      <c r="AT480" s="1">
        <v>1087</v>
      </c>
      <c r="AU480" s="3">
        <v>1.63</v>
      </c>
      <c r="AV480" s="4">
        <v>2054</v>
      </c>
      <c r="AW480" s="1">
        <v>1260</v>
      </c>
      <c r="AX480" s="3">
        <v>902000.34</v>
      </c>
      <c r="BB480" t="s">
        <v>84</v>
      </c>
      <c r="BD480" s="3">
        <v>1.7</v>
      </c>
      <c r="BE480" s="4">
        <v>1261</v>
      </c>
      <c r="BF480" s="1">
        <v>742</v>
      </c>
      <c r="BG480" s="1">
        <v>104</v>
      </c>
      <c r="BH480" s="1">
        <v>168</v>
      </c>
      <c r="BI480" s="1">
        <v>28</v>
      </c>
      <c r="BK480" t="s">
        <v>3917</v>
      </c>
      <c r="BL480" t="s">
        <v>365</v>
      </c>
    </row>
    <row r="481" spans="1:64" x14ac:dyDescent="0.25">
      <c r="A481" t="s">
        <v>1590</v>
      </c>
      <c r="B481" t="s">
        <v>1591</v>
      </c>
      <c r="C481" s="4">
        <f>(AA481*(H481*0.9))*12</f>
        <v>3477902.4000000004</v>
      </c>
      <c r="D481" s="4">
        <f>IF(C481=0,"",(H481*150*12)+C481)</f>
        <v>3859502.4000000004</v>
      </c>
      <c r="E481" s="4">
        <f>IFERROR(D481*0.5,"")</f>
        <v>1929751.2000000002</v>
      </c>
      <c r="F481" s="4">
        <f>IFERROR(E481/0.06,"")</f>
        <v>32162520.000000004</v>
      </c>
      <c r="G481" s="4">
        <f>IFERROR(F481/H481,"")</f>
        <v>151710.00000000003</v>
      </c>
      <c r="H481" s="1">
        <v>212</v>
      </c>
      <c r="I481" s="1">
        <v>1986</v>
      </c>
      <c r="J481" t="s">
        <v>64</v>
      </c>
      <c r="K481" t="s">
        <v>1133</v>
      </c>
      <c r="L481" t="s">
        <v>1592</v>
      </c>
      <c r="M481" t="s">
        <v>1593</v>
      </c>
      <c r="N481" t="s">
        <v>1592</v>
      </c>
      <c r="P481" s="1">
        <v>3</v>
      </c>
      <c r="Q481" t="s">
        <v>91</v>
      </c>
      <c r="R481" t="s">
        <v>70</v>
      </c>
      <c r="S481" t="s">
        <v>71</v>
      </c>
      <c r="U481" t="s">
        <v>72</v>
      </c>
      <c r="V481" t="s">
        <v>264</v>
      </c>
      <c r="W481" t="s">
        <v>74</v>
      </c>
      <c r="X481" t="s">
        <v>1594</v>
      </c>
      <c r="Y481" s="2">
        <v>824</v>
      </c>
      <c r="Z481" s="3">
        <v>1.84</v>
      </c>
      <c r="AA481" s="4">
        <v>1519</v>
      </c>
      <c r="AK481" s="5">
        <v>3.7736000000000001</v>
      </c>
      <c r="AN481" s="1">
        <v>3</v>
      </c>
      <c r="AO481" t="s">
        <v>81</v>
      </c>
      <c r="AP481" t="s">
        <v>82</v>
      </c>
      <c r="AQ481" t="s">
        <v>83</v>
      </c>
      <c r="AR481" s="3">
        <v>1.96</v>
      </c>
      <c r="AS481" s="4">
        <v>1750</v>
      </c>
      <c r="AT481" s="1">
        <v>893</v>
      </c>
      <c r="AX481" s="3">
        <v>0</v>
      </c>
      <c r="BB481" t="s">
        <v>84</v>
      </c>
      <c r="BD481" s="3">
        <v>1.58</v>
      </c>
      <c r="BE481" s="4">
        <v>1115</v>
      </c>
      <c r="BF481" s="1">
        <v>704</v>
      </c>
      <c r="BG481" s="1">
        <v>77</v>
      </c>
      <c r="BH481" s="1">
        <v>135</v>
      </c>
      <c r="BK481" t="s">
        <v>490</v>
      </c>
      <c r="BL481" t="s">
        <v>104</v>
      </c>
    </row>
    <row r="482" spans="1:64" x14ac:dyDescent="0.25">
      <c r="A482" t="s">
        <v>3900</v>
      </c>
      <c r="B482" t="s">
        <v>3901</v>
      </c>
      <c r="C482" s="4">
        <f>(AA482*(H482*0.9))*12</f>
        <v>3419020.8000000003</v>
      </c>
      <c r="D482" s="4">
        <f>IF(C482=0,"",(H482*150*12)+C482)</f>
        <v>3793420.8000000003</v>
      </c>
      <c r="E482" s="4">
        <f>IFERROR(D482*0.5,"")</f>
        <v>1896710.4000000001</v>
      </c>
      <c r="F482" s="4">
        <f>IFERROR(E482/0.06,"")</f>
        <v>31611840.000000004</v>
      </c>
      <c r="G482" s="4">
        <f>IFERROR(F482/H482,"")</f>
        <v>151980.00000000003</v>
      </c>
      <c r="H482" s="1">
        <v>208</v>
      </c>
      <c r="I482" s="1">
        <v>1998</v>
      </c>
      <c r="J482" t="s">
        <v>64</v>
      </c>
      <c r="K482" t="s">
        <v>215</v>
      </c>
      <c r="L482" t="s">
        <v>3902</v>
      </c>
      <c r="M482" t="s">
        <v>3903</v>
      </c>
      <c r="N482" t="s">
        <v>3904</v>
      </c>
      <c r="O482" t="s">
        <v>3902</v>
      </c>
      <c r="P482" s="1">
        <v>4</v>
      </c>
      <c r="Q482" t="s">
        <v>91</v>
      </c>
      <c r="R482" t="s">
        <v>70</v>
      </c>
      <c r="S482" t="s">
        <v>71</v>
      </c>
      <c r="T482" t="s">
        <v>118</v>
      </c>
      <c r="U482" t="s">
        <v>72</v>
      </c>
      <c r="V482" t="s">
        <v>215</v>
      </c>
      <c r="W482" t="s">
        <v>74</v>
      </c>
      <c r="X482" t="s">
        <v>3905</v>
      </c>
      <c r="Y482" s="2">
        <v>1038</v>
      </c>
      <c r="Z482" s="3">
        <v>1.47</v>
      </c>
      <c r="AA482" s="4">
        <v>1522</v>
      </c>
      <c r="AK482" s="5">
        <v>20.192299999999999</v>
      </c>
      <c r="AN482" s="1">
        <v>2</v>
      </c>
      <c r="AO482" t="s">
        <v>81</v>
      </c>
      <c r="AP482" t="s">
        <v>82</v>
      </c>
      <c r="AQ482" t="s">
        <v>83</v>
      </c>
      <c r="AR482" s="3">
        <v>1.45</v>
      </c>
      <c r="AS482" s="4">
        <v>1415</v>
      </c>
      <c r="AT482" s="1">
        <v>976</v>
      </c>
      <c r="AU482" s="3">
        <v>1.48</v>
      </c>
      <c r="AV482" s="4">
        <v>1629</v>
      </c>
      <c r="AW482" s="1">
        <v>1100</v>
      </c>
      <c r="AX482" s="3">
        <v>330252.77</v>
      </c>
      <c r="BB482" t="s">
        <v>84</v>
      </c>
      <c r="BH482" s="1">
        <v>104</v>
      </c>
      <c r="BI482" s="1">
        <v>104</v>
      </c>
      <c r="BK482" t="s">
        <v>3906</v>
      </c>
      <c r="BL482" t="s">
        <v>643</v>
      </c>
    </row>
    <row r="483" spans="1:64" x14ac:dyDescent="0.25">
      <c r="A483" t="s">
        <v>3936</v>
      </c>
      <c r="B483" t="s">
        <v>3937</v>
      </c>
      <c r="C483" s="4">
        <f>(AA483*(H483*0.9))*12</f>
        <v>9431121.6000000015</v>
      </c>
      <c r="D483" s="4">
        <f>IF(C483=0,"",(H483*150*12)+C483)</f>
        <v>10462521.600000001</v>
      </c>
      <c r="E483" s="4">
        <f>IFERROR(D483*0.5,"")</f>
        <v>5231260.8000000007</v>
      </c>
      <c r="F483" s="4">
        <f>IFERROR(E483/0.06,"")</f>
        <v>87187680.000000015</v>
      </c>
      <c r="G483" s="4">
        <f>IFERROR(F483/H483,"")</f>
        <v>152160.00000000003</v>
      </c>
      <c r="H483" s="1">
        <v>573</v>
      </c>
      <c r="I483" s="1">
        <v>1995</v>
      </c>
      <c r="J483" t="s">
        <v>64</v>
      </c>
      <c r="K483" t="s">
        <v>3597</v>
      </c>
      <c r="L483" t="s">
        <v>1038</v>
      </c>
      <c r="M483" t="s">
        <v>3938</v>
      </c>
      <c r="N483" t="s">
        <v>3937</v>
      </c>
      <c r="O483" t="s">
        <v>1038</v>
      </c>
      <c r="P483" s="1">
        <v>3</v>
      </c>
      <c r="Q483" t="s">
        <v>91</v>
      </c>
      <c r="R483" t="s">
        <v>70</v>
      </c>
      <c r="S483" t="s">
        <v>71</v>
      </c>
      <c r="U483" t="s">
        <v>72</v>
      </c>
      <c r="V483" t="s">
        <v>73</v>
      </c>
      <c r="W483" t="s">
        <v>74</v>
      </c>
      <c r="X483" t="s">
        <v>3939</v>
      </c>
      <c r="Y483" s="2">
        <v>921</v>
      </c>
      <c r="Z483" s="3">
        <v>1.65</v>
      </c>
      <c r="AA483" s="4">
        <v>1524</v>
      </c>
      <c r="AK483" s="5">
        <v>6.4572000000000003</v>
      </c>
      <c r="AN483" s="1">
        <v>3</v>
      </c>
      <c r="AO483" t="s">
        <v>81</v>
      </c>
      <c r="AP483" t="s">
        <v>82</v>
      </c>
      <c r="AQ483" t="s">
        <v>83</v>
      </c>
      <c r="AR483" s="3">
        <v>1.67</v>
      </c>
      <c r="AS483" s="4">
        <v>1773</v>
      </c>
      <c r="AT483" s="1">
        <v>1061</v>
      </c>
      <c r="AU483" s="3">
        <v>1.53</v>
      </c>
      <c r="AV483" s="4">
        <v>2121</v>
      </c>
      <c r="AW483" s="1">
        <v>1390</v>
      </c>
      <c r="AX483" s="3">
        <v>2101398.9</v>
      </c>
      <c r="BB483" t="s">
        <v>84</v>
      </c>
      <c r="BD483" s="3">
        <v>1.67</v>
      </c>
      <c r="BE483" s="4">
        <v>1258</v>
      </c>
      <c r="BF483" s="1">
        <v>754</v>
      </c>
      <c r="BG483" s="1">
        <v>307</v>
      </c>
      <c r="BH483" s="1">
        <v>222</v>
      </c>
      <c r="BI483" s="1">
        <v>44</v>
      </c>
      <c r="BK483" t="s">
        <v>3600</v>
      </c>
    </row>
    <row r="484" spans="1:64" x14ac:dyDescent="0.25">
      <c r="A484" t="s">
        <v>2061</v>
      </c>
      <c r="B484" t="s">
        <v>2062</v>
      </c>
      <c r="C484" s="4">
        <f>(AA484*(H484*0.9))*12</f>
        <v>5764500</v>
      </c>
      <c r="D484" s="4">
        <f>IF(C484=0,"",(H484*150*12)+C484)</f>
        <v>6394500</v>
      </c>
      <c r="E484" s="4">
        <f>IFERROR(D484*0.5,"")</f>
        <v>3197250</v>
      </c>
      <c r="F484" s="4">
        <f>IFERROR(E484/0.06,"")</f>
        <v>53287500</v>
      </c>
      <c r="G484" s="4">
        <f>IFERROR(F484/H484,"")</f>
        <v>152250</v>
      </c>
      <c r="H484" s="1">
        <v>350</v>
      </c>
      <c r="I484" s="1">
        <v>1999</v>
      </c>
      <c r="J484" t="s">
        <v>64</v>
      </c>
      <c r="K484" t="s">
        <v>2063</v>
      </c>
      <c r="L484" t="s">
        <v>339</v>
      </c>
      <c r="M484" t="s">
        <v>2064</v>
      </c>
      <c r="N484" t="s">
        <v>2065</v>
      </c>
      <c r="O484" t="s">
        <v>339</v>
      </c>
      <c r="P484" s="1">
        <v>4</v>
      </c>
      <c r="Q484" t="s">
        <v>91</v>
      </c>
      <c r="R484" t="s">
        <v>70</v>
      </c>
      <c r="S484" t="s">
        <v>71</v>
      </c>
      <c r="U484" t="s">
        <v>72</v>
      </c>
      <c r="V484" t="s">
        <v>152</v>
      </c>
      <c r="W484" t="s">
        <v>74</v>
      </c>
      <c r="X484" t="s">
        <v>2066</v>
      </c>
      <c r="Y484" s="2">
        <v>935</v>
      </c>
      <c r="Z484" s="3">
        <v>1.63</v>
      </c>
      <c r="AA484" s="4">
        <v>1525</v>
      </c>
      <c r="AK484" s="5">
        <v>16.857099999999999</v>
      </c>
      <c r="AN484" s="1">
        <v>3</v>
      </c>
      <c r="AO484" t="s">
        <v>81</v>
      </c>
      <c r="AP484" t="s">
        <v>82</v>
      </c>
      <c r="AQ484" t="s">
        <v>83</v>
      </c>
      <c r="AR484" s="3">
        <v>1.53</v>
      </c>
      <c r="AS484" s="4">
        <v>1844</v>
      </c>
      <c r="AT484" s="1">
        <v>1204</v>
      </c>
      <c r="AX484" s="3">
        <v>1899104</v>
      </c>
      <c r="BB484" t="s">
        <v>84</v>
      </c>
      <c r="BD484" s="3">
        <v>1.7</v>
      </c>
      <c r="BE484" s="4">
        <v>1369</v>
      </c>
      <c r="BF484" s="1">
        <v>804</v>
      </c>
      <c r="BG484" s="1">
        <v>235</v>
      </c>
      <c r="BH484" s="1">
        <v>115</v>
      </c>
      <c r="BL484" t="s">
        <v>131</v>
      </c>
    </row>
    <row r="485" spans="1:64" x14ac:dyDescent="0.25">
      <c r="A485" t="s">
        <v>2353</v>
      </c>
      <c r="B485" t="s">
        <v>2354</v>
      </c>
      <c r="C485" s="4">
        <f>(AA485*(H485*0.9))*12</f>
        <v>5929200</v>
      </c>
      <c r="D485" s="4">
        <f>IF(C485=0,"",(H485*150*12)+C485)</f>
        <v>6577200</v>
      </c>
      <c r="E485" s="4">
        <f>IFERROR(D485*0.5,"")</f>
        <v>3288600</v>
      </c>
      <c r="F485" s="4">
        <f>IFERROR(E485/0.06,"")</f>
        <v>54810000</v>
      </c>
      <c r="G485" s="4">
        <f>IFERROR(F485/H485,"")</f>
        <v>152250</v>
      </c>
      <c r="H485" s="1">
        <v>360</v>
      </c>
      <c r="I485" s="1">
        <v>1996</v>
      </c>
      <c r="J485" t="s">
        <v>64</v>
      </c>
      <c r="K485" t="s">
        <v>259</v>
      </c>
      <c r="L485" t="s">
        <v>1789</v>
      </c>
      <c r="M485" t="s">
        <v>2355</v>
      </c>
      <c r="O485" t="s">
        <v>1789</v>
      </c>
      <c r="P485" s="1">
        <v>4</v>
      </c>
      <c r="Q485" t="s">
        <v>729</v>
      </c>
      <c r="R485" t="s">
        <v>70</v>
      </c>
      <c r="S485" t="s">
        <v>71</v>
      </c>
      <c r="U485" t="s">
        <v>72</v>
      </c>
      <c r="V485" t="s">
        <v>152</v>
      </c>
      <c r="W485" t="s">
        <v>74</v>
      </c>
      <c r="X485" t="s">
        <v>780</v>
      </c>
      <c r="Y485" s="2">
        <v>978</v>
      </c>
      <c r="Z485" s="3">
        <v>1.56</v>
      </c>
      <c r="AA485" s="4">
        <v>1525</v>
      </c>
      <c r="AK485" s="5">
        <v>3.8889</v>
      </c>
      <c r="AM485" s="1">
        <v>2017</v>
      </c>
      <c r="AN485" s="1">
        <v>3</v>
      </c>
      <c r="AO485" t="s">
        <v>81</v>
      </c>
      <c r="AP485" t="s">
        <v>82</v>
      </c>
      <c r="AQ485" t="s">
        <v>83</v>
      </c>
      <c r="AR485" s="3">
        <v>1.53</v>
      </c>
      <c r="AS485" s="4">
        <v>1605</v>
      </c>
      <c r="AT485" s="1">
        <v>1052</v>
      </c>
      <c r="AU485" s="3">
        <v>1.6</v>
      </c>
      <c r="AV485" s="4">
        <v>2004</v>
      </c>
      <c r="AW485" s="1">
        <v>1256</v>
      </c>
      <c r="AX485" s="3">
        <v>1386042.45</v>
      </c>
      <c r="BB485" t="s">
        <v>84</v>
      </c>
      <c r="BD485" s="3">
        <v>1.62</v>
      </c>
      <c r="BE485" s="4">
        <v>1244</v>
      </c>
      <c r="BF485" s="1">
        <v>769</v>
      </c>
      <c r="BG485" s="1">
        <v>120</v>
      </c>
      <c r="BH485" s="1">
        <v>204</v>
      </c>
      <c r="BI485" s="1">
        <v>36</v>
      </c>
      <c r="BK485" t="s">
        <v>261</v>
      </c>
      <c r="BL485" t="s">
        <v>104</v>
      </c>
    </row>
    <row r="486" spans="1:64" x14ac:dyDescent="0.25">
      <c r="A486" t="s">
        <v>3542</v>
      </c>
      <c r="B486" t="s">
        <v>3543</v>
      </c>
      <c r="C486" s="4">
        <f>(AA486*(H486*0.9))*12</f>
        <v>3162240</v>
      </c>
      <c r="D486" s="4">
        <f>IF(C486=0,"",(H486*150*12)+C486)</f>
        <v>3507840</v>
      </c>
      <c r="E486" s="4">
        <f>IFERROR(D486*0.5,"")</f>
        <v>1753920</v>
      </c>
      <c r="F486" s="4">
        <f>IFERROR(E486/0.06,"")</f>
        <v>29232000</v>
      </c>
      <c r="G486" s="4">
        <f>IFERROR(F486/H486,"")</f>
        <v>152250</v>
      </c>
      <c r="H486" s="1">
        <v>192</v>
      </c>
      <c r="I486" s="1">
        <v>2000</v>
      </c>
      <c r="J486" t="s">
        <v>64</v>
      </c>
      <c r="K486" t="s">
        <v>110</v>
      </c>
      <c r="L486" t="s">
        <v>3544</v>
      </c>
      <c r="M486" t="s">
        <v>3545</v>
      </c>
      <c r="N486" t="s">
        <v>3546</v>
      </c>
      <c r="O486" t="s">
        <v>3544</v>
      </c>
      <c r="P486" s="1">
        <v>4</v>
      </c>
      <c r="Q486" t="s">
        <v>91</v>
      </c>
      <c r="R486" t="s">
        <v>70</v>
      </c>
      <c r="S486" t="s">
        <v>71</v>
      </c>
      <c r="U486" t="s">
        <v>72</v>
      </c>
      <c r="V486" t="s">
        <v>531</v>
      </c>
      <c r="W486" t="s">
        <v>74</v>
      </c>
      <c r="X486" t="s">
        <v>3547</v>
      </c>
      <c r="Y486" s="2">
        <v>999</v>
      </c>
      <c r="Z486" s="3">
        <v>1.53</v>
      </c>
      <c r="AA486" s="4">
        <v>1525</v>
      </c>
      <c r="AK486" s="5">
        <v>18.229199999999999</v>
      </c>
      <c r="AN486" s="1">
        <v>3</v>
      </c>
      <c r="AO486" t="s">
        <v>81</v>
      </c>
      <c r="AP486" t="s">
        <v>82</v>
      </c>
      <c r="AQ486" t="s">
        <v>83</v>
      </c>
      <c r="AR486" s="3">
        <v>1.47</v>
      </c>
      <c r="AS486" s="4">
        <v>1602</v>
      </c>
      <c r="AT486" s="1">
        <v>1091</v>
      </c>
      <c r="AU486" s="3">
        <v>1.65</v>
      </c>
      <c r="AV486" s="4">
        <v>2082</v>
      </c>
      <c r="AW486" s="1">
        <v>1258</v>
      </c>
      <c r="AX486" s="3">
        <v>0</v>
      </c>
      <c r="BB486" t="s">
        <v>84</v>
      </c>
      <c r="BD486" s="3">
        <v>1.6</v>
      </c>
      <c r="BE486" s="4">
        <v>1247</v>
      </c>
      <c r="BF486" s="1">
        <v>779</v>
      </c>
      <c r="BG486" s="1">
        <v>66</v>
      </c>
      <c r="BH486" s="1">
        <v>108</v>
      </c>
      <c r="BI486" s="1">
        <v>18</v>
      </c>
      <c r="BK486" t="s">
        <v>3548</v>
      </c>
      <c r="BL486" t="s">
        <v>104</v>
      </c>
    </row>
    <row r="487" spans="1:64" x14ac:dyDescent="0.25">
      <c r="A487" t="s">
        <v>3987</v>
      </c>
      <c r="B487" t="s">
        <v>3988</v>
      </c>
      <c r="C487" s="4">
        <f>(AA487*(H487*0.9))*12</f>
        <v>4150440</v>
      </c>
      <c r="D487" s="4">
        <f>IF(C487=0,"",(H487*150*12)+C487)</f>
        <v>4604040</v>
      </c>
      <c r="E487" s="4">
        <f>IFERROR(D487*0.5,"")</f>
        <v>2302020</v>
      </c>
      <c r="F487" s="4">
        <f>IFERROR(E487/0.06,"")</f>
        <v>38367000</v>
      </c>
      <c r="G487" s="4">
        <f>IFERROR(F487/H487,"")</f>
        <v>152250</v>
      </c>
      <c r="H487" s="1">
        <v>252</v>
      </c>
      <c r="I487" s="1">
        <v>1998</v>
      </c>
      <c r="J487" t="s">
        <v>64</v>
      </c>
      <c r="K487" t="s">
        <v>841</v>
      </c>
      <c r="L487" t="s">
        <v>3989</v>
      </c>
      <c r="M487" t="s">
        <v>3990</v>
      </c>
      <c r="N487" t="s">
        <v>3991</v>
      </c>
      <c r="O487" t="s">
        <v>3989</v>
      </c>
      <c r="P487" s="1">
        <v>3</v>
      </c>
      <c r="Q487" t="s">
        <v>91</v>
      </c>
      <c r="R487" t="s">
        <v>70</v>
      </c>
      <c r="S487" t="s">
        <v>71</v>
      </c>
      <c r="U487" t="s">
        <v>72</v>
      </c>
      <c r="V487" t="s">
        <v>841</v>
      </c>
      <c r="W487" t="s">
        <v>74</v>
      </c>
      <c r="X487" t="s">
        <v>3992</v>
      </c>
      <c r="Y487" s="2">
        <v>984</v>
      </c>
      <c r="Z487" s="3">
        <v>1.55</v>
      </c>
      <c r="AA487" s="4">
        <v>1525</v>
      </c>
      <c r="AK487" s="5">
        <v>9.5237999999999996</v>
      </c>
      <c r="AN487" s="1">
        <v>2</v>
      </c>
      <c r="AO487" t="s">
        <v>81</v>
      </c>
      <c r="AP487" t="s">
        <v>82</v>
      </c>
      <c r="AQ487" t="s">
        <v>83</v>
      </c>
      <c r="AR487" s="3">
        <v>1.52</v>
      </c>
      <c r="AS487" s="4">
        <v>1731</v>
      </c>
      <c r="AT487" s="1">
        <v>1141</v>
      </c>
      <c r="AU487" s="3">
        <v>1.46</v>
      </c>
      <c r="AV487" s="4">
        <v>2026</v>
      </c>
      <c r="AW487" s="1">
        <v>1385</v>
      </c>
      <c r="AX487" s="3">
        <v>549557.43999999994</v>
      </c>
      <c r="BB487" t="s">
        <v>84</v>
      </c>
      <c r="BD487" s="3">
        <v>1.59</v>
      </c>
      <c r="BE487" s="4">
        <v>1339</v>
      </c>
      <c r="BF487" s="1">
        <v>841</v>
      </c>
      <c r="BG487" s="1">
        <v>144</v>
      </c>
      <c r="BH487" s="1">
        <v>92</v>
      </c>
      <c r="BI487" s="1">
        <v>16</v>
      </c>
      <c r="BK487" t="s">
        <v>592</v>
      </c>
      <c r="BL487" t="s">
        <v>104</v>
      </c>
    </row>
    <row r="488" spans="1:64" x14ac:dyDescent="0.25">
      <c r="A488" t="s">
        <v>4162</v>
      </c>
      <c r="B488" t="s">
        <v>4163</v>
      </c>
      <c r="C488" s="4">
        <f>(AA488*(H488*0.9))*12</f>
        <v>6192720.0000000009</v>
      </c>
      <c r="D488" s="4">
        <f>IF(C488=0,"",(H488*150*12)+C488)</f>
        <v>6869520.0000000009</v>
      </c>
      <c r="E488" s="4">
        <f>IFERROR(D488*0.5,"")</f>
        <v>3434760.0000000005</v>
      </c>
      <c r="F488" s="4">
        <f>IFERROR(E488/0.06,"")</f>
        <v>57246000.000000007</v>
      </c>
      <c r="G488" s="4">
        <f>IFERROR(F488/H488,"")</f>
        <v>152250.00000000003</v>
      </c>
      <c r="H488" s="1">
        <v>376</v>
      </c>
      <c r="I488" s="1">
        <v>1999</v>
      </c>
      <c r="J488" t="s">
        <v>64</v>
      </c>
      <c r="K488" t="s">
        <v>841</v>
      </c>
      <c r="L488" t="s">
        <v>4164</v>
      </c>
      <c r="M488" t="s">
        <v>4165</v>
      </c>
      <c r="N488" t="s">
        <v>4166</v>
      </c>
      <c r="O488" t="s">
        <v>4164</v>
      </c>
      <c r="P488" s="1">
        <v>4</v>
      </c>
      <c r="Q488" t="s">
        <v>729</v>
      </c>
      <c r="R488" t="s">
        <v>70</v>
      </c>
      <c r="S488" t="s">
        <v>71</v>
      </c>
      <c r="U488" t="s">
        <v>72</v>
      </c>
      <c r="V488" t="s">
        <v>841</v>
      </c>
      <c r="W488" t="s">
        <v>74</v>
      </c>
      <c r="X488" t="s">
        <v>4167</v>
      </c>
      <c r="Y488" s="2">
        <v>992</v>
      </c>
      <c r="Z488" s="3">
        <v>1.54</v>
      </c>
      <c r="AA488" s="4">
        <v>1525</v>
      </c>
      <c r="AK488" s="5">
        <v>1.0638000000000001</v>
      </c>
      <c r="AN488" s="1">
        <v>3</v>
      </c>
      <c r="AO488" t="s">
        <v>81</v>
      </c>
      <c r="AP488" t="s">
        <v>82</v>
      </c>
      <c r="AQ488" t="s">
        <v>83</v>
      </c>
      <c r="AR488" s="3">
        <v>1.57</v>
      </c>
      <c r="AS488" s="4">
        <v>1698</v>
      </c>
      <c r="AT488" s="1">
        <v>1081</v>
      </c>
      <c r="AU488" s="3">
        <v>1.41</v>
      </c>
      <c r="AV488" s="4">
        <v>2097</v>
      </c>
      <c r="AW488" s="1">
        <v>1492</v>
      </c>
      <c r="AX488" s="3">
        <v>1130948.99</v>
      </c>
      <c r="BB488" t="s">
        <v>84</v>
      </c>
      <c r="BD488" s="3">
        <v>1.53</v>
      </c>
      <c r="BE488" s="4">
        <v>1186</v>
      </c>
      <c r="BF488" s="1">
        <v>776</v>
      </c>
      <c r="BG488" s="1">
        <v>152</v>
      </c>
      <c r="BH488" s="1">
        <v>192</v>
      </c>
      <c r="BI488" s="1">
        <v>32</v>
      </c>
      <c r="BK488" t="s">
        <v>1739</v>
      </c>
      <c r="BL488" t="s">
        <v>104</v>
      </c>
    </row>
    <row r="489" spans="1:64" x14ac:dyDescent="0.25">
      <c r="A489" t="s">
        <v>3781</v>
      </c>
      <c r="B489" t="s">
        <v>3782</v>
      </c>
      <c r="C489" s="4">
        <f>(AA489*(H489*0.9))*12</f>
        <v>7185628.8000000007</v>
      </c>
      <c r="D489" s="4">
        <f>IF(C489=0,"",(H489*150*12)+C489)</f>
        <v>7970428.8000000007</v>
      </c>
      <c r="E489" s="4">
        <f>IFERROR(D489*0.5,"")</f>
        <v>3985214.4000000004</v>
      </c>
      <c r="F489" s="4">
        <f>IFERROR(E489/0.06,"")</f>
        <v>66420240.000000007</v>
      </c>
      <c r="G489" s="4">
        <f>IFERROR(F489/H489,"")</f>
        <v>152340.00000000003</v>
      </c>
      <c r="H489" s="1">
        <v>436</v>
      </c>
      <c r="I489" s="1">
        <v>1999</v>
      </c>
      <c r="J489" t="s">
        <v>64</v>
      </c>
      <c r="K489" t="s">
        <v>198</v>
      </c>
      <c r="L489" t="s">
        <v>3783</v>
      </c>
      <c r="M489" t="s">
        <v>3784</v>
      </c>
      <c r="N489" t="s">
        <v>3785</v>
      </c>
      <c r="O489" t="s">
        <v>3783</v>
      </c>
      <c r="P489" s="1">
        <v>4</v>
      </c>
      <c r="Q489" t="s">
        <v>91</v>
      </c>
      <c r="R489" t="s">
        <v>70</v>
      </c>
      <c r="S489" t="s">
        <v>71</v>
      </c>
      <c r="U489" t="s">
        <v>72</v>
      </c>
      <c r="V489" t="s">
        <v>531</v>
      </c>
      <c r="W489" t="s">
        <v>74</v>
      </c>
      <c r="X489" t="s">
        <v>3786</v>
      </c>
      <c r="Y489" s="2">
        <v>996</v>
      </c>
      <c r="Z489" s="3">
        <v>1.53</v>
      </c>
      <c r="AA489" s="4">
        <v>1526</v>
      </c>
      <c r="AK489" s="5">
        <v>8.2568999999999999</v>
      </c>
      <c r="AN489" s="1">
        <v>2</v>
      </c>
      <c r="AO489" t="s">
        <v>81</v>
      </c>
      <c r="AP489" t="s">
        <v>82</v>
      </c>
      <c r="AQ489" t="s">
        <v>83</v>
      </c>
      <c r="AR489" s="3">
        <v>1.55</v>
      </c>
      <c r="AS489" s="4">
        <v>1766</v>
      </c>
      <c r="AT489" s="1">
        <v>1142</v>
      </c>
      <c r="AU489" s="3">
        <v>1.51</v>
      </c>
      <c r="AV489" s="4">
        <v>2192</v>
      </c>
      <c r="AW489" s="1">
        <v>1454</v>
      </c>
      <c r="AX489" s="3">
        <v>1260695.1000000001</v>
      </c>
      <c r="BB489" t="s">
        <v>84</v>
      </c>
      <c r="BD489" s="3">
        <v>1.53</v>
      </c>
      <c r="BE489" s="4">
        <v>1237</v>
      </c>
      <c r="BF489" s="1">
        <v>809</v>
      </c>
      <c r="BG489" s="1">
        <v>224</v>
      </c>
      <c r="BH489" s="1">
        <v>176</v>
      </c>
      <c r="BI489" s="1">
        <v>36</v>
      </c>
      <c r="BK489" t="s">
        <v>1657</v>
      </c>
      <c r="BL489" t="s">
        <v>104</v>
      </c>
    </row>
    <row r="490" spans="1:64" x14ac:dyDescent="0.25">
      <c r="A490" t="s">
        <v>162</v>
      </c>
      <c r="B490" t="s">
        <v>163</v>
      </c>
      <c r="C490" s="4">
        <f>(AA490*(H490*0.9))*12</f>
        <v>1154412</v>
      </c>
      <c r="D490" s="4">
        <f>IF(C490=0,"",(H490*150*12)+C490)</f>
        <v>1280412</v>
      </c>
      <c r="E490" s="4">
        <f>IFERROR(D490*0.5,"")</f>
        <v>640206</v>
      </c>
      <c r="F490" s="4">
        <f>IFERROR(E490/0.06,"")</f>
        <v>10670100</v>
      </c>
      <c r="G490" s="4">
        <f>IFERROR(F490/H490,"")</f>
        <v>152430</v>
      </c>
      <c r="H490" s="1">
        <v>70</v>
      </c>
      <c r="I490" s="1">
        <v>1985</v>
      </c>
      <c r="J490" t="s">
        <v>64</v>
      </c>
      <c r="K490" t="s">
        <v>140</v>
      </c>
      <c r="M490" t="s">
        <v>164</v>
      </c>
      <c r="P490" s="1">
        <v>3</v>
      </c>
      <c r="Q490" t="s">
        <v>91</v>
      </c>
      <c r="R490" t="s">
        <v>70</v>
      </c>
      <c r="S490" t="s">
        <v>71</v>
      </c>
      <c r="U490" t="s">
        <v>72</v>
      </c>
      <c r="V490" t="s">
        <v>140</v>
      </c>
      <c r="W490" t="s">
        <v>74</v>
      </c>
      <c r="X490" t="s">
        <v>165</v>
      </c>
      <c r="Y490" s="2">
        <v>769</v>
      </c>
      <c r="Z490" s="3">
        <v>1.98</v>
      </c>
      <c r="AA490" s="4">
        <v>1527</v>
      </c>
      <c r="AK490" s="5">
        <v>1.4286000000000001</v>
      </c>
      <c r="AN490" s="1">
        <v>2</v>
      </c>
      <c r="AO490" t="s">
        <v>81</v>
      </c>
      <c r="AP490" t="s">
        <v>82</v>
      </c>
      <c r="AQ490" t="s">
        <v>83</v>
      </c>
      <c r="AR490" s="3">
        <v>1.81</v>
      </c>
      <c r="AS490" s="4">
        <v>1594</v>
      </c>
      <c r="AT490" s="1">
        <v>879</v>
      </c>
      <c r="AX490" s="3">
        <v>117015.64</v>
      </c>
      <c r="AZ490" s="4">
        <v>2011</v>
      </c>
      <c r="BB490" t="s">
        <v>84</v>
      </c>
      <c r="BD490" s="3">
        <v>2.25</v>
      </c>
      <c r="BE490" s="4">
        <v>1428</v>
      </c>
      <c r="BF490" s="1">
        <v>635</v>
      </c>
      <c r="BG490" s="1">
        <v>31</v>
      </c>
      <c r="BH490" s="1">
        <v>38</v>
      </c>
    </row>
    <row r="491" spans="1:64" x14ac:dyDescent="0.25">
      <c r="A491" t="s">
        <v>2415</v>
      </c>
      <c r="B491" t="s">
        <v>2416</v>
      </c>
      <c r="C491" s="4">
        <f>(AA491*(H491*0.9))*12</f>
        <v>8162856</v>
      </c>
      <c r="D491" s="4">
        <f>IF(C491=0,"",(H491*150*12)+C491)</f>
        <v>9052056</v>
      </c>
      <c r="E491" s="4">
        <f>IFERROR(D491*0.5,"")</f>
        <v>4526028</v>
      </c>
      <c r="F491" s="4">
        <f>IFERROR(E491/0.06,"")</f>
        <v>75433800</v>
      </c>
      <c r="G491" s="4">
        <f>IFERROR(F491/H491,"")</f>
        <v>152700</v>
      </c>
      <c r="H491" s="1">
        <v>494</v>
      </c>
      <c r="I491" s="1">
        <v>1999</v>
      </c>
      <c r="J491" t="s">
        <v>64</v>
      </c>
      <c r="K491" t="s">
        <v>228</v>
      </c>
      <c r="L491" t="s">
        <v>801</v>
      </c>
      <c r="M491" t="s">
        <v>2417</v>
      </c>
      <c r="N491" t="s">
        <v>2418</v>
      </c>
      <c r="O491" t="s">
        <v>801</v>
      </c>
      <c r="P491" s="1">
        <v>3</v>
      </c>
      <c r="Q491" t="s">
        <v>91</v>
      </c>
      <c r="R491" t="s">
        <v>70</v>
      </c>
      <c r="S491" t="s">
        <v>71</v>
      </c>
      <c r="U491" t="s">
        <v>72</v>
      </c>
      <c r="V491" t="s">
        <v>1862</v>
      </c>
      <c r="W491" t="s">
        <v>74</v>
      </c>
      <c r="X491" t="s">
        <v>1485</v>
      </c>
      <c r="Y491" s="2">
        <v>902</v>
      </c>
      <c r="Z491" s="3">
        <v>1.69</v>
      </c>
      <c r="AA491" s="4">
        <v>1530</v>
      </c>
      <c r="AK491" s="5">
        <v>4.0486000000000004</v>
      </c>
      <c r="AN491" s="1">
        <v>2</v>
      </c>
      <c r="AO491" t="s">
        <v>81</v>
      </c>
      <c r="AP491" t="s">
        <v>82</v>
      </c>
      <c r="AQ491" t="s">
        <v>83</v>
      </c>
      <c r="AR491" s="3">
        <v>1.58</v>
      </c>
      <c r="AS491" s="4">
        <v>1607</v>
      </c>
      <c r="AT491" s="1">
        <v>1018</v>
      </c>
      <c r="AU491" s="3">
        <v>1.69</v>
      </c>
      <c r="AV491" s="4">
        <v>2138</v>
      </c>
      <c r="AW491" s="1">
        <v>1263</v>
      </c>
      <c r="AX491" s="3">
        <v>466474.86</v>
      </c>
      <c r="BB491" t="s">
        <v>84</v>
      </c>
      <c r="BD491" s="3">
        <v>1.83</v>
      </c>
      <c r="BE491" s="4">
        <v>1382</v>
      </c>
      <c r="BF491" s="1">
        <v>753</v>
      </c>
      <c r="BG491" s="1">
        <v>245</v>
      </c>
      <c r="BH491" s="1">
        <v>217</v>
      </c>
      <c r="BI491" s="1">
        <v>32</v>
      </c>
    </row>
    <row r="492" spans="1:64" x14ac:dyDescent="0.25">
      <c r="A492" t="s">
        <v>768</v>
      </c>
      <c r="B492" t="s">
        <v>769</v>
      </c>
      <c r="C492" s="4">
        <f>(AA492*(H492*0.9))*12</f>
        <v>2087467.2000000002</v>
      </c>
      <c r="D492" s="4">
        <f>IF(C492=0,"",(H492*150*12)+C492)</f>
        <v>2314267.2000000002</v>
      </c>
      <c r="E492" s="4">
        <f>IFERROR(D492*0.5,"")</f>
        <v>1157133.6000000001</v>
      </c>
      <c r="F492" s="4">
        <f>IFERROR(E492/0.06,"")</f>
        <v>19285560.000000004</v>
      </c>
      <c r="G492" s="4">
        <f>IFERROR(F492/H492,"")</f>
        <v>153060.00000000003</v>
      </c>
      <c r="H492" s="1">
        <v>126</v>
      </c>
      <c r="I492" s="1">
        <v>1985</v>
      </c>
      <c r="J492" t="s">
        <v>64</v>
      </c>
      <c r="K492" t="s">
        <v>198</v>
      </c>
      <c r="L492" t="s">
        <v>770</v>
      </c>
      <c r="M492" t="s">
        <v>771</v>
      </c>
      <c r="N492" t="s">
        <v>772</v>
      </c>
      <c r="O492" t="s">
        <v>770</v>
      </c>
      <c r="P492" s="1">
        <v>3</v>
      </c>
      <c r="Q492" t="s">
        <v>69</v>
      </c>
      <c r="R492" t="s">
        <v>70</v>
      </c>
      <c r="S492" t="s">
        <v>71</v>
      </c>
      <c r="U492" t="s">
        <v>72</v>
      </c>
      <c r="V492" t="s">
        <v>110</v>
      </c>
      <c r="W492" t="s">
        <v>74</v>
      </c>
      <c r="X492" t="s">
        <v>773</v>
      </c>
      <c r="Y492" s="2">
        <v>948</v>
      </c>
      <c r="Z492" s="3">
        <v>1.62</v>
      </c>
      <c r="AA492" s="4">
        <v>1534</v>
      </c>
      <c r="AN492" s="1">
        <v>2</v>
      </c>
      <c r="AO492" t="s">
        <v>81</v>
      </c>
      <c r="AP492" t="s">
        <v>82</v>
      </c>
      <c r="AQ492" t="s">
        <v>83</v>
      </c>
      <c r="AR492" s="3">
        <v>1.55</v>
      </c>
      <c r="AS492" s="4">
        <v>1603</v>
      </c>
      <c r="AT492" s="1">
        <v>1035</v>
      </c>
      <c r="AX492" s="3">
        <v>383569.29</v>
      </c>
      <c r="BB492" t="s">
        <v>84</v>
      </c>
      <c r="BD492" s="3">
        <v>1.84</v>
      </c>
      <c r="BE492" s="4">
        <v>1376</v>
      </c>
      <c r="BF492" s="1">
        <v>750</v>
      </c>
      <c r="BG492" s="1">
        <v>38</v>
      </c>
      <c r="BH492" s="1">
        <v>88</v>
      </c>
      <c r="BK492" t="s">
        <v>774</v>
      </c>
      <c r="BL492" t="s">
        <v>104</v>
      </c>
    </row>
    <row r="493" spans="1:64" x14ac:dyDescent="0.25">
      <c r="A493" t="s">
        <v>2641</v>
      </c>
      <c r="B493" t="s">
        <v>2642</v>
      </c>
      <c r="C493" s="4">
        <f>(AA493*(H493*0.9))*12</f>
        <v>3978720</v>
      </c>
      <c r="D493" s="4">
        <f>IF(C493=0,"",(H493*150*12)+C493)</f>
        <v>4410720</v>
      </c>
      <c r="E493" s="4">
        <f>IFERROR(D493*0.5,"")</f>
        <v>2205360</v>
      </c>
      <c r="F493" s="4">
        <f>IFERROR(E493/0.06,"")</f>
        <v>36756000</v>
      </c>
      <c r="G493" s="4">
        <f>IFERROR(F493/H493,"")</f>
        <v>153150</v>
      </c>
      <c r="H493" s="1">
        <v>240</v>
      </c>
      <c r="I493" s="1">
        <v>2000</v>
      </c>
      <c r="J493" t="s">
        <v>64</v>
      </c>
      <c r="K493" t="s">
        <v>228</v>
      </c>
      <c r="L493" t="s">
        <v>2643</v>
      </c>
      <c r="M493" t="s">
        <v>2644</v>
      </c>
      <c r="N493" t="s">
        <v>2645</v>
      </c>
      <c r="O493" t="s">
        <v>2643</v>
      </c>
      <c r="P493" s="1">
        <v>4</v>
      </c>
      <c r="Q493" t="s">
        <v>91</v>
      </c>
      <c r="R493" t="s">
        <v>70</v>
      </c>
      <c r="S493" t="s">
        <v>71</v>
      </c>
      <c r="T493" t="s">
        <v>118</v>
      </c>
      <c r="U493" t="s">
        <v>72</v>
      </c>
      <c r="V493" t="s">
        <v>393</v>
      </c>
      <c r="W493" t="s">
        <v>74</v>
      </c>
      <c r="X493" t="s">
        <v>2646</v>
      </c>
      <c r="Y493" s="2">
        <v>947</v>
      </c>
      <c r="Z493" s="3">
        <v>1.62</v>
      </c>
      <c r="AA493" s="4">
        <v>1535</v>
      </c>
      <c r="AK493" s="5">
        <v>3.3332999999999999</v>
      </c>
      <c r="AN493" s="1">
        <v>2</v>
      </c>
      <c r="AO493" t="s">
        <v>81</v>
      </c>
      <c r="AP493" t="s">
        <v>82</v>
      </c>
      <c r="AQ493" t="s">
        <v>83</v>
      </c>
      <c r="AR493" s="3">
        <v>1.68</v>
      </c>
      <c r="AS493" s="4">
        <v>1705</v>
      </c>
      <c r="AT493" s="1">
        <v>1012</v>
      </c>
      <c r="AX493" s="3">
        <v>374319.65</v>
      </c>
      <c r="BB493" t="s">
        <v>84</v>
      </c>
      <c r="BD493" s="3">
        <v>1.54</v>
      </c>
      <c r="BE493" s="4">
        <v>1364</v>
      </c>
      <c r="BF493" s="1">
        <v>883</v>
      </c>
      <c r="BG493" s="1">
        <v>120</v>
      </c>
      <c r="BH493" s="1">
        <v>120</v>
      </c>
      <c r="BL493" t="s">
        <v>131</v>
      </c>
    </row>
    <row r="494" spans="1:64" x14ac:dyDescent="0.25">
      <c r="A494" t="s">
        <v>1949</v>
      </c>
      <c r="B494" t="s">
        <v>1950</v>
      </c>
      <c r="C494" s="4">
        <f>(AA494*(H494*0.9))*12</f>
        <v>829440</v>
      </c>
      <c r="D494" s="4">
        <f>IF(C494=0,"",(H494*150*12)+C494)</f>
        <v>919440</v>
      </c>
      <c r="E494" s="4">
        <f>IFERROR(D494*0.5,"")</f>
        <v>459720</v>
      </c>
      <c r="F494" s="4">
        <f>IFERROR(E494/0.06,"")</f>
        <v>7662000</v>
      </c>
      <c r="G494" s="4">
        <f>IFERROR(F494/H494,"")</f>
        <v>153240</v>
      </c>
      <c r="H494" s="1">
        <v>50</v>
      </c>
      <c r="I494" s="1">
        <v>1985</v>
      </c>
      <c r="J494" t="s">
        <v>64</v>
      </c>
      <c r="K494" t="s">
        <v>148</v>
      </c>
      <c r="L494" t="s">
        <v>1951</v>
      </c>
      <c r="M494" t="s">
        <v>1952</v>
      </c>
      <c r="N494" t="s">
        <v>1953</v>
      </c>
      <c r="O494" t="s">
        <v>1951</v>
      </c>
      <c r="P494" s="1">
        <v>3</v>
      </c>
      <c r="Q494" t="s">
        <v>69</v>
      </c>
      <c r="R494" t="s">
        <v>70</v>
      </c>
      <c r="S494" t="s">
        <v>71</v>
      </c>
      <c r="U494" t="s">
        <v>72</v>
      </c>
      <c r="V494" t="s">
        <v>152</v>
      </c>
      <c r="W494" t="s">
        <v>74</v>
      </c>
      <c r="X494" t="s">
        <v>1822</v>
      </c>
      <c r="Y494" s="2">
        <v>1500</v>
      </c>
      <c r="Z494" s="3">
        <v>1.02</v>
      </c>
      <c r="AA494" s="4">
        <v>1536</v>
      </c>
      <c r="AK494" s="5">
        <v>4</v>
      </c>
      <c r="AM494" s="1">
        <v>2016</v>
      </c>
      <c r="AN494" s="1">
        <v>2</v>
      </c>
      <c r="AO494" t="s">
        <v>81</v>
      </c>
      <c r="AP494" t="s">
        <v>82</v>
      </c>
      <c r="AQ494" t="s">
        <v>83</v>
      </c>
      <c r="AR494" s="3">
        <v>1.02</v>
      </c>
      <c r="AS494" s="4">
        <v>1536</v>
      </c>
      <c r="AT494" s="1">
        <v>1500</v>
      </c>
      <c r="AX494" s="3">
        <v>195666.34</v>
      </c>
      <c r="BB494" t="s">
        <v>84</v>
      </c>
      <c r="BH494" s="1">
        <v>50</v>
      </c>
    </row>
    <row r="495" spans="1:64" x14ac:dyDescent="0.25">
      <c r="A495" t="s">
        <v>3843</v>
      </c>
      <c r="B495" t="s">
        <v>3844</v>
      </c>
      <c r="C495" s="4">
        <f>(AA495*(H495*0.9))*12</f>
        <v>6976368</v>
      </c>
      <c r="D495" s="4">
        <f>IF(C495=0,"",(H495*150*12)+C495)</f>
        <v>7732368</v>
      </c>
      <c r="E495" s="4">
        <f>IFERROR(D495*0.5,"")</f>
        <v>3866184</v>
      </c>
      <c r="F495" s="4">
        <f>IFERROR(E495/0.06,"")</f>
        <v>64436400</v>
      </c>
      <c r="G495" s="4">
        <f>IFERROR(F495/H495,"")</f>
        <v>153420</v>
      </c>
      <c r="H495" s="1">
        <v>420</v>
      </c>
      <c r="I495" s="1">
        <v>1997</v>
      </c>
      <c r="J495" t="s">
        <v>64</v>
      </c>
      <c r="K495" t="s">
        <v>228</v>
      </c>
      <c r="L495" t="s">
        <v>2819</v>
      </c>
      <c r="M495" t="s">
        <v>3845</v>
      </c>
      <c r="N495" t="s">
        <v>3335</v>
      </c>
      <c r="O495" t="s">
        <v>2819</v>
      </c>
      <c r="P495" s="1">
        <v>3</v>
      </c>
      <c r="Q495" t="s">
        <v>91</v>
      </c>
      <c r="R495" t="s">
        <v>70</v>
      </c>
      <c r="S495" t="s">
        <v>71</v>
      </c>
      <c r="U495" t="s">
        <v>72</v>
      </c>
      <c r="V495" t="s">
        <v>152</v>
      </c>
      <c r="W495" t="s">
        <v>74</v>
      </c>
      <c r="X495" t="s">
        <v>3846</v>
      </c>
      <c r="Y495" s="2">
        <v>1033</v>
      </c>
      <c r="Z495" s="3">
        <v>1.49</v>
      </c>
      <c r="AA495" s="4">
        <v>1538</v>
      </c>
      <c r="AK495" s="5">
        <v>11.9048</v>
      </c>
      <c r="AN495" s="1">
        <v>3</v>
      </c>
      <c r="AO495" t="s">
        <v>81</v>
      </c>
      <c r="AP495" t="s">
        <v>82</v>
      </c>
      <c r="AQ495" t="s">
        <v>83</v>
      </c>
      <c r="AR495" s="3">
        <v>1.42</v>
      </c>
      <c r="AS495" s="4">
        <v>1538</v>
      </c>
      <c r="AT495" s="1">
        <v>1082</v>
      </c>
      <c r="AU495" s="3">
        <v>1.43</v>
      </c>
      <c r="AV495" s="4">
        <v>1893</v>
      </c>
      <c r="AW495" s="1">
        <v>1327</v>
      </c>
      <c r="AX495" s="3">
        <v>1766987.04</v>
      </c>
      <c r="AY495" s="3">
        <v>2.31</v>
      </c>
      <c r="AZ495" s="4">
        <v>1200</v>
      </c>
      <c r="BA495" s="6">
        <v>519</v>
      </c>
      <c r="BB495" t="s">
        <v>84</v>
      </c>
      <c r="BD495" s="3">
        <v>1.7</v>
      </c>
      <c r="BE495" s="4">
        <v>1292</v>
      </c>
      <c r="BF495" s="1">
        <v>758</v>
      </c>
      <c r="BG495" s="1">
        <v>95</v>
      </c>
      <c r="BH495" s="1">
        <v>226</v>
      </c>
      <c r="BI495" s="1">
        <v>82</v>
      </c>
      <c r="BL495" t="s">
        <v>131</v>
      </c>
    </row>
    <row r="496" spans="1:64" x14ac:dyDescent="0.25">
      <c r="A496" t="s">
        <v>1496</v>
      </c>
      <c r="B496" t="s">
        <v>1497</v>
      </c>
      <c r="C496" s="4">
        <f>(AA496*(H496*0.9))*12</f>
        <v>3438352.8000000003</v>
      </c>
      <c r="D496" s="4">
        <f>IF(C496=0,"",(H496*150*12)+C496)</f>
        <v>3810952.8000000003</v>
      </c>
      <c r="E496" s="4">
        <f>IFERROR(D496*0.5,"")</f>
        <v>1905476.4000000001</v>
      </c>
      <c r="F496" s="4">
        <f>IFERROR(E496/0.06,"")</f>
        <v>31757940.000000004</v>
      </c>
      <c r="G496" s="4">
        <f>IFERROR(F496/H496,"")</f>
        <v>153420.00000000003</v>
      </c>
      <c r="H496" s="1">
        <v>207</v>
      </c>
      <c r="I496" s="1">
        <v>1988</v>
      </c>
      <c r="J496" t="s">
        <v>64</v>
      </c>
      <c r="K496" t="s">
        <v>1498</v>
      </c>
      <c r="L496" t="s">
        <v>1499</v>
      </c>
      <c r="M496" t="s">
        <v>1500</v>
      </c>
      <c r="N496" t="s">
        <v>1501</v>
      </c>
      <c r="O496" t="s">
        <v>1499</v>
      </c>
      <c r="P496" s="1">
        <v>3</v>
      </c>
      <c r="Q496" t="s">
        <v>91</v>
      </c>
      <c r="R496" t="s">
        <v>70</v>
      </c>
      <c r="S496" t="s">
        <v>71</v>
      </c>
      <c r="U496" t="s">
        <v>72</v>
      </c>
      <c r="V496" t="s">
        <v>73</v>
      </c>
      <c r="W496" t="s">
        <v>74</v>
      </c>
      <c r="X496" t="s">
        <v>1502</v>
      </c>
      <c r="Y496" s="2">
        <v>670</v>
      </c>
      <c r="Z496" s="3">
        <v>2.2999999999999998</v>
      </c>
      <c r="AA496" s="4">
        <v>1538</v>
      </c>
      <c r="AK496" s="5">
        <v>5.3140000000000001</v>
      </c>
      <c r="AN496" s="1">
        <v>3</v>
      </c>
      <c r="AO496" t="s">
        <v>81</v>
      </c>
      <c r="AP496" t="s">
        <v>82</v>
      </c>
      <c r="AQ496" t="s">
        <v>83</v>
      </c>
      <c r="AR496" s="3">
        <v>1.75</v>
      </c>
      <c r="AS496" s="4">
        <v>2085</v>
      </c>
      <c r="AT496" s="1">
        <v>1192</v>
      </c>
      <c r="AX496" s="3">
        <v>564345.06999999995</v>
      </c>
      <c r="BB496" t="s">
        <v>84</v>
      </c>
      <c r="BD496" s="3">
        <v>2.4500000000000002</v>
      </c>
      <c r="BE496" s="4">
        <v>1460</v>
      </c>
      <c r="BF496" s="1">
        <v>595</v>
      </c>
      <c r="BG496" s="1">
        <v>181</v>
      </c>
      <c r="BH496" s="1">
        <v>26</v>
      </c>
    </row>
    <row r="497" spans="1:67" x14ac:dyDescent="0.25">
      <c r="A497" t="s">
        <v>3437</v>
      </c>
      <c r="B497" t="s">
        <v>3438</v>
      </c>
      <c r="C497" s="4">
        <f>(AA497*(H497*0.9))*12</f>
        <v>7507900.8000000007</v>
      </c>
      <c r="D497" s="4">
        <f>IF(C497=0,"",(H497*150*12)+C497)</f>
        <v>8321500.8000000007</v>
      </c>
      <c r="E497" s="4">
        <f>IFERROR(D497*0.5,"")</f>
        <v>4160750.4000000004</v>
      </c>
      <c r="F497" s="4">
        <f>IFERROR(E497/0.06,"")</f>
        <v>69345840.000000015</v>
      </c>
      <c r="G497" s="4">
        <f>IFERROR(F497/H497,"")</f>
        <v>153420.00000000003</v>
      </c>
      <c r="H497" s="1">
        <v>452</v>
      </c>
      <c r="I497" s="1">
        <v>1998</v>
      </c>
      <c r="J497" t="s">
        <v>64</v>
      </c>
      <c r="K497" t="s">
        <v>1761</v>
      </c>
      <c r="L497" t="s">
        <v>397</v>
      </c>
      <c r="M497" t="s">
        <v>3439</v>
      </c>
      <c r="N497" t="s">
        <v>3440</v>
      </c>
      <c r="O497" t="s">
        <v>397</v>
      </c>
      <c r="P497" s="1">
        <v>5</v>
      </c>
      <c r="Q497" t="s">
        <v>729</v>
      </c>
      <c r="R497" t="s">
        <v>70</v>
      </c>
      <c r="S497" t="s">
        <v>71</v>
      </c>
      <c r="U497" t="s">
        <v>72</v>
      </c>
      <c r="V497" t="s">
        <v>73</v>
      </c>
      <c r="W497" t="s">
        <v>74</v>
      </c>
      <c r="X497" t="s">
        <v>3441</v>
      </c>
      <c r="Y497" s="2">
        <v>916</v>
      </c>
      <c r="Z497" s="3">
        <v>1.68</v>
      </c>
      <c r="AA497" s="4">
        <v>1538</v>
      </c>
      <c r="AK497" s="5">
        <v>14.1593</v>
      </c>
      <c r="AM497" s="1">
        <v>2019</v>
      </c>
      <c r="AN497" s="1">
        <v>4</v>
      </c>
      <c r="AO497" t="s">
        <v>81</v>
      </c>
      <c r="AP497" t="s">
        <v>82</v>
      </c>
      <c r="AQ497" t="s">
        <v>83</v>
      </c>
      <c r="AR497" s="3">
        <v>1.6</v>
      </c>
      <c r="AS497" s="4">
        <v>1841</v>
      </c>
      <c r="AT497" s="1">
        <v>1149</v>
      </c>
      <c r="AU497" s="3">
        <v>1.67</v>
      </c>
      <c r="AV497" s="4">
        <v>2849</v>
      </c>
      <c r="AW497" s="1">
        <v>1711</v>
      </c>
      <c r="AX497" s="3">
        <v>2219196.14</v>
      </c>
      <c r="AY497" s="3">
        <v>2.37</v>
      </c>
      <c r="AZ497" s="4">
        <v>1162</v>
      </c>
      <c r="BA497" s="6">
        <v>491</v>
      </c>
      <c r="BB497" t="s">
        <v>84</v>
      </c>
      <c r="BD497" s="3">
        <v>1.71</v>
      </c>
      <c r="BE497" s="4">
        <v>1347</v>
      </c>
      <c r="BF497" s="1">
        <v>787</v>
      </c>
      <c r="BG497" s="1">
        <v>268</v>
      </c>
      <c r="BH497" s="1">
        <v>146</v>
      </c>
      <c r="BI497" s="1">
        <v>14</v>
      </c>
      <c r="BK497" t="s">
        <v>679</v>
      </c>
      <c r="BL497" t="s">
        <v>104</v>
      </c>
    </row>
    <row r="498" spans="1:67" x14ac:dyDescent="0.25">
      <c r="A498" t="s">
        <v>3125</v>
      </c>
      <c r="B498" t="s">
        <v>3126</v>
      </c>
      <c r="C498" s="4">
        <f>(AA498*(H498*0.9))*12</f>
        <v>2395008</v>
      </c>
      <c r="D498" s="4">
        <f>IF(C498=0,"",(H498*150*12)+C498)</f>
        <v>2654208</v>
      </c>
      <c r="E498" s="4">
        <f>IFERROR(D498*0.5,"")</f>
        <v>1327104</v>
      </c>
      <c r="F498" s="4">
        <f>IFERROR(E498/0.06,"")</f>
        <v>22118400</v>
      </c>
      <c r="G498" s="4">
        <f>IFERROR(F498/H498,"")</f>
        <v>153600</v>
      </c>
      <c r="H498" s="1">
        <v>144</v>
      </c>
      <c r="I498" s="1">
        <v>1998</v>
      </c>
      <c r="J498" t="s">
        <v>64</v>
      </c>
      <c r="K498" t="s">
        <v>1147</v>
      </c>
      <c r="L498" t="s">
        <v>229</v>
      </c>
      <c r="M498" t="s">
        <v>3127</v>
      </c>
      <c r="N498" t="s">
        <v>3128</v>
      </c>
      <c r="O498" t="s">
        <v>229</v>
      </c>
      <c r="P498" s="1">
        <v>4</v>
      </c>
      <c r="Q498" t="s">
        <v>91</v>
      </c>
      <c r="R498" t="s">
        <v>70</v>
      </c>
      <c r="S498" t="s">
        <v>71</v>
      </c>
      <c r="U498" t="s">
        <v>72</v>
      </c>
      <c r="V498" t="s">
        <v>73</v>
      </c>
      <c r="W498" t="s">
        <v>74</v>
      </c>
      <c r="X498" t="s">
        <v>3129</v>
      </c>
      <c r="Y498" s="2">
        <v>835</v>
      </c>
      <c r="Z498" s="3">
        <v>1.84</v>
      </c>
      <c r="AA498" s="4">
        <v>1540</v>
      </c>
      <c r="AK498" s="5">
        <v>11.8056</v>
      </c>
      <c r="AM498" s="1">
        <v>2011</v>
      </c>
      <c r="AN498" s="1">
        <v>3</v>
      </c>
      <c r="AO498" t="s">
        <v>81</v>
      </c>
      <c r="AP498" t="s">
        <v>82</v>
      </c>
      <c r="AQ498" t="s">
        <v>83</v>
      </c>
      <c r="AR498" s="3">
        <v>1.75</v>
      </c>
      <c r="AS498" s="4">
        <v>1676</v>
      </c>
      <c r="AT498" s="1">
        <v>959</v>
      </c>
      <c r="AU498" s="3">
        <v>1.56</v>
      </c>
      <c r="AV498" s="4">
        <v>1881</v>
      </c>
      <c r="AW498" s="1">
        <v>1207</v>
      </c>
      <c r="AX498" s="3">
        <v>536407.19999999995</v>
      </c>
      <c r="BB498" t="s">
        <v>84</v>
      </c>
      <c r="BD498" s="3">
        <v>2.02</v>
      </c>
      <c r="BE498" s="4">
        <v>1399</v>
      </c>
      <c r="BF498" s="1">
        <v>693</v>
      </c>
      <c r="BG498" s="1">
        <v>84</v>
      </c>
      <c r="BH498" s="1">
        <v>42</v>
      </c>
      <c r="BI498" s="1">
        <v>18</v>
      </c>
      <c r="BK498" t="s">
        <v>3130</v>
      </c>
      <c r="BL498" t="s">
        <v>365</v>
      </c>
    </row>
    <row r="499" spans="1:67" x14ac:dyDescent="0.25">
      <c r="A499" t="s">
        <v>4035</v>
      </c>
      <c r="B499" t="s">
        <v>4036</v>
      </c>
      <c r="C499" s="4">
        <f>(AA499*(H499*0.9))*12</f>
        <v>2396563.1999999997</v>
      </c>
      <c r="D499" s="4">
        <f>IF(C499=0,"",(H499*150*12)+C499)</f>
        <v>2655763.1999999997</v>
      </c>
      <c r="E499" s="4">
        <f>IFERROR(D499*0.5,"")</f>
        <v>1327881.5999999999</v>
      </c>
      <c r="F499" s="4">
        <f>IFERROR(E499/0.06,"")</f>
        <v>22131360</v>
      </c>
      <c r="G499" s="4">
        <f>IFERROR(F499/H499,"")</f>
        <v>153690</v>
      </c>
      <c r="H499" s="1">
        <v>144</v>
      </c>
      <c r="I499" s="1">
        <v>1998</v>
      </c>
      <c r="J499" t="s">
        <v>64</v>
      </c>
      <c r="K499" t="s">
        <v>638</v>
      </c>
      <c r="L499" t="s">
        <v>2845</v>
      </c>
      <c r="M499" t="s">
        <v>4037</v>
      </c>
      <c r="N499" t="s">
        <v>4038</v>
      </c>
      <c r="O499" t="s">
        <v>2845</v>
      </c>
      <c r="P499" s="1">
        <v>3</v>
      </c>
      <c r="Q499" t="s">
        <v>91</v>
      </c>
      <c r="R499" t="s">
        <v>70</v>
      </c>
      <c r="S499" t="s">
        <v>71</v>
      </c>
      <c r="U499" t="s">
        <v>72</v>
      </c>
      <c r="V499" t="s">
        <v>2750</v>
      </c>
      <c r="W499" t="s">
        <v>74</v>
      </c>
      <c r="X499" t="s">
        <v>2935</v>
      </c>
      <c r="Y499" s="2">
        <v>914</v>
      </c>
      <c r="Z499" s="3">
        <v>1.68</v>
      </c>
      <c r="AA499" s="4">
        <v>1541</v>
      </c>
      <c r="AK499" s="5">
        <v>4.1666999999999996</v>
      </c>
      <c r="AN499" s="1">
        <v>2</v>
      </c>
      <c r="AO499" t="s">
        <v>81</v>
      </c>
      <c r="AP499" t="s">
        <v>82</v>
      </c>
      <c r="AQ499" t="s">
        <v>83</v>
      </c>
      <c r="AR499" s="3">
        <v>1.67</v>
      </c>
      <c r="AS499" s="4">
        <v>1585</v>
      </c>
      <c r="AT499" s="1">
        <v>947</v>
      </c>
      <c r="AU499" s="3">
        <v>1.48</v>
      </c>
      <c r="AV499" s="4">
        <v>1764</v>
      </c>
      <c r="AW499" s="1">
        <v>1192</v>
      </c>
      <c r="BB499" t="s">
        <v>84</v>
      </c>
      <c r="BD499" s="3">
        <v>1.94</v>
      </c>
      <c r="BE499" s="4">
        <v>1335</v>
      </c>
      <c r="BF499" s="1">
        <v>688</v>
      </c>
      <c r="BG499" s="1">
        <v>48</v>
      </c>
      <c r="BH499" s="1">
        <v>64</v>
      </c>
      <c r="BI499" s="1">
        <v>32</v>
      </c>
      <c r="BK499" t="s">
        <v>4039</v>
      </c>
      <c r="BL499" t="s">
        <v>104</v>
      </c>
    </row>
    <row r="500" spans="1:67" x14ac:dyDescent="0.25">
      <c r="A500" t="s">
        <v>3471</v>
      </c>
      <c r="B500" t="s">
        <v>3472</v>
      </c>
      <c r="C500" s="4">
        <f>(AA500*(H500*0.9))*12</f>
        <v>7389403.2000000011</v>
      </c>
      <c r="D500" s="4">
        <f>IF(C500=0,"",(H500*150*12)+C500)</f>
        <v>8188603.2000000011</v>
      </c>
      <c r="E500" s="4">
        <f>IFERROR(D500*0.5,"")</f>
        <v>4094301.6000000006</v>
      </c>
      <c r="F500" s="4">
        <f>IFERROR(E500/0.06,"")</f>
        <v>68238360.000000015</v>
      </c>
      <c r="G500" s="4">
        <f>IFERROR(F500/H500,"")</f>
        <v>153690.00000000003</v>
      </c>
      <c r="H500" s="1">
        <v>444</v>
      </c>
      <c r="I500" s="1">
        <v>1998</v>
      </c>
      <c r="J500" t="s">
        <v>64</v>
      </c>
      <c r="K500" t="s">
        <v>110</v>
      </c>
      <c r="L500" t="s">
        <v>3473</v>
      </c>
      <c r="M500" t="s">
        <v>3474</v>
      </c>
      <c r="N500" t="s">
        <v>3475</v>
      </c>
      <c r="O500" t="s">
        <v>3473</v>
      </c>
      <c r="P500" s="1">
        <v>4</v>
      </c>
      <c r="Q500" t="s">
        <v>729</v>
      </c>
      <c r="R500" t="s">
        <v>70</v>
      </c>
      <c r="S500" t="s">
        <v>71</v>
      </c>
      <c r="U500" t="s">
        <v>72</v>
      </c>
      <c r="V500" t="s">
        <v>110</v>
      </c>
      <c r="W500" t="s">
        <v>74</v>
      </c>
      <c r="X500" t="s">
        <v>3476</v>
      </c>
      <c r="Y500" s="2">
        <v>1018</v>
      </c>
      <c r="Z500" s="3">
        <v>1.51</v>
      </c>
      <c r="AA500" s="4">
        <v>1541</v>
      </c>
      <c r="AK500" s="5">
        <v>10.1351</v>
      </c>
      <c r="AL500" s="1">
        <v>1</v>
      </c>
      <c r="AM500" s="1">
        <v>2022</v>
      </c>
      <c r="AN500" s="1">
        <v>3</v>
      </c>
      <c r="AO500" t="s">
        <v>81</v>
      </c>
      <c r="AP500" t="s">
        <v>82</v>
      </c>
      <c r="AQ500" t="s">
        <v>83</v>
      </c>
      <c r="AR500" s="3">
        <v>1.4</v>
      </c>
      <c r="AS500" s="4">
        <v>1361</v>
      </c>
      <c r="AT500" s="1">
        <v>972</v>
      </c>
      <c r="AU500" s="3">
        <v>1.53</v>
      </c>
      <c r="AV500" s="4">
        <v>1924</v>
      </c>
      <c r="AW500" s="1">
        <v>1261</v>
      </c>
      <c r="AX500" s="3">
        <v>1602030.14</v>
      </c>
      <c r="BB500" t="s">
        <v>84</v>
      </c>
      <c r="BD500" s="3">
        <v>1.6</v>
      </c>
      <c r="BE500" s="4">
        <v>1090</v>
      </c>
      <c r="BF500" s="1">
        <v>683</v>
      </c>
      <c r="BG500" s="1">
        <v>132</v>
      </c>
      <c r="BH500" s="1">
        <v>132</v>
      </c>
      <c r="BI500" s="1">
        <v>140</v>
      </c>
      <c r="BJ500" s="1">
        <v>40</v>
      </c>
      <c r="BK500" t="s">
        <v>919</v>
      </c>
      <c r="BL500" t="s">
        <v>131</v>
      </c>
      <c r="BM500" s="3">
        <v>1.59</v>
      </c>
      <c r="BN500" s="4">
        <v>2276</v>
      </c>
      <c r="BO500" s="1">
        <v>1433</v>
      </c>
    </row>
    <row r="501" spans="1:67" x14ac:dyDescent="0.25">
      <c r="A501" t="s">
        <v>3777</v>
      </c>
      <c r="B501" t="s">
        <v>3778</v>
      </c>
      <c r="C501" s="4">
        <f>(AA501*(H501*0.9))*12</f>
        <v>5995296</v>
      </c>
      <c r="D501" s="4">
        <f>IF(C501=0,"",(H501*150*12)+C501)</f>
        <v>6643296</v>
      </c>
      <c r="E501" s="4">
        <f>IFERROR(D501*0.5,"")</f>
        <v>3321648</v>
      </c>
      <c r="F501" s="4">
        <f>IFERROR(E501/0.06,"")</f>
        <v>55360800</v>
      </c>
      <c r="G501" s="4">
        <f>IFERROR(F501/H501,"")</f>
        <v>153780</v>
      </c>
      <c r="H501" s="1">
        <v>360</v>
      </c>
      <c r="I501" s="1">
        <v>1999</v>
      </c>
      <c r="J501" t="s">
        <v>64</v>
      </c>
      <c r="K501" t="s">
        <v>814</v>
      </c>
      <c r="L501" t="s">
        <v>3497</v>
      </c>
      <c r="M501" t="s">
        <v>3779</v>
      </c>
      <c r="N501" t="s">
        <v>3780</v>
      </c>
      <c r="O501" t="s">
        <v>3497</v>
      </c>
      <c r="P501" s="1">
        <v>4</v>
      </c>
      <c r="Q501" t="s">
        <v>91</v>
      </c>
      <c r="R501" t="s">
        <v>70</v>
      </c>
      <c r="S501" t="s">
        <v>71</v>
      </c>
      <c r="U501" t="s">
        <v>72</v>
      </c>
      <c r="V501" t="s">
        <v>814</v>
      </c>
      <c r="W501" t="s">
        <v>74</v>
      </c>
      <c r="X501" t="s">
        <v>816</v>
      </c>
      <c r="Y501" s="2">
        <v>850</v>
      </c>
      <c r="Z501" s="3">
        <v>1.81</v>
      </c>
      <c r="AA501" s="4">
        <v>1542</v>
      </c>
      <c r="AK501" s="5">
        <v>5.5556000000000001</v>
      </c>
      <c r="AM501" s="1">
        <v>2016</v>
      </c>
      <c r="AN501" s="1">
        <v>2</v>
      </c>
      <c r="AO501" t="s">
        <v>81</v>
      </c>
      <c r="AP501" t="s">
        <v>82</v>
      </c>
      <c r="AQ501" t="s">
        <v>83</v>
      </c>
      <c r="AR501" s="3">
        <v>1.74</v>
      </c>
      <c r="AS501" s="4">
        <v>1698</v>
      </c>
      <c r="AT501" s="1">
        <v>977</v>
      </c>
      <c r="AU501" s="3">
        <v>1.98</v>
      </c>
      <c r="AV501" s="4">
        <v>2398</v>
      </c>
      <c r="AW501" s="1">
        <v>1210</v>
      </c>
      <c r="AX501" s="3">
        <v>1542112.23</v>
      </c>
      <c r="BB501" t="s">
        <v>84</v>
      </c>
      <c r="BD501" s="3">
        <v>1.88</v>
      </c>
      <c r="BE501" s="4">
        <v>1265</v>
      </c>
      <c r="BF501" s="1">
        <v>673</v>
      </c>
      <c r="BG501" s="1">
        <v>168</v>
      </c>
      <c r="BH501" s="1">
        <v>168</v>
      </c>
      <c r="BI501" s="1">
        <v>24</v>
      </c>
      <c r="BK501" t="s">
        <v>145</v>
      </c>
      <c r="BL501" t="s">
        <v>104</v>
      </c>
    </row>
    <row r="502" spans="1:67" x14ac:dyDescent="0.25">
      <c r="A502" t="s">
        <v>2163</v>
      </c>
      <c r="B502" t="s">
        <v>2164</v>
      </c>
      <c r="C502" s="4">
        <f>(AA502*(H502*0.9))*12</f>
        <v>6403276.8000000007</v>
      </c>
      <c r="D502" s="4">
        <f>IF(C502=0,"",(H502*150*12)+C502)</f>
        <v>7094476.8000000007</v>
      </c>
      <c r="E502" s="4">
        <f>IFERROR(D502*0.5,"")</f>
        <v>3547238.4000000004</v>
      </c>
      <c r="F502" s="4">
        <f>IFERROR(E502/0.06,"")</f>
        <v>59120640.000000007</v>
      </c>
      <c r="G502" s="4">
        <f>IFERROR(F502/H502,"")</f>
        <v>153960.00000000003</v>
      </c>
      <c r="H502" s="1">
        <v>384</v>
      </c>
      <c r="I502" s="1">
        <v>1997</v>
      </c>
      <c r="J502" t="s">
        <v>64</v>
      </c>
      <c r="K502" t="s">
        <v>228</v>
      </c>
      <c r="L502" t="s">
        <v>2165</v>
      </c>
      <c r="M502" t="s">
        <v>2166</v>
      </c>
      <c r="N502" t="s">
        <v>2167</v>
      </c>
      <c r="O502" t="s">
        <v>2165</v>
      </c>
      <c r="P502" s="1">
        <v>4</v>
      </c>
      <c r="Q502" t="s">
        <v>91</v>
      </c>
      <c r="R502" t="s">
        <v>70</v>
      </c>
      <c r="S502" t="s">
        <v>71</v>
      </c>
      <c r="U502" t="s">
        <v>72</v>
      </c>
      <c r="V502" t="s">
        <v>152</v>
      </c>
      <c r="W502" t="s">
        <v>74</v>
      </c>
      <c r="X502" t="s">
        <v>233</v>
      </c>
      <c r="Y502" s="2">
        <v>1000</v>
      </c>
      <c r="Z502" s="3">
        <v>1.54</v>
      </c>
      <c r="AA502" s="4">
        <v>1544</v>
      </c>
      <c r="AK502" s="5">
        <v>5.7291999999999996</v>
      </c>
      <c r="AN502" s="1">
        <v>3</v>
      </c>
      <c r="AO502" t="s">
        <v>81</v>
      </c>
      <c r="AP502" t="s">
        <v>82</v>
      </c>
      <c r="AQ502" t="s">
        <v>83</v>
      </c>
      <c r="AR502" s="3">
        <v>1.41</v>
      </c>
      <c r="AS502" s="4">
        <v>1686</v>
      </c>
      <c r="AT502" s="1">
        <v>1194</v>
      </c>
      <c r="AU502" s="3">
        <v>1.49</v>
      </c>
      <c r="AV502" s="4">
        <v>2074</v>
      </c>
      <c r="AW502" s="1">
        <v>1390</v>
      </c>
      <c r="AX502" s="3">
        <v>1473342</v>
      </c>
      <c r="BB502" t="s">
        <v>84</v>
      </c>
      <c r="BD502" s="3">
        <v>1.72</v>
      </c>
      <c r="BE502" s="4">
        <v>1345</v>
      </c>
      <c r="BF502" s="1">
        <v>782</v>
      </c>
      <c r="BG502" s="1">
        <v>194</v>
      </c>
      <c r="BH502" s="1">
        <v>160</v>
      </c>
      <c r="BI502" s="1">
        <v>30</v>
      </c>
      <c r="BL502" t="s">
        <v>131</v>
      </c>
    </row>
    <row r="503" spans="1:67" x14ac:dyDescent="0.25">
      <c r="A503" t="s">
        <v>3601</v>
      </c>
      <c r="B503" t="s">
        <v>3602</v>
      </c>
      <c r="C503" s="4">
        <f>(AA503*(H503*0.9))*12</f>
        <v>3237084</v>
      </c>
      <c r="D503" s="4">
        <f>IF(C503=0,"",(H503*150*12)+C503)</f>
        <v>3586284</v>
      </c>
      <c r="E503" s="4">
        <f>IFERROR(D503*0.5,"")</f>
        <v>1793142</v>
      </c>
      <c r="F503" s="4">
        <f>IFERROR(E503/0.06,"")</f>
        <v>29885700</v>
      </c>
      <c r="G503" s="4">
        <f>IFERROR(F503/H503,"")</f>
        <v>154050</v>
      </c>
      <c r="H503" s="1">
        <v>194</v>
      </c>
      <c r="I503" s="1">
        <v>1991</v>
      </c>
      <c r="J503" t="s">
        <v>64</v>
      </c>
      <c r="K503" t="s">
        <v>140</v>
      </c>
      <c r="L503" t="s">
        <v>3603</v>
      </c>
      <c r="M503" t="s">
        <v>3604</v>
      </c>
      <c r="N503" t="s">
        <v>3605</v>
      </c>
      <c r="O503" t="s">
        <v>3603</v>
      </c>
      <c r="P503" s="1">
        <v>3</v>
      </c>
      <c r="Q503" t="s">
        <v>91</v>
      </c>
      <c r="R503" t="s">
        <v>70</v>
      </c>
      <c r="S503" t="s">
        <v>71</v>
      </c>
      <c r="U503" t="s">
        <v>72</v>
      </c>
      <c r="V503" t="s">
        <v>140</v>
      </c>
      <c r="W503" t="s">
        <v>74</v>
      </c>
      <c r="X503" t="s">
        <v>3606</v>
      </c>
      <c r="Y503" s="2">
        <v>908</v>
      </c>
      <c r="Z503" s="3">
        <v>1.7</v>
      </c>
      <c r="AA503" s="4">
        <v>1545</v>
      </c>
      <c r="AK503" s="5">
        <v>8.7629000000000001</v>
      </c>
      <c r="AN503" s="1">
        <v>3</v>
      </c>
      <c r="AO503" t="s">
        <v>81</v>
      </c>
      <c r="AP503" t="s">
        <v>82</v>
      </c>
      <c r="AQ503" t="s">
        <v>83</v>
      </c>
      <c r="AR503" s="3">
        <v>1.64</v>
      </c>
      <c r="AS503" s="4">
        <v>1533</v>
      </c>
      <c r="AT503" s="1">
        <v>932</v>
      </c>
      <c r="AU503" s="3">
        <v>1.77</v>
      </c>
      <c r="AV503" s="4">
        <v>1941</v>
      </c>
      <c r="AW503" s="1">
        <v>1098</v>
      </c>
      <c r="AX503" s="3">
        <v>495985.31</v>
      </c>
      <c r="BB503" t="s">
        <v>84</v>
      </c>
      <c r="BD503" s="3">
        <v>1.86</v>
      </c>
      <c r="BE503" s="4">
        <v>1225</v>
      </c>
      <c r="BF503" s="1">
        <v>658</v>
      </c>
      <c r="BG503" s="1">
        <v>36</v>
      </c>
      <c r="BH503" s="1">
        <v>126</v>
      </c>
      <c r="BI503" s="1">
        <v>32</v>
      </c>
      <c r="BL503" t="s">
        <v>131</v>
      </c>
    </row>
    <row r="504" spans="1:67" x14ac:dyDescent="0.25">
      <c r="A504" t="s">
        <v>4200</v>
      </c>
      <c r="B504" t="s">
        <v>4201</v>
      </c>
      <c r="C504" s="4">
        <f>(AA504*(H504*0.9))*12</f>
        <v>7613740.8000000007</v>
      </c>
      <c r="D504" s="4">
        <f>IF(C504=0,"",(H504*150*12)+C504)</f>
        <v>8434540.8000000007</v>
      </c>
      <c r="E504" s="4">
        <f>IFERROR(D504*0.5,"")</f>
        <v>4217270.4000000004</v>
      </c>
      <c r="F504" s="4">
        <f>IFERROR(E504/0.06,"")</f>
        <v>70287840.000000015</v>
      </c>
      <c r="G504" s="4">
        <f>IFERROR(F504/H504,"")</f>
        <v>154140.00000000003</v>
      </c>
      <c r="H504" s="1">
        <v>456</v>
      </c>
      <c r="I504" s="1">
        <v>1995</v>
      </c>
      <c r="J504" t="s">
        <v>64</v>
      </c>
      <c r="K504" t="s">
        <v>2085</v>
      </c>
      <c r="L504" t="s">
        <v>2395</v>
      </c>
      <c r="M504" t="s">
        <v>4202</v>
      </c>
      <c r="N504" t="s">
        <v>4203</v>
      </c>
      <c r="O504" t="s">
        <v>2395</v>
      </c>
      <c r="P504" s="1">
        <v>3</v>
      </c>
      <c r="Q504" t="s">
        <v>91</v>
      </c>
      <c r="R504" t="s">
        <v>70</v>
      </c>
      <c r="S504" t="s">
        <v>71</v>
      </c>
      <c r="U504" t="s">
        <v>72</v>
      </c>
      <c r="V504" t="s">
        <v>2085</v>
      </c>
      <c r="W504" t="s">
        <v>74</v>
      </c>
      <c r="X504" t="s">
        <v>2086</v>
      </c>
      <c r="Y504" s="2">
        <v>942</v>
      </c>
      <c r="Z504" s="3">
        <v>1.64</v>
      </c>
      <c r="AA504" s="4">
        <v>1546</v>
      </c>
      <c r="AK504" s="5">
        <v>5.2632000000000003</v>
      </c>
      <c r="AN504" s="1">
        <v>3</v>
      </c>
      <c r="AO504" t="s">
        <v>81</v>
      </c>
      <c r="AP504" t="s">
        <v>82</v>
      </c>
      <c r="AQ504" t="s">
        <v>83</v>
      </c>
      <c r="AR504" s="3">
        <v>1.58</v>
      </c>
      <c r="AS504" s="4">
        <v>1797</v>
      </c>
      <c r="AT504" s="1">
        <v>1135</v>
      </c>
      <c r="AX504" s="3">
        <v>1947538.32</v>
      </c>
      <c r="BB504" t="s">
        <v>84</v>
      </c>
      <c r="BD504" s="3">
        <v>1.7</v>
      </c>
      <c r="BE504" s="4">
        <v>1363</v>
      </c>
      <c r="BF504" s="1">
        <v>802</v>
      </c>
      <c r="BG504" s="1">
        <v>264</v>
      </c>
      <c r="BH504" s="1">
        <v>192</v>
      </c>
    </row>
    <row r="505" spans="1:67" x14ac:dyDescent="0.25">
      <c r="A505" t="s">
        <v>3533</v>
      </c>
      <c r="B505" t="s">
        <v>3534</v>
      </c>
      <c r="C505" s="4">
        <f>(AA505*(H505*0.9))*12</f>
        <v>4179600</v>
      </c>
      <c r="D505" s="4">
        <f>IF(C505=0,"",(H505*150*12)+C505)</f>
        <v>4629600</v>
      </c>
      <c r="E505" s="4">
        <f>IFERROR(D505*0.5,"")</f>
        <v>2314800</v>
      </c>
      <c r="F505" s="4">
        <f>IFERROR(E505/0.06,"")</f>
        <v>38580000</v>
      </c>
      <c r="G505" s="4">
        <f>IFERROR(F505/H505,"")</f>
        <v>154320</v>
      </c>
      <c r="H505" s="1">
        <v>250</v>
      </c>
      <c r="I505" s="1">
        <v>1999</v>
      </c>
      <c r="J505" t="s">
        <v>64</v>
      </c>
      <c r="K505" t="s">
        <v>97</v>
      </c>
      <c r="L505" t="s">
        <v>777</v>
      </c>
      <c r="M505" t="s">
        <v>3535</v>
      </c>
      <c r="O505" t="s">
        <v>777</v>
      </c>
      <c r="P505" s="1">
        <v>3</v>
      </c>
      <c r="Q505" t="s">
        <v>91</v>
      </c>
      <c r="R505" t="s">
        <v>70</v>
      </c>
      <c r="S505" t="s">
        <v>71</v>
      </c>
      <c r="U505" t="s">
        <v>72</v>
      </c>
      <c r="V505" t="s">
        <v>73</v>
      </c>
      <c r="W505" t="s">
        <v>74</v>
      </c>
      <c r="X505" t="s">
        <v>3536</v>
      </c>
      <c r="Y505" s="2">
        <v>1200</v>
      </c>
      <c r="Z505" s="3">
        <v>1.29</v>
      </c>
      <c r="AA505" s="4">
        <v>1548</v>
      </c>
      <c r="AK505" s="5">
        <v>14.4</v>
      </c>
      <c r="AM505" s="1">
        <v>2019</v>
      </c>
      <c r="AN505" s="1">
        <v>2</v>
      </c>
      <c r="AO505" t="s">
        <v>81</v>
      </c>
      <c r="AP505" t="s">
        <v>82</v>
      </c>
      <c r="AQ505" t="s">
        <v>83</v>
      </c>
      <c r="AR505" s="3">
        <v>1.35</v>
      </c>
      <c r="AS505" s="4">
        <v>1364</v>
      </c>
      <c r="AT505" s="1">
        <v>1011</v>
      </c>
      <c r="AU505" s="3">
        <v>1.29</v>
      </c>
      <c r="AV505" s="4">
        <v>1560</v>
      </c>
      <c r="AW505" s="1">
        <v>1213</v>
      </c>
      <c r="AX505" s="3">
        <v>0</v>
      </c>
      <c r="BB505" t="s">
        <v>84</v>
      </c>
      <c r="BH505" s="1">
        <v>16</v>
      </c>
      <c r="BI505" s="1">
        <v>234</v>
      </c>
      <c r="BK505" t="s">
        <v>1403</v>
      </c>
      <c r="BL505" t="s">
        <v>104</v>
      </c>
    </row>
    <row r="506" spans="1:67" x14ac:dyDescent="0.25">
      <c r="A506" t="s">
        <v>3993</v>
      </c>
      <c r="B506" t="s">
        <v>3994</v>
      </c>
      <c r="C506" s="4">
        <f>(AA506*(H506*0.9))*12</f>
        <v>5550508.8000000007</v>
      </c>
      <c r="D506" s="4">
        <f>IF(C506=0,"",(H506*150*12)+C506)</f>
        <v>6148108.8000000007</v>
      </c>
      <c r="E506" s="4">
        <f>IFERROR(D506*0.5,"")</f>
        <v>3074054.4000000004</v>
      </c>
      <c r="F506" s="4">
        <f>IFERROR(E506/0.06,"")</f>
        <v>51234240.000000007</v>
      </c>
      <c r="G506" s="4">
        <f>IFERROR(F506/H506,"")</f>
        <v>154320.00000000003</v>
      </c>
      <c r="H506" s="1">
        <v>332</v>
      </c>
      <c r="I506" s="1">
        <v>1999</v>
      </c>
      <c r="J506" t="s">
        <v>64</v>
      </c>
      <c r="K506" t="s">
        <v>841</v>
      </c>
      <c r="L506" t="s">
        <v>3995</v>
      </c>
      <c r="M506" t="s">
        <v>3996</v>
      </c>
      <c r="N506" t="s">
        <v>3997</v>
      </c>
      <c r="O506" t="s">
        <v>3995</v>
      </c>
      <c r="P506" s="1">
        <v>4</v>
      </c>
      <c r="Q506" t="s">
        <v>91</v>
      </c>
      <c r="R506" t="s">
        <v>70</v>
      </c>
      <c r="S506" t="s">
        <v>71</v>
      </c>
      <c r="U506" t="s">
        <v>72</v>
      </c>
      <c r="V506" t="s">
        <v>841</v>
      </c>
      <c r="W506" t="s">
        <v>74</v>
      </c>
      <c r="X506" t="s">
        <v>3998</v>
      </c>
      <c r="Y506" s="2">
        <v>995</v>
      </c>
      <c r="Z506" s="3">
        <v>1.55</v>
      </c>
      <c r="AA506" s="4">
        <v>1548</v>
      </c>
      <c r="AK506" s="5">
        <v>6.9276999999999997</v>
      </c>
      <c r="AN506" s="1">
        <v>3</v>
      </c>
      <c r="AO506" t="s">
        <v>81</v>
      </c>
      <c r="AP506" t="s">
        <v>82</v>
      </c>
      <c r="AQ506" t="s">
        <v>83</v>
      </c>
      <c r="AR506" s="3">
        <v>1.48</v>
      </c>
      <c r="AS506" s="4">
        <v>1619</v>
      </c>
      <c r="AT506" s="1">
        <v>1093</v>
      </c>
      <c r="AU506" s="3">
        <v>1.48</v>
      </c>
      <c r="AV506" s="4">
        <v>2071</v>
      </c>
      <c r="AW506" s="1">
        <v>1404</v>
      </c>
      <c r="AX506" s="3">
        <v>795342.79</v>
      </c>
      <c r="BB506" t="s">
        <v>84</v>
      </c>
      <c r="BD506" s="3">
        <v>1.68</v>
      </c>
      <c r="BE506" s="4">
        <v>1330</v>
      </c>
      <c r="BF506" s="1">
        <v>792</v>
      </c>
      <c r="BG506" s="1">
        <v>157</v>
      </c>
      <c r="BH506" s="1">
        <v>127</v>
      </c>
      <c r="BI506" s="1">
        <v>48</v>
      </c>
    </row>
    <row r="507" spans="1:67" x14ac:dyDescent="0.25">
      <c r="A507" t="s">
        <v>4168</v>
      </c>
      <c r="B507" t="s">
        <v>4169</v>
      </c>
      <c r="C507" s="4">
        <f>(AA507*(H507*0.9))*12</f>
        <v>4383050.4000000004</v>
      </c>
      <c r="D507" s="4">
        <f>IF(C507=0,"",(H507*150*12)+C507)</f>
        <v>4854650.4000000004</v>
      </c>
      <c r="E507" s="4">
        <f>IFERROR(D507*0.5,"")</f>
        <v>2427325.2000000002</v>
      </c>
      <c r="F507" s="4">
        <f>IFERROR(E507/0.06,"")</f>
        <v>40455420.000000007</v>
      </c>
      <c r="G507" s="4">
        <f>IFERROR(F507/H507,"")</f>
        <v>154410.00000000003</v>
      </c>
      <c r="H507" s="1">
        <v>262</v>
      </c>
      <c r="I507" s="1">
        <v>1999</v>
      </c>
      <c r="J507" t="s">
        <v>64</v>
      </c>
      <c r="K507" t="s">
        <v>841</v>
      </c>
      <c r="L507" t="s">
        <v>4170</v>
      </c>
      <c r="M507" t="s">
        <v>4171</v>
      </c>
      <c r="N507" t="s">
        <v>4172</v>
      </c>
      <c r="O507" t="s">
        <v>4170</v>
      </c>
      <c r="P507" s="1">
        <v>4</v>
      </c>
      <c r="Q507" t="s">
        <v>91</v>
      </c>
      <c r="R507" t="s">
        <v>70</v>
      </c>
      <c r="S507" t="s">
        <v>71</v>
      </c>
      <c r="U507" t="s">
        <v>72</v>
      </c>
      <c r="V507" t="s">
        <v>841</v>
      </c>
      <c r="W507" t="s">
        <v>74</v>
      </c>
      <c r="X507" t="s">
        <v>845</v>
      </c>
      <c r="Y507" s="2">
        <v>1104</v>
      </c>
      <c r="Z507" s="3">
        <v>1.4</v>
      </c>
      <c r="AA507" s="4">
        <v>1549</v>
      </c>
      <c r="AK507" s="5">
        <v>12.9771</v>
      </c>
      <c r="AN507" s="1">
        <v>3</v>
      </c>
      <c r="AO507" t="s">
        <v>81</v>
      </c>
      <c r="AP507" t="s">
        <v>82</v>
      </c>
      <c r="AQ507" t="s">
        <v>83</v>
      </c>
      <c r="AR507" s="3">
        <v>1.39</v>
      </c>
      <c r="AS507" s="4">
        <v>1784</v>
      </c>
      <c r="AT507" s="1">
        <v>1283</v>
      </c>
      <c r="AU507" s="3">
        <v>1.46</v>
      </c>
      <c r="AV507" s="4">
        <v>2090</v>
      </c>
      <c r="AW507" s="1">
        <v>1436</v>
      </c>
      <c r="AX507" s="3">
        <v>818291.31</v>
      </c>
      <c r="BB507" t="s">
        <v>84</v>
      </c>
      <c r="BD507" s="3">
        <v>1.4</v>
      </c>
      <c r="BE507" s="4">
        <v>1237</v>
      </c>
      <c r="BF507" s="1">
        <v>882</v>
      </c>
      <c r="BG507" s="1">
        <v>126</v>
      </c>
      <c r="BH507" s="1">
        <v>112</v>
      </c>
      <c r="BI507" s="1">
        <v>24</v>
      </c>
      <c r="BK507" t="s">
        <v>4173</v>
      </c>
      <c r="BL507" t="s">
        <v>365</v>
      </c>
    </row>
    <row r="508" spans="1:67" x14ac:dyDescent="0.25">
      <c r="A508" t="s">
        <v>4015</v>
      </c>
      <c r="B508" t="s">
        <v>4016</v>
      </c>
      <c r="C508" s="4">
        <f>(AA508*(H508*0.9))*12</f>
        <v>7030800</v>
      </c>
      <c r="D508" s="4">
        <f>IF(C508=0,"",(H508*150*12)+C508)</f>
        <v>7786800</v>
      </c>
      <c r="E508" s="4">
        <f>IFERROR(D508*0.5,"")</f>
        <v>3893400</v>
      </c>
      <c r="F508" s="4">
        <f>IFERROR(E508/0.06,"")</f>
        <v>64890000</v>
      </c>
      <c r="G508" s="4">
        <f>IFERROR(F508/H508,"")</f>
        <v>154500</v>
      </c>
      <c r="H508" s="1">
        <v>420</v>
      </c>
      <c r="I508" s="1">
        <v>1998</v>
      </c>
      <c r="J508" t="s">
        <v>64</v>
      </c>
      <c r="K508" t="s">
        <v>2922</v>
      </c>
      <c r="L508" t="s">
        <v>1277</v>
      </c>
      <c r="M508" t="s">
        <v>4017</v>
      </c>
      <c r="N508" t="s">
        <v>4018</v>
      </c>
      <c r="O508" t="s">
        <v>1277</v>
      </c>
      <c r="P508" s="1">
        <v>5</v>
      </c>
      <c r="Q508" t="s">
        <v>729</v>
      </c>
      <c r="R508" t="s">
        <v>70</v>
      </c>
      <c r="S508" t="s">
        <v>71</v>
      </c>
      <c r="U508" t="s">
        <v>72</v>
      </c>
      <c r="V508" t="s">
        <v>73</v>
      </c>
      <c r="W508" t="s">
        <v>74</v>
      </c>
      <c r="X508" t="s">
        <v>4019</v>
      </c>
      <c r="Y508" s="2">
        <v>889</v>
      </c>
      <c r="Z508" s="3">
        <v>1.74</v>
      </c>
      <c r="AA508" s="4">
        <v>1550</v>
      </c>
      <c r="AK508" s="5">
        <v>7.1429</v>
      </c>
      <c r="AM508" s="1">
        <v>2016</v>
      </c>
      <c r="AN508" s="1">
        <v>4</v>
      </c>
      <c r="AO508" t="s">
        <v>81</v>
      </c>
      <c r="AP508" t="s">
        <v>82</v>
      </c>
      <c r="AQ508" t="s">
        <v>83</v>
      </c>
      <c r="AR508" s="3">
        <v>1.58</v>
      </c>
      <c r="AS508" s="4">
        <v>1891</v>
      </c>
      <c r="AT508" s="1">
        <v>1197</v>
      </c>
      <c r="AU508" s="3">
        <v>1.69</v>
      </c>
      <c r="AV508" s="4">
        <v>2440</v>
      </c>
      <c r="AW508" s="1">
        <v>1444</v>
      </c>
      <c r="AX508" s="3">
        <v>1960736.17</v>
      </c>
      <c r="BB508" t="s">
        <v>84</v>
      </c>
      <c r="BD508" s="3">
        <v>1.88</v>
      </c>
      <c r="BE508" s="4">
        <v>1342</v>
      </c>
      <c r="BF508" s="1">
        <v>713</v>
      </c>
      <c r="BG508" s="1">
        <v>270</v>
      </c>
      <c r="BH508" s="1">
        <v>144</v>
      </c>
      <c r="BI508" s="1">
        <v>6</v>
      </c>
      <c r="BK508" t="s">
        <v>4020</v>
      </c>
      <c r="BL508" t="s">
        <v>131</v>
      </c>
    </row>
    <row r="509" spans="1:67" x14ac:dyDescent="0.25">
      <c r="A509" t="s">
        <v>3892</v>
      </c>
      <c r="B509" t="s">
        <v>3893</v>
      </c>
      <c r="C509" s="4">
        <f>(AA509*(H509*0.9))*12</f>
        <v>3819182.4000000004</v>
      </c>
      <c r="D509" s="4">
        <f>IF(C509=0,"",(H509*150*12)+C509)</f>
        <v>4229582.4000000004</v>
      </c>
      <c r="E509" s="4">
        <f>IFERROR(D509*0.5,"")</f>
        <v>2114791.2000000002</v>
      </c>
      <c r="F509" s="4">
        <f>IFERROR(E509/0.06,"")</f>
        <v>35246520.000000007</v>
      </c>
      <c r="G509" s="4">
        <f>IFERROR(F509/H509,"")</f>
        <v>154590.00000000003</v>
      </c>
      <c r="H509" s="1">
        <v>228</v>
      </c>
      <c r="I509" s="1">
        <v>1998</v>
      </c>
      <c r="J509" t="s">
        <v>64</v>
      </c>
      <c r="K509" t="s">
        <v>3453</v>
      </c>
      <c r="L509" t="s">
        <v>784</v>
      </c>
      <c r="M509" t="s">
        <v>3894</v>
      </c>
      <c r="N509" t="s">
        <v>3895</v>
      </c>
      <c r="O509" t="s">
        <v>784</v>
      </c>
      <c r="P509" s="1">
        <v>4</v>
      </c>
      <c r="Q509" t="s">
        <v>91</v>
      </c>
      <c r="R509" t="s">
        <v>70</v>
      </c>
      <c r="S509" t="s">
        <v>71</v>
      </c>
      <c r="U509" t="s">
        <v>72</v>
      </c>
      <c r="V509" t="s">
        <v>73</v>
      </c>
      <c r="W509" t="s">
        <v>74</v>
      </c>
      <c r="X509" t="s">
        <v>2872</v>
      </c>
      <c r="Y509" s="2">
        <v>972</v>
      </c>
      <c r="Z509" s="3">
        <v>1.6</v>
      </c>
      <c r="AA509" s="4">
        <v>1551</v>
      </c>
      <c r="AK509" s="5">
        <v>7.8947000000000003</v>
      </c>
      <c r="AM509" s="1">
        <v>2016</v>
      </c>
      <c r="AN509" s="1">
        <v>4</v>
      </c>
      <c r="AO509" t="s">
        <v>81</v>
      </c>
      <c r="AP509" t="s">
        <v>82</v>
      </c>
      <c r="AQ509" t="s">
        <v>83</v>
      </c>
      <c r="AR509" s="3">
        <v>1.43</v>
      </c>
      <c r="AS509" s="4">
        <v>1759</v>
      </c>
      <c r="AT509" s="1">
        <v>1230</v>
      </c>
      <c r="AX509" s="3">
        <v>938712.6</v>
      </c>
      <c r="AY509" s="3">
        <v>2.42</v>
      </c>
      <c r="AZ509" s="4">
        <v>1016</v>
      </c>
      <c r="BA509" s="6">
        <v>420</v>
      </c>
      <c r="BB509" t="s">
        <v>84</v>
      </c>
      <c r="BD509" s="3">
        <v>1.81</v>
      </c>
      <c r="BE509" s="4">
        <v>1407</v>
      </c>
      <c r="BF509" s="1">
        <v>777</v>
      </c>
      <c r="BG509" s="1">
        <v>78</v>
      </c>
      <c r="BH509" s="1">
        <v>121</v>
      </c>
      <c r="BL509" t="s">
        <v>131</v>
      </c>
    </row>
    <row r="510" spans="1:67" x14ac:dyDescent="0.25">
      <c r="A510" t="s">
        <v>2980</v>
      </c>
      <c r="B510" t="s">
        <v>2981</v>
      </c>
      <c r="C510" s="4">
        <f>(AA510*(H510*0.9))*12</f>
        <v>3620505.5999999996</v>
      </c>
      <c r="D510" s="4">
        <f>IF(C510=0,"",(H510*150*12)+C510)</f>
        <v>4009305.5999999996</v>
      </c>
      <c r="E510" s="4">
        <f>IFERROR(D510*0.5,"")</f>
        <v>2004652.7999999998</v>
      </c>
      <c r="F510" s="4">
        <f>IFERROR(E510/0.06,"")</f>
        <v>33410879.999999996</v>
      </c>
      <c r="G510" s="4">
        <f>IFERROR(F510/H510,"")</f>
        <v>154679.99999999997</v>
      </c>
      <c r="H510" s="1">
        <v>216</v>
      </c>
      <c r="I510" s="1">
        <v>1998</v>
      </c>
      <c r="J510" t="s">
        <v>64</v>
      </c>
      <c r="K510" t="s">
        <v>177</v>
      </c>
      <c r="L510" t="s">
        <v>1033</v>
      </c>
      <c r="M510" t="s">
        <v>2982</v>
      </c>
      <c r="N510" t="s">
        <v>2983</v>
      </c>
      <c r="O510" t="s">
        <v>1033</v>
      </c>
      <c r="P510" s="1">
        <v>4</v>
      </c>
      <c r="Q510" t="s">
        <v>729</v>
      </c>
      <c r="R510" t="s">
        <v>70</v>
      </c>
      <c r="S510" t="s">
        <v>71</v>
      </c>
      <c r="U510" t="s">
        <v>72</v>
      </c>
      <c r="V510" t="s">
        <v>172</v>
      </c>
      <c r="W510" t="s">
        <v>74</v>
      </c>
      <c r="X510" t="s">
        <v>2984</v>
      </c>
      <c r="Y510" s="2">
        <v>905</v>
      </c>
      <c r="Z510" s="3">
        <v>1.72</v>
      </c>
      <c r="AA510" s="4">
        <v>1552</v>
      </c>
      <c r="AK510" s="5">
        <v>8.3332999999999995</v>
      </c>
      <c r="AN510" s="1">
        <v>3</v>
      </c>
      <c r="AO510" t="s">
        <v>81</v>
      </c>
      <c r="AP510" t="s">
        <v>82</v>
      </c>
      <c r="AQ510" t="s">
        <v>83</v>
      </c>
      <c r="AR510" s="3">
        <v>1.68</v>
      </c>
      <c r="AS510" s="4">
        <v>1759</v>
      </c>
      <c r="AT510" s="1">
        <v>1049</v>
      </c>
      <c r="AU510" s="3">
        <v>1.55</v>
      </c>
      <c r="AV510" s="4">
        <v>1944</v>
      </c>
      <c r="AW510" s="1">
        <v>1250</v>
      </c>
      <c r="AX510" s="3">
        <v>378094.86</v>
      </c>
      <c r="BB510" t="s">
        <v>84</v>
      </c>
      <c r="BD510" s="3">
        <v>1.78</v>
      </c>
      <c r="BE510" s="4">
        <v>1369</v>
      </c>
      <c r="BF510" s="1">
        <v>770</v>
      </c>
      <c r="BG510" s="1">
        <v>120</v>
      </c>
      <c r="BH510" s="1">
        <v>84</v>
      </c>
      <c r="BI510" s="1">
        <v>12</v>
      </c>
      <c r="BK510" t="s">
        <v>2985</v>
      </c>
      <c r="BL510" t="s">
        <v>104</v>
      </c>
    </row>
    <row r="511" spans="1:67" x14ac:dyDescent="0.25">
      <c r="A511" t="s">
        <v>2374</v>
      </c>
      <c r="B511" t="s">
        <v>2375</v>
      </c>
      <c r="C511" s="4">
        <f>(AA511*(H511*0.9))*12</f>
        <v>5665420.7999999998</v>
      </c>
      <c r="D511" s="4">
        <f>IF(C511=0,"",(H511*150*12)+C511)</f>
        <v>6273820.7999999998</v>
      </c>
      <c r="E511" s="4">
        <f>IFERROR(D511*0.5,"")</f>
        <v>3136910.4</v>
      </c>
      <c r="F511" s="4">
        <f>IFERROR(E511/0.06,"")</f>
        <v>52281840</v>
      </c>
      <c r="G511" s="4">
        <f>IFERROR(F511/H511,"")</f>
        <v>154680</v>
      </c>
      <c r="H511" s="1">
        <v>338</v>
      </c>
      <c r="I511" s="1">
        <v>1997</v>
      </c>
      <c r="J511" t="s">
        <v>64</v>
      </c>
      <c r="K511" t="s">
        <v>2376</v>
      </c>
      <c r="L511" t="s">
        <v>2377</v>
      </c>
      <c r="M511" t="s">
        <v>2378</v>
      </c>
      <c r="N511" t="s">
        <v>2379</v>
      </c>
      <c r="O511" t="s">
        <v>2377</v>
      </c>
      <c r="P511" s="1">
        <v>4</v>
      </c>
      <c r="Q511" t="s">
        <v>729</v>
      </c>
      <c r="R511" t="s">
        <v>70</v>
      </c>
      <c r="S511" t="s">
        <v>71</v>
      </c>
      <c r="U511" t="s">
        <v>72</v>
      </c>
      <c r="V511" t="s">
        <v>134</v>
      </c>
      <c r="W511" t="s">
        <v>74</v>
      </c>
      <c r="X511" t="s">
        <v>2380</v>
      </c>
      <c r="Y511" s="2">
        <v>910</v>
      </c>
      <c r="Z511" s="3">
        <v>1.7</v>
      </c>
      <c r="AA511" s="4">
        <v>1552</v>
      </c>
      <c r="AK511" s="5">
        <v>7.9882</v>
      </c>
      <c r="AM511" s="1">
        <v>2016</v>
      </c>
      <c r="AN511" s="1">
        <v>3</v>
      </c>
      <c r="AO511" t="s">
        <v>81</v>
      </c>
      <c r="AP511" t="s">
        <v>82</v>
      </c>
      <c r="AQ511" t="s">
        <v>83</v>
      </c>
      <c r="AR511" s="3">
        <v>1.6</v>
      </c>
      <c r="AS511" s="4">
        <v>1768</v>
      </c>
      <c r="AT511" s="1">
        <v>1106</v>
      </c>
      <c r="AU511" s="3">
        <v>1.61</v>
      </c>
      <c r="AV511" s="4">
        <v>2157</v>
      </c>
      <c r="AW511" s="1">
        <v>1339</v>
      </c>
      <c r="AX511" s="3">
        <v>1526332.5</v>
      </c>
      <c r="BB511" t="s">
        <v>84</v>
      </c>
      <c r="BD511" s="3">
        <v>1.86</v>
      </c>
      <c r="BE511" s="4">
        <v>1313</v>
      </c>
      <c r="BF511" s="1">
        <v>707</v>
      </c>
      <c r="BG511" s="1">
        <v>176</v>
      </c>
      <c r="BH511" s="1">
        <v>144</v>
      </c>
      <c r="BI511" s="1">
        <v>18</v>
      </c>
      <c r="BK511" t="s">
        <v>731</v>
      </c>
      <c r="BL511" t="s">
        <v>104</v>
      </c>
    </row>
    <row r="512" spans="1:67" x14ac:dyDescent="0.25">
      <c r="A512" t="s">
        <v>3669</v>
      </c>
      <c r="B512" t="s">
        <v>3670</v>
      </c>
      <c r="C512" s="4">
        <f>(AA512*(H512*0.9))*12</f>
        <v>5732467.2000000002</v>
      </c>
      <c r="D512" s="4">
        <f>IF(C512=0,"",(H512*150*12)+C512)</f>
        <v>6348067.2000000002</v>
      </c>
      <c r="E512" s="4">
        <f>IFERROR(D512*0.5,"")</f>
        <v>3174033.6</v>
      </c>
      <c r="F512" s="4">
        <f>IFERROR(E512/0.06,"")</f>
        <v>52900560</v>
      </c>
      <c r="G512" s="4">
        <f>IFERROR(F512/H512,"")</f>
        <v>154680</v>
      </c>
      <c r="H512" s="1">
        <v>342</v>
      </c>
      <c r="I512" s="1">
        <v>1996</v>
      </c>
      <c r="J512" t="s">
        <v>64</v>
      </c>
      <c r="K512" t="s">
        <v>140</v>
      </c>
      <c r="L512" t="s">
        <v>1532</v>
      </c>
      <c r="M512" t="s">
        <v>3671</v>
      </c>
      <c r="N512" t="s">
        <v>3672</v>
      </c>
      <c r="O512" t="s">
        <v>1532</v>
      </c>
      <c r="P512" s="1">
        <v>4</v>
      </c>
      <c r="Q512" t="s">
        <v>729</v>
      </c>
      <c r="R512" t="s">
        <v>70</v>
      </c>
      <c r="S512" t="s">
        <v>71</v>
      </c>
      <c r="U512" t="s">
        <v>72</v>
      </c>
      <c r="V512" t="s">
        <v>140</v>
      </c>
      <c r="W512" t="s">
        <v>74</v>
      </c>
      <c r="X512" t="s">
        <v>1535</v>
      </c>
      <c r="Y512" s="2">
        <v>930</v>
      </c>
      <c r="Z512" s="3">
        <v>1.67</v>
      </c>
      <c r="AA512" s="4">
        <v>1552</v>
      </c>
      <c r="AK512" s="5">
        <v>12.5731</v>
      </c>
      <c r="AN512" s="1">
        <v>2</v>
      </c>
      <c r="AO512" t="s">
        <v>81</v>
      </c>
      <c r="AP512" t="s">
        <v>82</v>
      </c>
      <c r="AQ512" t="s">
        <v>83</v>
      </c>
      <c r="AR512" s="3">
        <v>1.65</v>
      </c>
      <c r="AS512" s="4">
        <v>1704</v>
      </c>
      <c r="AT512" s="1">
        <v>1032</v>
      </c>
      <c r="AU512" s="3">
        <v>1.63</v>
      </c>
      <c r="AV512" s="4">
        <v>2198</v>
      </c>
      <c r="AW512" s="1">
        <v>1345</v>
      </c>
      <c r="AX512" s="3">
        <v>983678.62</v>
      </c>
      <c r="BB512" t="s">
        <v>84</v>
      </c>
      <c r="BD512" s="3">
        <v>1.66</v>
      </c>
      <c r="BE512" s="4">
        <v>1332</v>
      </c>
      <c r="BF512" s="1">
        <v>802</v>
      </c>
      <c r="BG512" s="1">
        <v>194</v>
      </c>
      <c r="BH512" s="1">
        <v>116</v>
      </c>
      <c r="BI512" s="1">
        <v>32</v>
      </c>
      <c r="BL512" t="s">
        <v>131</v>
      </c>
    </row>
    <row r="513" spans="1:67" x14ac:dyDescent="0.25">
      <c r="A513" t="s">
        <v>3729</v>
      </c>
      <c r="B513" t="s">
        <v>3730</v>
      </c>
      <c r="C513" s="4">
        <f>(AA513*(H513*0.9))*12</f>
        <v>7379856</v>
      </c>
      <c r="D513" s="4">
        <f>IF(C513=0,"",(H513*150*12)+C513)</f>
        <v>8171856</v>
      </c>
      <c r="E513" s="4">
        <f>IFERROR(D513*0.5,"")</f>
        <v>4085928</v>
      </c>
      <c r="F513" s="4">
        <f>IFERROR(E513/0.06,"")</f>
        <v>68098800</v>
      </c>
      <c r="G513" s="4">
        <f>IFERROR(F513/H513,"")</f>
        <v>154770</v>
      </c>
      <c r="H513" s="1">
        <v>440</v>
      </c>
      <c r="I513" s="1">
        <v>1998</v>
      </c>
      <c r="J513" t="s">
        <v>64</v>
      </c>
      <c r="K513" t="s">
        <v>140</v>
      </c>
      <c r="L513" t="s">
        <v>3731</v>
      </c>
      <c r="M513" t="s">
        <v>3732</v>
      </c>
      <c r="N513" t="s">
        <v>3733</v>
      </c>
      <c r="O513" t="s">
        <v>3731</v>
      </c>
      <c r="P513" s="1">
        <v>4</v>
      </c>
      <c r="Q513" t="s">
        <v>729</v>
      </c>
      <c r="R513" t="s">
        <v>70</v>
      </c>
      <c r="S513" t="s">
        <v>71</v>
      </c>
      <c r="U513" t="s">
        <v>72</v>
      </c>
      <c r="V513" t="s">
        <v>134</v>
      </c>
      <c r="W513" t="s">
        <v>74</v>
      </c>
      <c r="X513" t="s">
        <v>1007</v>
      </c>
      <c r="Y513" s="2">
        <v>982</v>
      </c>
      <c r="Z513" s="3">
        <v>1.58</v>
      </c>
      <c r="AA513" s="4">
        <v>1553</v>
      </c>
      <c r="AK513" s="5">
        <v>11.1364</v>
      </c>
      <c r="AN513" s="1">
        <v>3</v>
      </c>
      <c r="AO513" t="s">
        <v>81</v>
      </c>
      <c r="AP513" t="s">
        <v>82</v>
      </c>
      <c r="AQ513" t="s">
        <v>83</v>
      </c>
      <c r="AR513" s="3">
        <v>1.53</v>
      </c>
      <c r="AS513" s="4">
        <v>1708</v>
      </c>
      <c r="AT513" s="1">
        <v>1116</v>
      </c>
      <c r="AU513" s="3">
        <v>1.49</v>
      </c>
      <c r="AV513" s="4">
        <v>2048</v>
      </c>
      <c r="AW513" s="1">
        <v>1372</v>
      </c>
      <c r="AX513" s="3">
        <v>709104.29</v>
      </c>
      <c r="BB513" t="s">
        <v>84</v>
      </c>
      <c r="BD513" s="3">
        <v>1.7</v>
      </c>
      <c r="BE513" s="4">
        <v>1274</v>
      </c>
      <c r="BF513" s="1">
        <v>750</v>
      </c>
      <c r="BG513" s="1">
        <v>189</v>
      </c>
      <c r="BH513" s="1">
        <v>211</v>
      </c>
      <c r="BI513" s="1">
        <v>40</v>
      </c>
    </row>
    <row r="514" spans="1:67" x14ac:dyDescent="0.25">
      <c r="A514" t="s">
        <v>3411</v>
      </c>
      <c r="B514" t="s">
        <v>3412</v>
      </c>
      <c r="C514" s="4">
        <f>(AA514*(H514*0.9))*12</f>
        <v>5511974.3999999994</v>
      </c>
      <c r="D514" s="4">
        <f>IF(C514=0,"",(H514*150*12)+C514)</f>
        <v>6102374.3999999994</v>
      </c>
      <c r="E514" s="4">
        <f>IFERROR(D514*0.5,"")</f>
        <v>3051187.1999999997</v>
      </c>
      <c r="F514" s="4">
        <f>IFERROR(E514/0.06,"")</f>
        <v>50853120</v>
      </c>
      <c r="G514" s="4">
        <f>IFERROR(F514/H514,"")</f>
        <v>155040</v>
      </c>
      <c r="H514" s="1">
        <v>328</v>
      </c>
      <c r="I514" s="1">
        <v>1998</v>
      </c>
      <c r="J514" t="s">
        <v>64</v>
      </c>
      <c r="K514" t="s">
        <v>3413</v>
      </c>
      <c r="L514" t="s">
        <v>1277</v>
      </c>
      <c r="M514" t="s">
        <v>3414</v>
      </c>
      <c r="N514" t="s">
        <v>3415</v>
      </c>
      <c r="O514" t="s">
        <v>1277</v>
      </c>
      <c r="P514" s="1">
        <v>4</v>
      </c>
      <c r="Q514" t="s">
        <v>729</v>
      </c>
      <c r="R514" t="s">
        <v>70</v>
      </c>
      <c r="S514" t="s">
        <v>71</v>
      </c>
      <c r="U514" t="s">
        <v>72</v>
      </c>
      <c r="V514" t="s">
        <v>3413</v>
      </c>
      <c r="W514" t="s">
        <v>74</v>
      </c>
      <c r="X514" t="s">
        <v>3416</v>
      </c>
      <c r="Y514" s="2">
        <v>932</v>
      </c>
      <c r="Z514" s="3">
        <v>1.67</v>
      </c>
      <c r="AA514" s="4">
        <v>1556</v>
      </c>
      <c r="AK514" s="5">
        <v>7.9268000000000001</v>
      </c>
      <c r="AM514" s="1">
        <v>2016</v>
      </c>
      <c r="AN514" s="1">
        <v>3</v>
      </c>
      <c r="AO514" t="s">
        <v>81</v>
      </c>
      <c r="AP514" t="s">
        <v>82</v>
      </c>
      <c r="AQ514" t="s">
        <v>83</v>
      </c>
      <c r="AR514" s="3">
        <v>1.59</v>
      </c>
      <c r="AS514" s="4">
        <v>1667</v>
      </c>
      <c r="AT514" s="1">
        <v>1047</v>
      </c>
      <c r="AU514" s="3">
        <v>1.62</v>
      </c>
      <c r="AV514" s="4">
        <v>2125</v>
      </c>
      <c r="AW514" s="1">
        <v>1314</v>
      </c>
      <c r="AX514" s="3">
        <v>0</v>
      </c>
      <c r="BB514" t="s">
        <v>84</v>
      </c>
      <c r="BD514" s="3">
        <v>1.79</v>
      </c>
      <c r="BE514" s="4">
        <v>1326</v>
      </c>
      <c r="BF514" s="1">
        <v>740</v>
      </c>
      <c r="BG514" s="1">
        <v>150</v>
      </c>
      <c r="BH514" s="1">
        <v>146</v>
      </c>
      <c r="BI514" s="1">
        <v>32</v>
      </c>
      <c r="BK514" t="s">
        <v>203</v>
      </c>
      <c r="BL514" t="s">
        <v>104</v>
      </c>
    </row>
    <row r="515" spans="1:67" x14ac:dyDescent="0.25">
      <c r="A515" t="s">
        <v>4120</v>
      </c>
      <c r="B515" t="s">
        <v>4121</v>
      </c>
      <c r="C515" s="4">
        <f>(AA515*(H515*0.9))*12</f>
        <v>3432585.5999999996</v>
      </c>
      <c r="D515" s="4">
        <f>IF(C515=0,"",(H515*150*12)+C515)</f>
        <v>3799785.5999999996</v>
      </c>
      <c r="E515" s="4">
        <f>IFERROR(D515*0.5,"")</f>
        <v>1899892.7999999998</v>
      </c>
      <c r="F515" s="4">
        <f>IFERROR(E515/0.06,"")</f>
        <v>31664879.999999996</v>
      </c>
      <c r="G515" s="4">
        <f>IFERROR(F515/H515,"")</f>
        <v>155219.99999999997</v>
      </c>
      <c r="H515" s="1">
        <v>204</v>
      </c>
      <c r="I515" s="1">
        <v>1995</v>
      </c>
      <c r="J515" t="s">
        <v>64</v>
      </c>
      <c r="K515" t="s">
        <v>1133</v>
      </c>
      <c r="L515" t="s">
        <v>4122</v>
      </c>
      <c r="M515" t="s">
        <v>4123</v>
      </c>
      <c r="N515" t="s">
        <v>4124</v>
      </c>
      <c r="O515" t="s">
        <v>4122</v>
      </c>
      <c r="P515" s="1">
        <v>3</v>
      </c>
      <c r="Q515" t="s">
        <v>91</v>
      </c>
      <c r="R515" t="s">
        <v>70</v>
      </c>
      <c r="S515" t="s">
        <v>71</v>
      </c>
      <c r="T515" t="s">
        <v>118</v>
      </c>
      <c r="U515" t="s">
        <v>72</v>
      </c>
      <c r="V515" t="s">
        <v>264</v>
      </c>
      <c r="W515" t="s">
        <v>74</v>
      </c>
      <c r="X515" t="s">
        <v>1594</v>
      </c>
      <c r="Y515" s="2">
        <v>997</v>
      </c>
      <c r="Z515" s="3">
        <v>1.56</v>
      </c>
      <c r="AA515" s="4">
        <v>1558</v>
      </c>
      <c r="AK515" s="5">
        <v>11.2745</v>
      </c>
      <c r="AN515" s="1">
        <v>3</v>
      </c>
      <c r="AO515" t="s">
        <v>81</v>
      </c>
      <c r="AP515" t="s">
        <v>82</v>
      </c>
      <c r="AQ515" t="s">
        <v>83</v>
      </c>
      <c r="AR515" s="3">
        <v>1.57</v>
      </c>
      <c r="AS515" s="4">
        <v>1474</v>
      </c>
      <c r="AT515" s="1">
        <v>937</v>
      </c>
      <c r="AU515" s="3">
        <v>1.55</v>
      </c>
      <c r="AV515" s="4">
        <v>1712</v>
      </c>
      <c r="AW515" s="1">
        <v>1108</v>
      </c>
      <c r="AX515" s="3">
        <v>478346.66</v>
      </c>
      <c r="BB515" t="s">
        <v>84</v>
      </c>
      <c r="BH515" s="1">
        <v>132</v>
      </c>
      <c r="BI515" s="1">
        <v>72</v>
      </c>
      <c r="BK515" t="s">
        <v>285</v>
      </c>
      <c r="BL515" t="s">
        <v>104</v>
      </c>
    </row>
    <row r="516" spans="1:67" x14ac:dyDescent="0.25">
      <c r="A516" t="s">
        <v>1481</v>
      </c>
      <c r="B516" t="s">
        <v>1482</v>
      </c>
      <c r="C516" s="4">
        <f>(AA516*(H516*0.9))*12</f>
        <v>2288390.4000000004</v>
      </c>
      <c r="D516" s="4">
        <f>IF(C516=0,"",(H516*150*12)+C516)</f>
        <v>2533190.4000000004</v>
      </c>
      <c r="E516" s="4">
        <f>IFERROR(D516*0.5,"")</f>
        <v>1266595.2000000002</v>
      </c>
      <c r="F516" s="4">
        <f>IFERROR(E516/0.06,"")</f>
        <v>21109920.000000004</v>
      </c>
      <c r="G516" s="4">
        <f>IFERROR(F516/H516,"")</f>
        <v>155220.00000000003</v>
      </c>
      <c r="H516" s="1">
        <v>136</v>
      </c>
      <c r="I516" s="1">
        <v>1987</v>
      </c>
      <c r="J516" t="s">
        <v>64</v>
      </c>
      <c r="K516" t="s">
        <v>228</v>
      </c>
      <c r="L516" t="s">
        <v>770</v>
      </c>
      <c r="M516" t="s">
        <v>1483</v>
      </c>
      <c r="O516" t="s">
        <v>770</v>
      </c>
      <c r="P516" s="1">
        <v>3</v>
      </c>
      <c r="Q516" t="s">
        <v>69</v>
      </c>
      <c r="R516" t="s">
        <v>70</v>
      </c>
      <c r="S516" t="s">
        <v>71</v>
      </c>
      <c r="U516" t="s">
        <v>72</v>
      </c>
      <c r="V516" t="s">
        <v>1484</v>
      </c>
      <c r="W516" t="s">
        <v>74</v>
      </c>
      <c r="X516" t="s">
        <v>1485</v>
      </c>
      <c r="Y516" s="2">
        <v>863</v>
      </c>
      <c r="Z516" s="3">
        <v>1.81</v>
      </c>
      <c r="AA516" s="4">
        <v>1558</v>
      </c>
      <c r="AK516" s="5">
        <v>2.2059000000000002</v>
      </c>
      <c r="AN516" s="1">
        <v>2</v>
      </c>
      <c r="AO516" t="s">
        <v>81</v>
      </c>
      <c r="AP516" t="s">
        <v>82</v>
      </c>
      <c r="AQ516" t="s">
        <v>83</v>
      </c>
      <c r="AR516" s="3">
        <v>1.86</v>
      </c>
      <c r="AS516" s="4">
        <v>1782</v>
      </c>
      <c r="AT516" s="1">
        <v>957</v>
      </c>
      <c r="AU516" s="3">
        <v>1.73</v>
      </c>
      <c r="AV516" s="4">
        <v>1962</v>
      </c>
      <c r="AW516" s="1">
        <v>1132</v>
      </c>
      <c r="BB516" t="s">
        <v>84</v>
      </c>
      <c r="BD516" s="3">
        <v>1.73</v>
      </c>
      <c r="BE516" s="4">
        <v>1315</v>
      </c>
      <c r="BF516" s="1">
        <v>758</v>
      </c>
      <c r="BG516" s="1">
        <v>66</v>
      </c>
      <c r="BH516" s="1">
        <v>68</v>
      </c>
      <c r="BI516" s="1">
        <v>2</v>
      </c>
    </row>
    <row r="517" spans="1:67" x14ac:dyDescent="0.25">
      <c r="A517" t="s">
        <v>2893</v>
      </c>
      <c r="B517" t="s">
        <v>2894</v>
      </c>
      <c r="C517" s="4">
        <f>(AA517*(H517*0.9))*12</f>
        <v>4141951.2</v>
      </c>
      <c r="D517" s="4">
        <f>IF(C517=0,"",(H517*150*12)+C517)</f>
        <v>4584751.2</v>
      </c>
      <c r="E517" s="4">
        <f>IFERROR(D517*0.5,"")</f>
        <v>2292375.6</v>
      </c>
      <c r="F517" s="4">
        <f>IFERROR(E517/0.06,"")</f>
        <v>38206260</v>
      </c>
      <c r="G517" s="4">
        <f>IFERROR(F517/H517,"")</f>
        <v>155310</v>
      </c>
      <c r="H517" s="1">
        <v>246</v>
      </c>
      <c r="I517" s="1">
        <v>1995</v>
      </c>
      <c r="J517" t="s">
        <v>64</v>
      </c>
      <c r="K517" t="s">
        <v>198</v>
      </c>
      <c r="L517" t="s">
        <v>2895</v>
      </c>
      <c r="M517" t="s">
        <v>2896</v>
      </c>
      <c r="N517" t="s">
        <v>2897</v>
      </c>
      <c r="O517" t="s">
        <v>2895</v>
      </c>
      <c r="P517" s="1">
        <v>4</v>
      </c>
      <c r="Q517" t="s">
        <v>91</v>
      </c>
      <c r="R517" t="s">
        <v>70</v>
      </c>
      <c r="S517" t="s">
        <v>71</v>
      </c>
      <c r="U517" t="s">
        <v>72</v>
      </c>
      <c r="V517" t="s">
        <v>110</v>
      </c>
      <c r="W517" t="s">
        <v>74</v>
      </c>
      <c r="X517" t="s">
        <v>202</v>
      </c>
      <c r="Y517" s="2">
        <v>1030</v>
      </c>
      <c r="Z517" s="3">
        <v>1.51</v>
      </c>
      <c r="AA517" s="4">
        <v>1559</v>
      </c>
      <c r="AK517" s="5">
        <v>6.0975999999999999</v>
      </c>
      <c r="AN517" s="1">
        <v>4</v>
      </c>
      <c r="AO517" t="s">
        <v>81</v>
      </c>
      <c r="AP517" t="s">
        <v>82</v>
      </c>
      <c r="AQ517" t="s">
        <v>83</v>
      </c>
      <c r="AR517" s="3">
        <v>1.46</v>
      </c>
      <c r="AS517" s="4">
        <v>1702</v>
      </c>
      <c r="AT517" s="1">
        <v>1168</v>
      </c>
      <c r="AU517" s="3">
        <v>1.45</v>
      </c>
      <c r="AV517" s="4">
        <v>2061</v>
      </c>
      <c r="AW517" s="1">
        <v>1424</v>
      </c>
      <c r="AX517" s="3">
        <v>729314.06</v>
      </c>
      <c r="BB517" t="s">
        <v>84</v>
      </c>
      <c r="BD517" s="3">
        <v>1.65</v>
      </c>
      <c r="BE517" s="4">
        <v>1279</v>
      </c>
      <c r="BF517" s="1">
        <v>774</v>
      </c>
      <c r="BG517" s="1">
        <v>95</v>
      </c>
      <c r="BH517" s="1">
        <v>137</v>
      </c>
      <c r="BI517" s="1">
        <v>14</v>
      </c>
      <c r="BL517" t="s">
        <v>365</v>
      </c>
    </row>
    <row r="518" spans="1:67" x14ac:dyDescent="0.25">
      <c r="A518" t="s">
        <v>1008</v>
      </c>
      <c r="B518" t="s">
        <v>1009</v>
      </c>
      <c r="C518" s="4">
        <f>(AA518*(H518*0.9))*12</f>
        <v>3401114.4000000004</v>
      </c>
      <c r="D518" s="4">
        <f>IF(C518=0,"",(H518*150*12)+C518)</f>
        <v>3764714.4000000004</v>
      </c>
      <c r="E518" s="4">
        <f>IFERROR(D518*0.5,"")</f>
        <v>1882357.2000000002</v>
      </c>
      <c r="F518" s="4">
        <f>IFERROR(E518/0.06,"")</f>
        <v>31372620.000000004</v>
      </c>
      <c r="G518" s="4">
        <f>IFERROR(F518/H518,"")</f>
        <v>155310.00000000003</v>
      </c>
      <c r="H518" s="1">
        <v>202</v>
      </c>
      <c r="I518" s="1">
        <v>1986</v>
      </c>
      <c r="J518" t="s">
        <v>64</v>
      </c>
      <c r="K518" t="s">
        <v>660</v>
      </c>
      <c r="L518" t="s">
        <v>790</v>
      </c>
      <c r="M518" t="s">
        <v>1010</v>
      </c>
      <c r="N518" t="s">
        <v>1011</v>
      </c>
      <c r="O518" t="s">
        <v>790</v>
      </c>
      <c r="P518" s="1">
        <v>3</v>
      </c>
      <c r="Q518" t="s">
        <v>69</v>
      </c>
      <c r="R518" t="s">
        <v>70</v>
      </c>
      <c r="S518" t="s">
        <v>71</v>
      </c>
      <c r="U518" t="s">
        <v>72</v>
      </c>
      <c r="V518" t="s">
        <v>1012</v>
      </c>
      <c r="W518" t="s">
        <v>74</v>
      </c>
      <c r="X518" t="s">
        <v>1013</v>
      </c>
      <c r="Y518" s="2">
        <v>1000</v>
      </c>
      <c r="Z518" s="3">
        <v>1.56</v>
      </c>
      <c r="AA518" s="4">
        <v>1559</v>
      </c>
      <c r="AK518" s="5">
        <v>18.316800000000001</v>
      </c>
      <c r="AM518" s="1">
        <v>2016</v>
      </c>
      <c r="AN518" s="1">
        <v>2</v>
      </c>
      <c r="AO518" t="s">
        <v>81</v>
      </c>
      <c r="AP518" t="s">
        <v>82</v>
      </c>
      <c r="AQ518" t="s">
        <v>83</v>
      </c>
      <c r="AR518" s="3">
        <v>1.58</v>
      </c>
      <c r="AS518" s="4">
        <v>1633</v>
      </c>
      <c r="AT518" s="1">
        <v>1035</v>
      </c>
      <c r="AX518" s="3">
        <v>416645.88</v>
      </c>
      <c r="BB518" t="s">
        <v>84</v>
      </c>
      <c r="BD518" s="3">
        <v>1.48</v>
      </c>
      <c r="BE518" s="4">
        <v>1322</v>
      </c>
      <c r="BF518" s="1">
        <v>892</v>
      </c>
      <c r="BG518" s="1">
        <v>48</v>
      </c>
      <c r="BH518" s="1">
        <v>154</v>
      </c>
      <c r="BL518" t="s">
        <v>94</v>
      </c>
    </row>
    <row r="519" spans="1:67" x14ac:dyDescent="0.25">
      <c r="A519" t="s">
        <v>4174</v>
      </c>
      <c r="B519" t="s">
        <v>4175</v>
      </c>
      <c r="C519" s="4">
        <f>(AA519*(H519*0.9))*12</f>
        <v>4110912</v>
      </c>
      <c r="D519" s="4">
        <f>IF(C519=0,"",(H519*150*12)+C519)</f>
        <v>4550112</v>
      </c>
      <c r="E519" s="4">
        <f>IFERROR(D519*0.5,"")</f>
        <v>2275056</v>
      </c>
      <c r="F519" s="4">
        <f>IFERROR(E519/0.06,"")</f>
        <v>37917600</v>
      </c>
      <c r="G519" s="4">
        <f>IFERROR(F519/H519,"")</f>
        <v>155400</v>
      </c>
      <c r="H519" s="1">
        <v>244</v>
      </c>
      <c r="I519" s="1">
        <v>1999</v>
      </c>
      <c r="J519" t="s">
        <v>64</v>
      </c>
      <c r="K519" t="s">
        <v>2922</v>
      </c>
      <c r="L519" t="s">
        <v>4176</v>
      </c>
      <c r="M519" t="s">
        <v>4177</v>
      </c>
      <c r="N519" t="s">
        <v>4178</v>
      </c>
      <c r="O519" t="s">
        <v>4176</v>
      </c>
      <c r="P519" s="1">
        <v>3</v>
      </c>
      <c r="Q519" t="s">
        <v>91</v>
      </c>
      <c r="R519" t="s">
        <v>70</v>
      </c>
      <c r="S519" t="s">
        <v>71</v>
      </c>
      <c r="U519" t="s">
        <v>72</v>
      </c>
      <c r="V519" t="s">
        <v>73</v>
      </c>
      <c r="W519" t="s">
        <v>74</v>
      </c>
      <c r="X519" t="s">
        <v>92</v>
      </c>
      <c r="Y519" s="2">
        <v>944</v>
      </c>
      <c r="Z519" s="3">
        <v>1.65</v>
      </c>
      <c r="AA519" s="4">
        <v>1560</v>
      </c>
      <c r="AK519" s="5">
        <v>7.7869000000000002</v>
      </c>
      <c r="AN519" s="1">
        <v>4</v>
      </c>
      <c r="AO519" t="s">
        <v>81</v>
      </c>
      <c r="AP519" t="s">
        <v>82</v>
      </c>
      <c r="AQ519" t="s">
        <v>83</v>
      </c>
      <c r="AR519" s="3">
        <v>1.42</v>
      </c>
      <c r="AS519" s="4">
        <v>1768</v>
      </c>
      <c r="AT519" s="1">
        <v>1247</v>
      </c>
      <c r="AU519" s="3">
        <v>1.42</v>
      </c>
      <c r="AV519" s="4">
        <v>2036</v>
      </c>
      <c r="AW519" s="1">
        <v>1434</v>
      </c>
      <c r="AX519" s="3">
        <v>933335.12</v>
      </c>
      <c r="AY519" s="3">
        <v>2.41</v>
      </c>
      <c r="AZ519" s="4">
        <v>1229</v>
      </c>
      <c r="BA519" s="6">
        <v>510</v>
      </c>
      <c r="BB519" t="s">
        <v>84</v>
      </c>
      <c r="BD519" s="3">
        <v>1.9</v>
      </c>
      <c r="BE519" s="4">
        <v>1396</v>
      </c>
      <c r="BF519" s="1">
        <v>733</v>
      </c>
      <c r="BG519" s="1">
        <v>148</v>
      </c>
      <c r="BH519" s="1">
        <v>74</v>
      </c>
      <c r="BI519" s="1">
        <v>20</v>
      </c>
      <c r="BL519" t="s">
        <v>365</v>
      </c>
    </row>
    <row r="520" spans="1:67" x14ac:dyDescent="0.25">
      <c r="A520" t="s">
        <v>2920</v>
      </c>
      <c r="B520" t="s">
        <v>2921</v>
      </c>
      <c r="C520" s="4">
        <f>(AA520*(H520*0.9))*12</f>
        <v>3038472</v>
      </c>
      <c r="D520" s="4">
        <f>IF(C520=0,"",(H520*150*12)+C520)</f>
        <v>3362472</v>
      </c>
      <c r="E520" s="4">
        <f>IFERROR(D520*0.5,"")</f>
        <v>1681236</v>
      </c>
      <c r="F520" s="4">
        <f>IFERROR(E520/0.06,"")</f>
        <v>28020600</v>
      </c>
      <c r="G520" s="4">
        <f>IFERROR(F520/H520,"")</f>
        <v>155670</v>
      </c>
      <c r="H520" s="1">
        <v>180</v>
      </c>
      <c r="I520" s="1">
        <v>1996</v>
      </c>
      <c r="J520" t="s">
        <v>64</v>
      </c>
      <c r="K520" t="s">
        <v>2922</v>
      </c>
      <c r="L520" t="s">
        <v>2923</v>
      </c>
      <c r="M520" t="s">
        <v>2924</v>
      </c>
      <c r="N520" t="s">
        <v>2925</v>
      </c>
      <c r="O520" t="s">
        <v>2923</v>
      </c>
      <c r="P520" s="1">
        <v>4</v>
      </c>
      <c r="Q520" t="s">
        <v>91</v>
      </c>
      <c r="R520" t="s">
        <v>70</v>
      </c>
      <c r="S520" t="s">
        <v>71</v>
      </c>
      <c r="T520" t="s">
        <v>118</v>
      </c>
      <c r="U520" t="s">
        <v>72</v>
      </c>
      <c r="V520" t="s">
        <v>73</v>
      </c>
      <c r="W520" t="s">
        <v>74</v>
      </c>
      <c r="X520" t="s">
        <v>92</v>
      </c>
      <c r="Y520" s="2">
        <v>873</v>
      </c>
      <c r="Z520" s="3">
        <v>1.79</v>
      </c>
      <c r="AA520" s="4">
        <v>1563</v>
      </c>
      <c r="AK520" s="5">
        <v>6.6666999999999996</v>
      </c>
      <c r="AN520" s="1">
        <v>3</v>
      </c>
      <c r="AO520" t="s">
        <v>81</v>
      </c>
      <c r="AP520" t="s">
        <v>82</v>
      </c>
      <c r="AQ520" t="s">
        <v>83</v>
      </c>
      <c r="AR520" s="3">
        <v>1.75</v>
      </c>
      <c r="AS520" s="4">
        <v>1717</v>
      </c>
      <c r="AT520" s="1">
        <v>983</v>
      </c>
      <c r="AU520" s="3">
        <v>1.4</v>
      </c>
      <c r="AV520" s="4">
        <v>1694</v>
      </c>
      <c r="AW520" s="1">
        <v>1207</v>
      </c>
      <c r="AX520" s="3">
        <v>374367.52</v>
      </c>
      <c r="BB520" t="s">
        <v>84</v>
      </c>
      <c r="BD520" s="3">
        <v>2.0299999999999998</v>
      </c>
      <c r="BE520" s="4">
        <v>1393</v>
      </c>
      <c r="BF520" s="1">
        <v>685</v>
      </c>
      <c r="BG520" s="1">
        <v>84</v>
      </c>
      <c r="BH520" s="1">
        <v>72</v>
      </c>
      <c r="BI520" s="1">
        <v>24</v>
      </c>
      <c r="BK520" t="s">
        <v>2926</v>
      </c>
      <c r="BL520" t="s">
        <v>104</v>
      </c>
    </row>
    <row r="521" spans="1:67" x14ac:dyDescent="0.25">
      <c r="A521" t="s">
        <v>3381</v>
      </c>
      <c r="B521" t="s">
        <v>3382</v>
      </c>
      <c r="C521" s="4">
        <f>(AA521*(H521*0.9))*12</f>
        <v>6047049.5999999996</v>
      </c>
      <c r="D521" s="4">
        <f>IF(C521=0,"",(H521*150*12)+C521)</f>
        <v>6691449.5999999996</v>
      </c>
      <c r="E521" s="4">
        <f>IFERROR(D521*0.5,"")</f>
        <v>3345724.8</v>
      </c>
      <c r="F521" s="4">
        <f>IFERROR(E521/0.06,"")</f>
        <v>55762080</v>
      </c>
      <c r="G521" s="4">
        <f>IFERROR(F521/H521,"")</f>
        <v>155760</v>
      </c>
      <c r="H521" s="1">
        <v>358</v>
      </c>
      <c r="I521" s="1">
        <v>1993</v>
      </c>
      <c r="J521" t="s">
        <v>64</v>
      </c>
      <c r="K521" t="s">
        <v>514</v>
      </c>
      <c r="L521" t="s">
        <v>3383</v>
      </c>
      <c r="M521" t="s">
        <v>3384</v>
      </c>
      <c r="N521" t="s">
        <v>3385</v>
      </c>
      <c r="O521" t="s">
        <v>3383</v>
      </c>
      <c r="P521" s="1">
        <v>4</v>
      </c>
      <c r="Q521" t="s">
        <v>91</v>
      </c>
      <c r="R521" t="s">
        <v>70</v>
      </c>
      <c r="S521" t="s">
        <v>71</v>
      </c>
      <c r="U521" t="s">
        <v>72</v>
      </c>
      <c r="V521" t="s">
        <v>264</v>
      </c>
      <c r="W521" t="s">
        <v>74</v>
      </c>
      <c r="X521" t="s">
        <v>3386</v>
      </c>
      <c r="Y521" s="2">
        <v>918</v>
      </c>
      <c r="Z521" s="3">
        <v>1.7</v>
      </c>
      <c r="AA521" s="4">
        <v>1564</v>
      </c>
      <c r="AK521" s="5">
        <v>12.2905</v>
      </c>
      <c r="AN521" s="1">
        <v>3</v>
      </c>
      <c r="AO521" t="s">
        <v>81</v>
      </c>
      <c r="AP521" t="s">
        <v>82</v>
      </c>
      <c r="AQ521" t="s">
        <v>83</v>
      </c>
      <c r="AR521" s="3">
        <v>1.62</v>
      </c>
      <c r="AS521" s="4">
        <v>1800</v>
      </c>
      <c r="AT521" s="1">
        <v>1112</v>
      </c>
      <c r="AU521" s="3">
        <v>1.56</v>
      </c>
      <c r="AV521" s="4">
        <v>2162</v>
      </c>
      <c r="AW521" s="1">
        <v>1384</v>
      </c>
      <c r="AX521" s="3">
        <v>1189774.18</v>
      </c>
      <c r="BB521" t="s">
        <v>84</v>
      </c>
      <c r="BD521" s="3">
        <v>1.83</v>
      </c>
      <c r="BE521" s="4">
        <v>1323</v>
      </c>
      <c r="BF521" s="1">
        <v>723</v>
      </c>
      <c r="BG521" s="1">
        <v>198</v>
      </c>
      <c r="BH521" s="1">
        <v>132</v>
      </c>
      <c r="BI521" s="1">
        <v>28</v>
      </c>
      <c r="BL521" t="s">
        <v>131</v>
      </c>
    </row>
    <row r="522" spans="1:67" x14ac:dyDescent="0.25">
      <c r="A522" t="s">
        <v>3880</v>
      </c>
      <c r="B522" t="s">
        <v>3881</v>
      </c>
      <c r="C522" s="4">
        <f>(AA522*(H522*0.9))*12</f>
        <v>3040416</v>
      </c>
      <c r="D522" s="4">
        <f>IF(C522=0,"",(H522*150*12)+C522)</f>
        <v>3364416</v>
      </c>
      <c r="E522" s="4">
        <f>IFERROR(D522*0.5,"")</f>
        <v>1682208</v>
      </c>
      <c r="F522" s="4">
        <f>IFERROR(E522/0.06,"")</f>
        <v>28036800</v>
      </c>
      <c r="G522" s="4">
        <f>IFERROR(F522/H522,"")</f>
        <v>155760</v>
      </c>
      <c r="H522" s="1">
        <v>180</v>
      </c>
      <c r="I522" s="1">
        <v>2000</v>
      </c>
      <c r="J522" t="s">
        <v>64</v>
      </c>
      <c r="K522" t="s">
        <v>3875</v>
      </c>
      <c r="L522" t="s">
        <v>3882</v>
      </c>
      <c r="M522" t="s">
        <v>3883</v>
      </c>
      <c r="N522" t="s">
        <v>3884</v>
      </c>
      <c r="O522" t="s">
        <v>3882</v>
      </c>
      <c r="P522" s="1">
        <v>3</v>
      </c>
      <c r="Q522" t="s">
        <v>91</v>
      </c>
      <c r="R522" t="s">
        <v>70</v>
      </c>
      <c r="S522" t="s">
        <v>71</v>
      </c>
      <c r="T522" t="s">
        <v>118</v>
      </c>
      <c r="U522" t="s">
        <v>72</v>
      </c>
      <c r="V522" t="s">
        <v>73</v>
      </c>
      <c r="W522" t="s">
        <v>74</v>
      </c>
      <c r="X522" t="s">
        <v>3885</v>
      </c>
      <c r="Y522" s="2">
        <v>1195</v>
      </c>
      <c r="Z522" s="3">
        <v>1.31</v>
      </c>
      <c r="AA522" s="4">
        <v>1564</v>
      </c>
      <c r="AK522" s="5">
        <v>14.4444</v>
      </c>
      <c r="AN522" s="1">
        <v>2</v>
      </c>
      <c r="AO522" t="s">
        <v>81</v>
      </c>
      <c r="AP522" t="s">
        <v>82</v>
      </c>
      <c r="AQ522" t="s">
        <v>83</v>
      </c>
      <c r="AR522" s="3">
        <v>1.27</v>
      </c>
      <c r="AS522" s="4">
        <v>1294</v>
      </c>
      <c r="AT522" s="1">
        <v>1023</v>
      </c>
      <c r="AU522" s="3">
        <v>1.34</v>
      </c>
      <c r="AV522" s="4">
        <v>1641</v>
      </c>
      <c r="AW522" s="1">
        <v>1227</v>
      </c>
      <c r="AX522" s="3">
        <v>309886.92</v>
      </c>
      <c r="BB522" t="s">
        <v>84</v>
      </c>
      <c r="BH522" s="1">
        <v>60</v>
      </c>
      <c r="BI522" s="1">
        <v>80</v>
      </c>
      <c r="BJ522" s="1">
        <v>40</v>
      </c>
      <c r="BK522" t="s">
        <v>3886</v>
      </c>
      <c r="BL522" t="s">
        <v>104</v>
      </c>
      <c r="BM522" s="3">
        <v>1.3</v>
      </c>
      <c r="BN522" s="4">
        <v>1813</v>
      </c>
      <c r="BO522" s="1">
        <v>1390</v>
      </c>
    </row>
    <row r="523" spans="1:67" x14ac:dyDescent="0.25">
      <c r="A523" t="s">
        <v>1787</v>
      </c>
      <c r="B523" t="s">
        <v>1788</v>
      </c>
      <c r="C523" s="4">
        <f>(AA523*(H523*0.9))*12</f>
        <v>4056480</v>
      </c>
      <c r="D523" s="4">
        <f>IF(C523=0,"",(H523*150*12)+C523)</f>
        <v>4488480</v>
      </c>
      <c r="E523" s="4">
        <f>IFERROR(D523*0.5,"")</f>
        <v>2244240</v>
      </c>
      <c r="F523" s="4">
        <f>IFERROR(E523/0.06,"")</f>
        <v>37404000</v>
      </c>
      <c r="G523" s="4">
        <f>IFERROR(F523/H523,"")</f>
        <v>155850</v>
      </c>
      <c r="H523" s="1">
        <v>240</v>
      </c>
      <c r="I523" s="1">
        <v>1987</v>
      </c>
      <c r="J523" t="s">
        <v>64</v>
      </c>
      <c r="K523" t="s">
        <v>123</v>
      </c>
      <c r="L523" t="s">
        <v>1789</v>
      </c>
      <c r="M523" t="s">
        <v>1790</v>
      </c>
      <c r="N523" t="s">
        <v>1791</v>
      </c>
      <c r="O523" t="s">
        <v>1789</v>
      </c>
      <c r="P523" s="1">
        <v>3</v>
      </c>
      <c r="Q523" t="s">
        <v>91</v>
      </c>
      <c r="R523" t="s">
        <v>70</v>
      </c>
      <c r="S523" t="s">
        <v>71</v>
      </c>
      <c r="U523" t="s">
        <v>72</v>
      </c>
      <c r="V523" t="s">
        <v>129</v>
      </c>
      <c r="W523" t="s">
        <v>74</v>
      </c>
      <c r="X523" t="s">
        <v>1792</v>
      </c>
      <c r="Y523" s="2">
        <v>897</v>
      </c>
      <c r="Z523" s="3">
        <v>1.74</v>
      </c>
      <c r="AA523" s="4">
        <v>1565</v>
      </c>
      <c r="AK523" s="5">
        <v>4.1666999999999996</v>
      </c>
      <c r="AN523" s="1">
        <v>3</v>
      </c>
      <c r="AO523" t="s">
        <v>81</v>
      </c>
      <c r="AP523" t="s">
        <v>82</v>
      </c>
      <c r="AQ523" t="s">
        <v>83</v>
      </c>
      <c r="AR523" s="3">
        <v>1.7</v>
      </c>
      <c r="AS523" s="4">
        <v>1632</v>
      </c>
      <c r="AT523" s="1">
        <v>960</v>
      </c>
      <c r="AX523" s="3">
        <v>557529.15</v>
      </c>
      <c r="BB523" t="s">
        <v>84</v>
      </c>
      <c r="BD523" s="3">
        <v>1.92</v>
      </c>
      <c r="BE523" s="4">
        <v>1365</v>
      </c>
      <c r="BF523" s="1">
        <v>710</v>
      </c>
      <c r="BG523" s="1">
        <v>60</v>
      </c>
      <c r="BH523" s="1">
        <v>180</v>
      </c>
      <c r="BL523" t="s">
        <v>131</v>
      </c>
    </row>
    <row r="524" spans="1:67" x14ac:dyDescent="0.25">
      <c r="A524" t="s">
        <v>2449</v>
      </c>
      <c r="B524" t="s">
        <v>2450</v>
      </c>
      <c r="C524" s="4">
        <f>(AA524*(H524*0.9))*12</f>
        <v>6904828.8000000007</v>
      </c>
      <c r="D524" s="4">
        <f>IF(C524=0,"",(H524*150*12)+C524)</f>
        <v>7639228.8000000007</v>
      </c>
      <c r="E524" s="4">
        <f>IFERROR(D524*0.5,"")</f>
        <v>3819614.4000000004</v>
      </c>
      <c r="F524" s="4">
        <f>IFERROR(E524/0.06,"")</f>
        <v>63660240.000000007</v>
      </c>
      <c r="G524" s="4">
        <f>IFERROR(F524/H524,"")</f>
        <v>156030.00000000003</v>
      </c>
      <c r="H524" s="1">
        <v>408</v>
      </c>
      <c r="I524" s="1">
        <v>1996</v>
      </c>
      <c r="J524" t="s">
        <v>64</v>
      </c>
      <c r="K524" t="s">
        <v>177</v>
      </c>
      <c r="L524" t="s">
        <v>801</v>
      </c>
      <c r="M524" t="s">
        <v>2451</v>
      </c>
      <c r="N524" t="s">
        <v>2095</v>
      </c>
      <c r="O524" t="s">
        <v>801</v>
      </c>
      <c r="P524" s="1">
        <v>3</v>
      </c>
      <c r="Q524" t="s">
        <v>91</v>
      </c>
      <c r="R524" t="s">
        <v>70</v>
      </c>
      <c r="S524" t="s">
        <v>71</v>
      </c>
      <c r="U524" t="s">
        <v>72</v>
      </c>
      <c r="V524" t="s">
        <v>181</v>
      </c>
      <c r="W524" t="s">
        <v>74</v>
      </c>
      <c r="X524" t="s">
        <v>2452</v>
      </c>
      <c r="Y524" s="2">
        <v>946</v>
      </c>
      <c r="Z524" s="3">
        <v>1.66</v>
      </c>
      <c r="AA524" s="4">
        <v>1567</v>
      </c>
      <c r="AK524" s="5">
        <v>4.9020000000000001</v>
      </c>
      <c r="AN524" s="1">
        <v>3</v>
      </c>
      <c r="AO524" t="s">
        <v>81</v>
      </c>
      <c r="AP524" t="s">
        <v>82</v>
      </c>
      <c r="AQ524" t="s">
        <v>83</v>
      </c>
      <c r="AR524" s="3">
        <v>1.59</v>
      </c>
      <c r="AS524" s="4">
        <v>1700</v>
      </c>
      <c r="AT524" s="1">
        <v>1072</v>
      </c>
      <c r="AU524" s="3">
        <v>1.67</v>
      </c>
      <c r="AV524" s="4">
        <v>2278</v>
      </c>
      <c r="AW524" s="1">
        <v>1362</v>
      </c>
      <c r="AX524" s="3">
        <v>1588675.3</v>
      </c>
      <c r="BB524" t="s">
        <v>84</v>
      </c>
      <c r="BD524" s="3">
        <v>1.73</v>
      </c>
      <c r="BE524" s="4">
        <v>1366</v>
      </c>
      <c r="BF524" s="1">
        <v>788</v>
      </c>
      <c r="BG524" s="1">
        <v>204</v>
      </c>
      <c r="BH524" s="1">
        <v>180</v>
      </c>
      <c r="BI524" s="1">
        <v>24</v>
      </c>
    </row>
    <row r="525" spans="1:67" x14ac:dyDescent="0.25">
      <c r="A525" t="s">
        <v>981</v>
      </c>
      <c r="B525" t="s">
        <v>982</v>
      </c>
      <c r="C525" s="4">
        <f>(AA525*(H525*0.9))*12</f>
        <v>11684736</v>
      </c>
      <c r="D525" s="4">
        <f>IF(C525=0,"",(H525*150*12)+C525)</f>
        <v>12926736</v>
      </c>
      <c r="E525" s="4">
        <f>IFERROR(D525*0.5,"")</f>
        <v>6463368</v>
      </c>
      <c r="F525" s="4">
        <f>IFERROR(E525/0.06,"")</f>
        <v>107722800</v>
      </c>
      <c r="G525" s="4">
        <f>IFERROR(F525/H525,"")</f>
        <v>156120</v>
      </c>
      <c r="H525" s="1">
        <v>690</v>
      </c>
      <c r="I525" s="1">
        <v>1988</v>
      </c>
      <c r="J525" t="s">
        <v>64</v>
      </c>
      <c r="K525" t="s">
        <v>551</v>
      </c>
      <c r="L525" t="s">
        <v>983</v>
      </c>
      <c r="M525" t="s">
        <v>984</v>
      </c>
      <c r="N525" t="s">
        <v>985</v>
      </c>
      <c r="O525" t="s">
        <v>983</v>
      </c>
      <c r="P525" s="1">
        <v>3</v>
      </c>
      <c r="Q525" t="s">
        <v>91</v>
      </c>
      <c r="R525" t="s">
        <v>70</v>
      </c>
      <c r="S525" t="s">
        <v>71</v>
      </c>
      <c r="U525" t="s">
        <v>72</v>
      </c>
      <c r="V525" t="s">
        <v>551</v>
      </c>
      <c r="W525" t="s">
        <v>74</v>
      </c>
      <c r="X525" t="s">
        <v>986</v>
      </c>
      <c r="Y525" s="2">
        <v>868</v>
      </c>
      <c r="Z525" s="3">
        <v>1.81</v>
      </c>
      <c r="AA525" s="4">
        <v>1568</v>
      </c>
      <c r="AK525" s="5">
        <v>5.0724999999999998</v>
      </c>
      <c r="AM525" s="1">
        <v>2003</v>
      </c>
      <c r="AN525" s="1">
        <v>2</v>
      </c>
      <c r="AO525" t="s">
        <v>81</v>
      </c>
      <c r="AP525" t="s">
        <v>82</v>
      </c>
      <c r="AQ525" t="s">
        <v>83</v>
      </c>
      <c r="AR525" s="3">
        <v>1.65</v>
      </c>
      <c r="AS525" s="4">
        <v>1715</v>
      </c>
      <c r="AT525" s="1">
        <v>1040</v>
      </c>
      <c r="AU525" s="3">
        <v>1.48</v>
      </c>
      <c r="AV525" s="4">
        <v>2052</v>
      </c>
      <c r="AW525" s="1">
        <v>1390</v>
      </c>
      <c r="AX525" s="3">
        <v>2154996.35</v>
      </c>
      <c r="BB525" t="s">
        <v>84</v>
      </c>
      <c r="BD525" s="3">
        <v>2</v>
      </c>
      <c r="BE525" s="4">
        <v>1439</v>
      </c>
      <c r="BF525" s="1">
        <v>719</v>
      </c>
      <c r="BG525" s="1">
        <v>387</v>
      </c>
      <c r="BH525" s="1">
        <v>287</v>
      </c>
      <c r="BI525" s="1">
        <v>16</v>
      </c>
      <c r="BK525" t="s">
        <v>987</v>
      </c>
      <c r="BL525" t="s">
        <v>131</v>
      </c>
    </row>
    <row r="526" spans="1:67" x14ac:dyDescent="0.25">
      <c r="A526" t="s">
        <v>3673</v>
      </c>
      <c r="B526" t="s">
        <v>3674</v>
      </c>
      <c r="C526" s="4">
        <f>(AA526*(H526*0.9))*12</f>
        <v>1626739.2000000002</v>
      </c>
      <c r="D526" s="4">
        <f>IF(C526=0,"",(H526*150*12)+C526)</f>
        <v>1799539.2000000002</v>
      </c>
      <c r="E526" s="4">
        <f>IFERROR(D526*0.5,"")</f>
        <v>899769.60000000009</v>
      </c>
      <c r="F526" s="4">
        <f>IFERROR(E526/0.06,"")</f>
        <v>14996160.000000002</v>
      </c>
      <c r="G526" s="4">
        <f>IFERROR(F526/H526,"")</f>
        <v>156210.00000000003</v>
      </c>
      <c r="H526" s="1">
        <v>96</v>
      </c>
      <c r="I526" s="1">
        <v>1995</v>
      </c>
      <c r="J526" t="s">
        <v>64</v>
      </c>
      <c r="K526" t="s">
        <v>269</v>
      </c>
      <c r="L526" t="s">
        <v>3146</v>
      </c>
      <c r="M526" t="s">
        <v>3675</v>
      </c>
      <c r="N526" t="s">
        <v>3676</v>
      </c>
      <c r="O526" t="s">
        <v>3146</v>
      </c>
      <c r="P526" s="1">
        <v>3</v>
      </c>
      <c r="Q526" t="s">
        <v>91</v>
      </c>
      <c r="R526" t="s">
        <v>70</v>
      </c>
      <c r="S526" t="s">
        <v>71</v>
      </c>
      <c r="U526" t="s">
        <v>72</v>
      </c>
      <c r="V526" t="s">
        <v>73</v>
      </c>
      <c r="W526" t="s">
        <v>74</v>
      </c>
      <c r="X526" t="s">
        <v>1551</v>
      </c>
      <c r="Y526" s="2">
        <v>1049</v>
      </c>
      <c r="Z526" s="3">
        <v>1.5</v>
      </c>
      <c r="AA526" s="4">
        <v>1569</v>
      </c>
      <c r="AK526" s="5">
        <v>11.458299999999999</v>
      </c>
      <c r="AN526" s="1">
        <v>2</v>
      </c>
      <c r="AO526" t="s">
        <v>81</v>
      </c>
      <c r="AP526" t="s">
        <v>82</v>
      </c>
      <c r="AQ526" t="s">
        <v>83</v>
      </c>
      <c r="AR526" s="3">
        <v>1.37</v>
      </c>
      <c r="AS526" s="4">
        <v>1775</v>
      </c>
      <c r="AT526" s="1">
        <v>1297</v>
      </c>
      <c r="AX526" s="3">
        <v>371350.25</v>
      </c>
      <c r="BB526" t="s">
        <v>84</v>
      </c>
      <c r="BD526" s="3">
        <v>1.7</v>
      </c>
      <c r="BE526" s="4">
        <v>1364</v>
      </c>
      <c r="BF526" s="1">
        <v>802</v>
      </c>
      <c r="BG526" s="1">
        <v>48</v>
      </c>
      <c r="BH526" s="1">
        <v>48</v>
      </c>
    </row>
    <row r="527" spans="1:67" x14ac:dyDescent="0.25">
      <c r="A527" t="s">
        <v>846</v>
      </c>
      <c r="B527" t="s">
        <v>847</v>
      </c>
      <c r="C527" s="4">
        <f>(AA527*(H527*0.9))*12</f>
        <v>7135128</v>
      </c>
      <c r="D527" s="4">
        <f>IF(C527=0,"",(H527*150*12)+C527)</f>
        <v>7891128</v>
      </c>
      <c r="E527" s="4">
        <f>IFERROR(D527*0.5,"")</f>
        <v>3945564</v>
      </c>
      <c r="F527" s="4">
        <f>IFERROR(E527/0.06,"")</f>
        <v>65759400</v>
      </c>
      <c r="G527" s="4">
        <f>IFERROR(F527/H527,"")</f>
        <v>156570</v>
      </c>
      <c r="H527" s="1">
        <v>420</v>
      </c>
      <c r="I527" s="1">
        <v>1985</v>
      </c>
      <c r="J527" t="s">
        <v>64</v>
      </c>
      <c r="K527" t="s">
        <v>514</v>
      </c>
      <c r="L527" t="s">
        <v>848</v>
      </c>
      <c r="M527" t="s">
        <v>849</v>
      </c>
      <c r="N527" t="s">
        <v>850</v>
      </c>
      <c r="O527" t="s">
        <v>848</v>
      </c>
      <c r="P527" s="1">
        <v>3</v>
      </c>
      <c r="Q527" t="s">
        <v>91</v>
      </c>
      <c r="R527" t="s">
        <v>70</v>
      </c>
      <c r="S527" t="s">
        <v>71</v>
      </c>
      <c r="U527" t="s">
        <v>72</v>
      </c>
      <c r="V527" t="s">
        <v>264</v>
      </c>
      <c r="W527" t="s">
        <v>74</v>
      </c>
      <c r="X527" t="s">
        <v>851</v>
      </c>
      <c r="Y527" s="2">
        <v>827</v>
      </c>
      <c r="Z527" s="3">
        <v>1.9</v>
      </c>
      <c r="AA527" s="4">
        <v>1573</v>
      </c>
      <c r="AK527" s="5">
        <v>10.238099999999999</v>
      </c>
      <c r="AN527" s="1">
        <v>3</v>
      </c>
      <c r="AO527" t="s">
        <v>81</v>
      </c>
      <c r="AP527" t="s">
        <v>82</v>
      </c>
      <c r="AQ527" t="s">
        <v>83</v>
      </c>
      <c r="AR527" s="3">
        <v>1.8</v>
      </c>
      <c r="AS527" s="4">
        <v>1768</v>
      </c>
      <c r="AT527" s="1">
        <v>982</v>
      </c>
      <c r="AU527" s="3">
        <v>1.79</v>
      </c>
      <c r="AV527" s="4">
        <v>2127</v>
      </c>
      <c r="AW527" s="1">
        <v>1190</v>
      </c>
      <c r="AX527" s="3">
        <v>1516172.4</v>
      </c>
      <c r="BB527" t="s">
        <v>84</v>
      </c>
      <c r="BD527" s="3">
        <v>2.02</v>
      </c>
      <c r="BE527" s="4">
        <v>1356</v>
      </c>
      <c r="BF527" s="1">
        <v>672</v>
      </c>
      <c r="BG527" s="1">
        <v>244</v>
      </c>
      <c r="BH527" s="1">
        <v>124</v>
      </c>
      <c r="BI527" s="1">
        <v>52</v>
      </c>
      <c r="BK527" t="s">
        <v>731</v>
      </c>
      <c r="BL527" t="s">
        <v>104</v>
      </c>
    </row>
    <row r="528" spans="1:67" x14ac:dyDescent="0.25">
      <c r="A528" t="s">
        <v>2597</v>
      </c>
      <c r="B528" t="s">
        <v>2598</v>
      </c>
      <c r="C528" s="4">
        <f>(AA528*(H528*0.9))*12</f>
        <v>2922004.8000000003</v>
      </c>
      <c r="D528" s="4">
        <f>IF(C528=0,"",(H528*150*12)+C528)</f>
        <v>3231604.8000000003</v>
      </c>
      <c r="E528" s="4">
        <f>IFERROR(D528*0.5,"")</f>
        <v>1615802.4000000001</v>
      </c>
      <c r="F528" s="4">
        <f>IFERROR(E528/0.06,"")</f>
        <v>26930040.000000004</v>
      </c>
      <c r="G528" s="4">
        <f>IFERROR(F528/H528,"")</f>
        <v>156570.00000000003</v>
      </c>
      <c r="H528" s="1">
        <v>172</v>
      </c>
      <c r="I528" s="1">
        <v>1997</v>
      </c>
      <c r="J528" t="s">
        <v>64</v>
      </c>
      <c r="K528" t="s">
        <v>2063</v>
      </c>
      <c r="L528" t="s">
        <v>403</v>
      </c>
      <c r="M528" t="s">
        <v>2599</v>
      </c>
      <c r="N528" t="s">
        <v>2600</v>
      </c>
      <c r="O528" t="s">
        <v>403</v>
      </c>
      <c r="P528" s="1">
        <v>3</v>
      </c>
      <c r="Q528" t="s">
        <v>91</v>
      </c>
      <c r="R528" t="s">
        <v>70</v>
      </c>
      <c r="S528" t="s">
        <v>71</v>
      </c>
      <c r="T528" t="s">
        <v>118</v>
      </c>
      <c r="U528" t="s">
        <v>72</v>
      </c>
      <c r="V528" t="s">
        <v>152</v>
      </c>
      <c r="W528" t="s">
        <v>74</v>
      </c>
      <c r="X528" t="s">
        <v>2601</v>
      </c>
      <c r="Y528" s="2">
        <v>824</v>
      </c>
      <c r="Z528" s="3">
        <v>1.91</v>
      </c>
      <c r="AA528" s="4">
        <v>1573</v>
      </c>
      <c r="AK528" s="5">
        <v>4.6512000000000002</v>
      </c>
      <c r="AN528" s="1">
        <v>1</v>
      </c>
      <c r="AO528" t="s">
        <v>81</v>
      </c>
      <c r="AP528" t="s">
        <v>82</v>
      </c>
      <c r="AQ528" t="s">
        <v>83</v>
      </c>
      <c r="AR528" s="3">
        <v>1.77</v>
      </c>
      <c r="AS528" s="4">
        <v>1564</v>
      </c>
      <c r="AT528" s="1">
        <v>884</v>
      </c>
      <c r="AU528" s="3">
        <v>1.71</v>
      </c>
      <c r="AV528" s="4">
        <v>2068</v>
      </c>
      <c r="AW528" s="1">
        <v>1208</v>
      </c>
      <c r="BB528" t="s">
        <v>84</v>
      </c>
      <c r="BD528" s="3">
        <v>2.19</v>
      </c>
      <c r="BE528" s="4">
        <v>1463</v>
      </c>
      <c r="BF528" s="1">
        <v>668</v>
      </c>
      <c r="BG528" s="1">
        <v>74</v>
      </c>
      <c r="BH528" s="1">
        <v>80</v>
      </c>
      <c r="BI528" s="1">
        <v>18</v>
      </c>
      <c r="BK528" t="s">
        <v>2602</v>
      </c>
      <c r="BL528" t="s">
        <v>131</v>
      </c>
    </row>
    <row r="529" spans="1:67" x14ac:dyDescent="0.25">
      <c r="A529" t="s">
        <v>3643</v>
      </c>
      <c r="B529" t="s">
        <v>3644</v>
      </c>
      <c r="C529" s="4">
        <f>(AA529*(H529*0.9))*12</f>
        <v>5453276.4000000004</v>
      </c>
      <c r="D529" s="4">
        <f>IF(C529=0,"",(H529*150*12)+C529)</f>
        <v>6031076.4000000004</v>
      </c>
      <c r="E529" s="4">
        <f>IFERROR(D529*0.5,"")</f>
        <v>3015538.2</v>
      </c>
      <c r="F529" s="4">
        <f>IFERROR(E529/0.06,"")</f>
        <v>50258970.000000007</v>
      </c>
      <c r="G529" s="4">
        <f>IFERROR(F529/H529,"")</f>
        <v>156570.00000000003</v>
      </c>
      <c r="H529" s="1">
        <v>321</v>
      </c>
      <c r="I529" s="1">
        <v>2000</v>
      </c>
      <c r="J529" t="s">
        <v>64</v>
      </c>
      <c r="K529" t="s">
        <v>168</v>
      </c>
      <c r="L529" t="s">
        <v>1626</v>
      </c>
      <c r="M529" t="s">
        <v>3645</v>
      </c>
      <c r="N529" t="s">
        <v>3646</v>
      </c>
      <c r="O529" t="s">
        <v>1626</v>
      </c>
      <c r="P529" s="1">
        <v>3</v>
      </c>
      <c r="Q529" t="s">
        <v>91</v>
      </c>
      <c r="R529" t="s">
        <v>70</v>
      </c>
      <c r="S529" t="s">
        <v>71</v>
      </c>
      <c r="U529" t="s">
        <v>72</v>
      </c>
      <c r="V529" t="s">
        <v>172</v>
      </c>
      <c r="W529" t="s">
        <v>74</v>
      </c>
      <c r="X529" t="s">
        <v>3647</v>
      </c>
      <c r="Y529" s="2">
        <v>952</v>
      </c>
      <c r="Z529" s="3">
        <v>1.65</v>
      </c>
      <c r="AA529" s="4">
        <v>1573</v>
      </c>
      <c r="AK529" s="5">
        <v>16.822399999999998</v>
      </c>
      <c r="AM529" s="1">
        <v>2015</v>
      </c>
      <c r="AN529" s="1">
        <v>3</v>
      </c>
      <c r="AO529" t="s">
        <v>81</v>
      </c>
      <c r="AP529" t="s">
        <v>82</v>
      </c>
      <c r="AQ529" t="s">
        <v>83</v>
      </c>
      <c r="AR529" s="3">
        <v>1.64</v>
      </c>
      <c r="AS529" s="4">
        <v>1611</v>
      </c>
      <c r="AT529" s="1">
        <v>985</v>
      </c>
      <c r="AU529" s="3">
        <v>1.62</v>
      </c>
      <c r="AV529" s="4">
        <v>1977</v>
      </c>
      <c r="AW529" s="1">
        <v>1217</v>
      </c>
      <c r="AX529" s="3">
        <v>1210663.94</v>
      </c>
      <c r="BB529" t="s">
        <v>84</v>
      </c>
      <c r="BD529" s="3">
        <v>1.71</v>
      </c>
      <c r="BE529" s="4">
        <v>1303</v>
      </c>
      <c r="BF529" s="1">
        <v>764</v>
      </c>
      <c r="BG529" s="1">
        <v>96</v>
      </c>
      <c r="BH529" s="1">
        <v>178</v>
      </c>
      <c r="BI529" s="1">
        <v>47</v>
      </c>
      <c r="BL529" t="s">
        <v>94</v>
      </c>
    </row>
    <row r="530" spans="1:67" x14ac:dyDescent="0.25">
      <c r="A530" t="s">
        <v>2126</v>
      </c>
      <c r="B530" t="s">
        <v>2127</v>
      </c>
      <c r="C530" s="4">
        <f>(AA530*(H530*0.9))*12</f>
        <v>8907580.8000000007</v>
      </c>
      <c r="D530" s="4">
        <f>IF(C530=0,"",(H530*150*12)+C530)</f>
        <v>9850780.8000000007</v>
      </c>
      <c r="E530" s="4">
        <f>IFERROR(D530*0.5,"")</f>
        <v>4925390.4000000004</v>
      </c>
      <c r="F530" s="4">
        <f>IFERROR(E530/0.06,"")</f>
        <v>82089840.000000015</v>
      </c>
      <c r="G530" s="4">
        <f>IFERROR(F530/H530,"")</f>
        <v>156660.00000000003</v>
      </c>
      <c r="H530" s="1">
        <v>524</v>
      </c>
      <c r="I530" s="1">
        <v>1997</v>
      </c>
      <c r="J530" t="s">
        <v>64</v>
      </c>
      <c r="K530" t="s">
        <v>477</v>
      </c>
      <c r="L530" t="s">
        <v>1976</v>
      </c>
      <c r="M530" t="s">
        <v>2128</v>
      </c>
      <c r="N530" t="s">
        <v>2129</v>
      </c>
      <c r="O530" t="s">
        <v>1976</v>
      </c>
      <c r="P530" s="1">
        <v>4</v>
      </c>
      <c r="Q530" t="s">
        <v>729</v>
      </c>
      <c r="R530" t="s">
        <v>70</v>
      </c>
      <c r="S530" t="s">
        <v>71</v>
      </c>
      <c r="U530" t="s">
        <v>72</v>
      </c>
      <c r="V530" t="s">
        <v>110</v>
      </c>
      <c r="W530" t="s">
        <v>74</v>
      </c>
      <c r="X530" t="s">
        <v>704</v>
      </c>
      <c r="Y530" s="2">
        <v>889</v>
      </c>
      <c r="Z530" s="3">
        <v>1.77</v>
      </c>
      <c r="AA530" s="4">
        <v>1574</v>
      </c>
      <c r="AK530" s="5">
        <v>7.0610999999999997</v>
      </c>
      <c r="AN530" s="1">
        <v>3</v>
      </c>
      <c r="AO530" t="s">
        <v>81</v>
      </c>
      <c r="AP530" t="s">
        <v>82</v>
      </c>
      <c r="AQ530" t="s">
        <v>83</v>
      </c>
      <c r="AR530" s="3">
        <v>1.72</v>
      </c>
      <c r="AS530" s="4">
        <v>1800</v>
      </c>
      <c r="AT530" s="1">
        <v>1048</v>
      </c>
      <c r="AU530" s="3">
        <v>1.57</v>
      </c>
      <c r="AV530" s="4">
        <v>2050</v>
      </c>
      <c r="AW530" s="1">
        <v>1302</v>
      </c>
      <c r="AX530" s="3">
        <v>2141868.4</v>
      </c>
      <c r="BB530" t="s">
        <v>84</v>
      </c>
      <c r="BD530" s="3">
        <v>1.89</v>
      </c>
      <c r="BE530" s="4">
        <v>1330</v>
      </c>
      <c r="BF530" s="1">
        <v>704</v>
      </c>
      <c r="BG530" s="1">
        <v>277</v>
      </c>
      <c r="BH530" s="1">
        <v>199</v>
      </c>
      <c r="BI530" s="1">
        <v>48</v>
      </c>
      <c r="BL530" t="s">
        <v>131</v>
      </c>
    </row>
    <row r="531" spans="1:67" x14ac:dyDescent="0.25">
      <c r="A531" t="s">
        <v>4046</v>
      </c>
      <c r="B531" t="s">
        <v>4047</v>
      </c>
      <c r="C531" s="4">
        <f>(AA531*(H531*0.9))*12</f>
        <v>8879220</v>
      </c>
      <c r="D531" s="4">
        <f>IF(C531=0,"",(H531*150*12)+C531)</f>
        <v>9818820</v>
      </c>
      <c r="E531" s="4">
        <f>IFERROR(D531*0.5,"")</f>
        <v>4909410</v>
      </c>
      <c r="F531" s="4">
        <f>IFERROR(E531/0.06,"")</f>
        <v>81823500</v>
      </c>
      <c r="G531" s="4">
        <f>IFERROR(F531/H531,"")</f>
        <v>156750</v>
      </c>
      <c r="H531" s="1">
        <v>522</v>
      </c>
      <c r="I531" s="1">
        <v>1999</v>
      </c>
      <c r="J531" t="s">
        <v>64</v>
      </c>
      <c r="K531" t="s">
        <v>734</v>
      </c>
      <c r="L531" t="s">
        <v>478</v>
      </c>
      <c r="M531" t="s">
        <v>4048</v>
      </c>
      <c r="N531" t="s">
        <v>4049</v>
      </c>
      <c r="O531" t="s">
        <v>478</v>
      </c>
      <c r="P531" s="1">
        <v>4</v>
      </c>
      <c r="Q531" t="s">
        <v>729</v>
      </c>
      <c r="R531" t="s">
        <v>70</v>
      </c>
      <c r="S531" t="s">
        <v>71</v>
      </c>
      <c r="U531" t="s">
        <v>72</v>
      </c>
      <c r="V531" t="s">
        <v>73</v>
      </c>
      <c r="W531" t="s">
        <v>74</v>
      </c>
      <c r="X531" t="s">
        <v>730</v>
      </c>
      <c r="Y531" s="2">
        <v>958</v>
      </c>
      <c r="Z531" s="3">
        <v>1.64</v>
      </c>
      <c r="AA531" s="4">
        <v>1575</v>
      </c>
      <c r="AK531" s="5">
        <v>14.5594</v>
      </c>
      <c r="AM531" s="1">
        <v>2008</v>
      </c>
      <c r="AN531" s="1">
        <v>3</v>
      </c>
      <c r="AO531" t="s">
        <v>81</v>
      </c>
      <c r="AP531" t="s">
        <v>82</v>
      </c>
      <c r="AQ531" t="s">
        <v>83</v>
      </c>
      <c r="AR531" s="3">
        <v>1.6</v>
      </c>
      <c r="AS531" s="4">
        <v>1800</v>
      </c>
      <c r="AT531" s="1">
        <v>1127</v>
      </c>
      <c r="AU531" s="3">
        <v>1.51</v>
      </c>
      <c r="AV531" s="4">
        <v>2207</v>
      </c>
      <c r="AW531" s="1">
        <v>1461</v>
      </c>
      <c r="AX531" s="3">
        <v>1517673.58</v>
      </c>
      <c r="BB531" t="s">
        <v>84</v>
      </c>
      <c r="BD531" s="3">
        <v>1.74</v>
      </c>
      <c r="BE531" s="4">
        <v>1309</v>
      </c>
      <c r="BF531" s="1">
        <v>754</v>
      </c>
      <c r="BG531" s="1">
        <v>274</v>
      </c>
      <c r="BH531" s="1">
        <v>206</v>
      </c>
      <c r="BI531" s="1">
        <v>42</v>
      </c>
      <c r="BK531" t="s">
        <v>4050</v>
      </c>
      <c r="BL531" t="s">
        <v>104</v>
      </c>
    </row>
    <row r="532" spans="1:67" x14ac:dyDescent="0.25">
      <c r="A532" t="s">
        <v>4192</v>
      </c>
      <c r="B532" t="s">
        <v>4193</v>
      </c>
      <c r="C532" s="4">
        <f>(AA532*(H532*0.9))*12</f>
        <v>6633900</v>
      </c>
      <c r="D532" s="4">
        <f>IF(C532=0,"",(H532*150*12)+C532)</f>
        <v>7335900</v>
      </c>
      <c r="E532" s="4">
        <f>IFERROR(D532*0.5,"")</f>
        <v>3667950</v>
      </c>
      <c r="F532" s="4">
        <f>IFERROR(E532/0.06,"")</f>
        <v>61132500</v>
      </c>
      <c r="G532" s="4">
        <f>IFERROR(F532/H532,"")</f>
        <v>156750</v>
      </c>
      <c r="H532" s="1">
        <v>390</v>
      </c>
      <c r="I532" s="1">
        <v>2000</v>
      </c>
      <c r="J532" t="s">
        <v>64</v>
      </c>
      <c r="K532" t="s">
        <v>97</v>
      </c>
      <c r="L532" t="s">
        <v>801</v>
      </c>
      <c r="M532" t="s">
        <v>4194</v>
      </c>
      <c r="N532" t="s">
        <v>4195</v>
      </c>
      <c r="O532" t="s">
        <v>801</v>
      </c>
      <c r="P532" s="1">
        <v>3</v>
      </c>
      <c r="Q532" t="s">
        <v>91</v>
      </c>
      <c r="R532" t="s">
        <v>70</v>
      </c>
      <c r="S532" t="s">
        <v>71</v>
      </c>
      <c r="U532" t="s">
        <v>72</v>
      </c>
      <c r="V532" t="s">
        <v>531</v>
      </c>
      <c r="W532" t="s">
        <v>74</v>
      </c>
      <c r="X532" t="s">
        <v>532</v>
      </c>
      <c r="Y532" s="2">
        <v>882</v>
      </c>
      <c r="Z532" s="3">
        <v>1.79</v>
      </c>
      <c r="AA532" s="4">
        <v>1575</v>
      </c>
      <c r="AK532" s="5">
        <v>7.1795</v>
      </c>
      <c r="AN532" s="1">
        <v>3</v>
      </c>
      <c r="AO532" t="s">
        <v>81</v>
      </c>
      <c r="AP532" t="s">
        <v>82</v>
      </c>
      <c r="AQ532" t="s">
        <v>83</v>
      </c>
      <c r="AR532" s="3">
        <v>1.66</v>
      </c>
      <c r="AS532" s="4">
        <v>1660</v>
      </c>
      <c r="AT532" s="1">
        <v>1001</v>
      </c>
      <c r="AU532" s="3">
        <v>1.7</v>
      </c>
      <c r="AV532" s="4">
        <v>2137</v>
      </c>
      <c r="AW532" s="1">
        <v>1257</v>
      </c>
      <c r="AX532" s="3">
        <v>1705269.16</v>
      </c>
      <c r="BB532" t="s">
        <v>84</v>
      </c>
      <c r="BD532" s="3">
        <v>1.98</v>
      </c>
      <c r="BE532" s="4">
        <v>1373</v>
      </c>
      <c r="BF532" s="1">
        <v>695</v>
      </c>
      <c r="BG532" s="1">
        <v>188</v>
      </c>
      <c r="BH532" s="1">
        <v>158</v>
      </c>
      <c r="BI532" s="1">
        <v>44</v>
      </c>
    </row>
    <row r="533" spans="1:67" x14ac:dyDescent="0.25">
      <c r="A533" t="s">
        <v>1288</v>
      </c>
      <c r="B533" t="s">
        <v>1289</v>
      </c>
      <c r="C533" s="4">
        <f>(AA533*(H533*0.9))*12</f>
        <v>6774278.3999999994</v>
      </c>
      <c r="D533" s="4">
        <f>IF(C533=0,"",(H533*150*12)+C533)</f>
        <v>7490678.3999999994</v>
      </c>
      <c r="E533" s="4">
        <f>IFERROR(D533*0.5,"")</f>
        <v>3745339.1999999997</v>
      </c>
      <c r="F533" s="4">
        <f>IFERROR(E533/0.06,"")</f>
        <v>62422320</v>
      </c>
      <c r="G533" s="4">
        <f>IFERROR(F533/H533,"")</f>
        <v>156840</v>
      </c>
      <c r="H533" s="1">
        <v>398</v>
      </c>
      <c r="I533" s="1">
        <v>1986</v>
      </c>
      <c r="J533" t="s">
        <v>64</v>
      </c>
      <c r="K533" t="s">
        <v>814</v>
      </c>
      <c r="L533" t="s">
        <v>1290</v>
      </c>
      <c r="M533" t="s">
        <v>1291</v>
      </c>
      <c r="N533" t="s">
        <v>1292</v>
      </c>
      <c r="O533" t="s">
        <v>1290</v>
      </c>
      <c r="P533" s="1">
        <v>3</v>
      </c>
      <c r="Q533" t="s">
        <v>69</v>
      </c>
      <c r="R533" t="s">
        <v>70</v>
      </c>
      <c r="S533" t="s">
        <v>71</v>
      </c>
      <c r="U533" t="s">
        <v>72</v>
      </c>
      <c r="V533" t="s">
        <v>814</v>
      </c>
      <c r="W533" t="s">
        <v>74</v>
      </c>
      <c r="X533" t="s">
        <v>816</v>
      </c>
      <c r="Y533" s="2">
        <v>878</v>
      </c>
      <c r="Z533" s="3">
        <v>1.79</v>
      </c>
      <c r="AA533" s="4">
        <v>1576</v>
      </c>
      <c r="AK533" s="5">
        <v>5.2763999999999998</v>
      </c>
      <c r="AN533" s="1">
        <v>2</v>
      </c>
      <c r="AO533" t="s">
        <v>81</v>
      </c>
      <c r="AP533" t="s">
        <v>82</v>
      </c>
      <c r="AQ533" t="s">
        <v>83</v>
      </c>
      <c r="AR533" s="3">
        <v>1.77</v>
      </c>
      <c r="AS533" s="4">
        <v>1670</v>
      </c>
      <c r="AT533" s="1">
        <v>946</v>
      </c>
      <c r="AU533" s="3">
        <v>2.34</v>
      </c>
      <c r="AV533" s="4">
        <v>2553</v>
      </c>
      <c r="AW533" s="1">
        <v>1093</v>
      </c>
      <c r="AX533" s="3">
        <v>1396028.9</v>
      </c>
      <c r="BB533" t="s">
        <v>84</v>
      </c>
      <c r="BD533" s="3">
        <v>1.77</v>
      </c>
      <c r="BE533" s="4">
        <v>1314</v>
      </c>
      <c r="BF533" s="1">
        <v>744</v>
      </c>
      <c r="BG533" s="1">
        <v>144</v>
      </c>
      <c r="BH533" s="1">
        <v>238</v>
      </c>
      <c r="BI533" s="1">
        <v>16</v>
      </c>
      <c r="BK533" t="s">
        <v>1293</v>
      </c>
      <c r="BL533" t="s">
        <v>365</v>
      </c>
    </row>
    <row r="534" spans="1:67" x14ac:dyDescent="0.25">
      <c r="A534" t="s">
        <v>4196</v>
      </c>
      <c r="B534" t="s">
        <v>4197</v>
      </c>
      <c r="C534" s="4">
        <f>(AA534*(H534*0.9))*12</f>
        <v>5378572.8000000007</v>
      </c>
      <c r="D534" s="4">
        <f>IF(C534=0,"",(H534*150*12)+C534)</f>
        <v>5947372.8000000007</v>
      </c>
      <c r="E534" s="4">
        <f>IFERROR(D534*0.5,"")</f>
        <v>2973686.4000000004</v>
      </c>
      <c r="F534" s="4">
        <f>IFERROR(E534/0.06,"")</f>
        <v>49561440.000000007</v>
      </c>
      <c r="G534" s="4">
        <f>IFERROR(F534/H534,"")</f>
        <v>156840.00000000003</v>
      </c>
      <c r="H534" s="1">
        <v>316</v>
      </c>
      <c r="I534" s="1">
        <v>1997</v>
      </c>
      <c r="J534" t="s">
        <v>64</v>
      </c>
      <c r="K534" t="s">
        <v>97</v>
      </c>
      <c r="L534" t="s">
        <v>3544</v>
      </c>
      <c r="M534" t="s">
        <v>4198</v>
      </c>
      <c r="N534" t="s">
        <v>4199</v>
      </c>
      <c r="O534" t="s">
        <v>3544</v>
      </c>
      <c r="P534" s="1">
        <v>3</v>
      </c>
      <c r="Q534" t="s">
        <v>91</v>
      </c>
      <c r="R534" t="s">
        <v>70</v>
      </c>
      <c r="S534" t="s">
        <v>71</v>
      </c>
      <c r="T534" t="s">
        <v>128</v>
      </c>
      <c r="U534" t="s">
        <v>72</v>
      </c>
      <c r="V534" t="s">
        <v>531</v>
      </c>
      <c r="W534" t="s">
        <v>74</v>
      </c>
      <c r="X534" t="s">
        <v>532</v>
      </c>
      <c r="Y534" s="2">
        <v>854</v>
      </c>
      <c r="Z534" s="3">
        <v>1.85</v>
      </c>
      <c r="AA534" s="4">
        <v>1576</v>
      </c>
      <c r="AK534" s="5">
        <v>8.2278000000000002</v>
      </c>
      <c r="AN534" s="1">
        <v>2</v>
      </c>
      <c r="AO534" t="s">
        <v>81</v>
      </c>
      <c r="AP534" t="s">
        <v>82</v>
      </c>
      <c r="AQ534" t="s">
        <v>83</v>
      </c>
      <c r="AR534" s="3">
        <v>1.9</v>
      </c>
      <c r="AS534" s="4">
        <v>1733</v>
      </c>
      <c r="AT534" s="1">
        <v>911</v>
      </c>
      <c r="AU534" s="3">
        <v>1.94</v>
      </c>
      <c r="AV534" s="4">
        <v>2300</v>
      </c>
      <c r="AW534" s="1">
        <v>1188</v>
      </c>
      <c r="AX534" s="3">
        <v>899764.78</v>
      </c>
      <c r="BB534" t="s">
        <v>84</v>
      </c>
      <c r="BD534" s="3">
        <v>1.74</v>
      </c>
      <c r="BE534" s="4">
        <v>1248</v>
      </c>
      <c r="BF534" s="1">
        <v>717</v>
      </c>
      <c r="BG534" s="1">
        <v>144</v>
      </c>
      <c r="BH534" s="1">
        <v>136</v>
      </c>
      <c r="BI534" s="1">
        <v>36</v>
      </c>
      <c r="BL534" t="s">
        <v>131</v>
      </c>
    </row>
    <row r="535" spans="1:67" x14ac:dyDescent="0.25">
      <c r="A535" t="s">
        <v>839</v>
      </c>
      <c r="B535" t="s">
        <v>840</v>
      </c>
      <c r="C535" s="4">
        <f>(AA535*(H535*0.9))*12</f>
        <v>1636070.4000000001</v>
      </c>
      <c r="D535" s="4">
        <f>IF(C535=0,"",(H535*150*12)+C535)</f>
        <v>1808870.4000000001</v>
      </c>
      <c r="E535" s="4">
        <f>IFERROR(D535*0.5,"")</f>
        <v>904435.20000000007</v>
      </c>
      <c r="F535" s="4">
        <f>IFERROR(E535/0.06,"")</f>
        <v>15073920.000000002</v>
      </c>
      <c r="G535" s="4">
        <f>IFERROR(F535/H535,"")</f>
        <v>157020.00000000003</v>
      </c>
      <c r="H535" s="1">
        <v>96</v>
      </c>
      <c r="I535" s="1">
        <v>1985</v>
      </c>
      <c r="J535" t="s">
        <v>64</v>
      </c>
      <c r="K535" t="s">
        <v>841</v>
      </c>
      <c r="L535" t="s">
        <v>842</v>
      </c>
      <c r="M535" t="s">
        <v>843</v>
      </c>
      <c r="N535" t="s">
        <v>844</v>
      </c>
      <c r="O535" t="s">
        <v>842</v>
      </c>
      <c r="P535" s="1">
        <v>3</v>
      </c>
      <c r="Q535" t="s">
        <v>91</v>
      </c>
      <c r="R535" t="s">
        <v>70</v>
      </c>
      <c r="S535" t="s">
        <v>71</v>
      </c>
      <c r="U535" t="s">
        <v>72</v>
      </c>
      <c r="V535" t="s">
        <v>841</v>
      </c>
      <c r="W535" t="s">
        <v>74</v>
      </c>
      <c r="X535" t="s">
        <v>845</v>
      </c>
      <c r="Y535" s="2">
        <v>900</v>
      </c>
      <c r="Z535" s="3">
        <v>1.75</v>
      </c>
      <c r="AA535" s="4">
        <v>1578</v>
      </c>
      <c r="AM535" s="1">
        <v>2019</v>
      </c>
      <c r="AN535" s="1">
        <v>2</v>
      </c>
      <c r="AO535" t="s">
        <v>81</v>
      </c>
      <c r="AP535" t="s">
        <v>82</v>
      </c>
      <c r="AQ535" t="s">
        <v>83</v>
      </c>
      <c r="AR535" s="3">
        <v>1.75</v>
      </c>
      <c r="AS535" s="4">
        <v>1578</v>
      </c>
      <c r="AT535" s="1">
        <v>900</v>
      </c>
      <c r="AX535" s="3">
        <v>225795.67</v>
      </c>
      <c r="BB535" t="s">
        <v>84</v>
      </c>
      <c r="BH535" s="1">
        <v>96</v>
      </c>
      <c r="BK535" t="s">
        <v>566</v>
      </c>
      <c r="BL535" t="s">
        <v>104</v>
      </c>
    </row>
    <row r="536" spans="1:67" x14ac:dyDescent="0.25">
      <c r="A536" t="s">
        <v>1441</v>
      </c>
      <c r="B536" t="s">
        <v>1442</v>
      </c>
      <c r="C536" s="4">
        <f>(AA536*(H536*0.9))*12</f>
        <v>3280435.2000000002</v>
      </c>
      <c r="D536" s="4">
        <f>IF(C536=0,"",(H536*150*12)+C536)</f>
        <v>3626035.2000000002</v>
      </c>
      <c r="E536" s="4">
        <f>IFERROR(D536*0.5,"")</f>
        <v>1813017.6000000001</v>
      </c>
      <c r="F536" s="4">
        <f>IFERROR(E536/0.06,"")</f>
        <v>30216960.000000004</v>
      </c>
      <c r="G536" s="4">
        <f>IFERROR(F536/H536,"")</f>
        <v>157380.00000000003</v>
      </c>
      <c r="H536" s="1">
        <v>192</v>
      </c>
      <c r="I536" s="1">
        <v>1986</v>
      </c>
      <c r="J536" t="s">
        <v>64</v>
      </c>
      <c r="K536" t="s">
        <v>177</v>
      </c>
      <c r="L536" t="s">
        <v>1443</v>
      </c>
      <c r="M536" t="s">
        <v>1444</v>
      </c>
      <c r="N536" t="s">
        <v>1445</v>
      </c>
      <c r="O536" t="s">
        <v>1443</v>
      </c>
      <c r="P536" s="1">
        <v>3</v>
      </c>
      <c r="Q536" t="s">
        <v>91</v>
      </c>
      <c r="R536" t="s">
        <v>70</v>
      </c>
      <c r="S536" t="s">
        <v>71</v>
      </c>
      <c r="U536" t="s">
        <v>72</v>
      </c>
      <c r="V536" t="s">
        <v>181</v>
      </c>
      <c r="W536" t="s">
        <v>74</v>
      </c>
      <c r="X536" t="s">
        <v>1446</v>
      </c>
      <c r="Y536" s="2">
        <v>1000</v>
      </c>
      <c r="Z536" s="3">
        <v>1.58</v>
      </c>
      <c r="AA536" s="4">
        <v>1582</v>
      </c>
      <c r="AK536" s="5">
        <v>3.6457999999999999</v>
      </c>
      <c r="AM536" s="1">
        <v>2021</v>
      </c>
      <c r="AN536" s="1">
        <v>2</v>
      </c>
      <c r="AO536" t="s">
        <v>81</v>
      </c>
      <c r="AP536" t="s">
        <v>82</v>
      </c>
      <c r="AQ536" t="s">
        <v>83</v>
      </c>
      <c r="AR536" s="3">
        <v>1.56</v>
      </c>
      <c r="AS536" s="4">
        <v>1514</v>
      </c>
      <c r="AT536" s="1">
        <v>969</v>
      </c>
      <c r="AU536" s="3">
        <v>1.64</v>
      </c>
      <c r="AV536" s="4">
        <v>1813</v>
      </c>
      <c r="AW536" s="1">
        <v>1108</v>
      </c>
      <c r="AX536" s="3">
        <v>637611.72</v>
      </c>
      <c r="BB536" t="s">
        <v>84</v>
      </c>
      <c r="BH536" s="1">
        <v>148</v>
      </c>
      <c r="BI536" s="1">
        <v>44</v>
      </c>
      <c r="BK536" t="s">
        <v>608</v>
      </c>
      <c r="BL536" t="s">
        <v>104</v>
      </c>
    </row>
    <row r="537" spans="1:67" x14ac:dyDescent="0.25">
      <c r="A537" t="s">
        <v>2688</v>
      </c>
      <c r="B537" t="s">
        <v>2689</v>
      </c>
      <c r="C537" s="4">
        <f>(AA537*(H537*0.9))*12</f>
        <v>3149712</v>
      </c>
      <c r="D537" s="4">
        <f>IF(C537=0,"",(H537*150*12)+C537)</f>
        <v>3480912</v>
      </c>
      <c r="E537" s="4">
        <f>IFERROR(D537*0.5,"")</f>
        <v>1740456</v>
      </c>
      <c r="F537" s="4">
        <f>IFERROR(E537/0.06,"")</f>
        <v>29007600</v>
      </c>
      <c r="G537" s="4">
        <f>IFERROR(F537/H537,"")</f>
        <v>157650</v>
      </c>
      <c r="H537" s="1">
        <v>184</v>
      </c>
      <c r="I537" s="1">
        <v>1999</v>
      </c>
      <c r="J537" t="s">
        <v>64</v>
      </c>
      <c r="K537" t="s">
        <v>545</v>
      </c>
      <c r="L537" t="s">
        <v>546</v>
      </c>
      <c r="M537" t="s">
        <v>2690</v>
      </c>
      <c r="N537" t="s">
        <v>2691</v>
      </c>
      <c r="O537" t="s">
        <v>546</v>
      </c>
      <c r="P537" s="1">
        <v>3</v>
      </c>
      <c r="Q537" t="s">
        <v>91</v>
      </c>
      <c r="R537" t="s">
        <v>70</v>
      </c>
      <c r="S537" t="s">
        <v>71</v>
      </c>
      <c r="U537" t="s">
        <v>72</v>
      </c>
      <c r="V537" t="s">
        <v>73</v>
      </c>
      <c r="W537" t="s">
        <v>74</v>
      </c>
      <c r="X537" t="s">
        <v>2692</v>
      </c>
      <c r="Y537" s="2">
        <v>1157</v>
      </c>
      <c r="Z537" s="3">
        <v>1.37</v>
      </c>
      <c r="AA537" s="4">
        <v>1585</v>
      </c>
      <c r="AK537" s="5">
        <v>3.8043</v>
      </c>
      <c r="AN537" s="1">
        <v>2</v>
      </c>
      <c r="AO537" t="s">
        <v>81</v>
      </c>
      <c r="AP537" t="s">
        <v>82</v>
      </c>
      <c r="AQ537" t="s">
        <v>83</v>
      </c>
      <c r="AR537" s="3">
        <v>1.29</v>
      </c>
      <c r="AS537" s="4">
        <v>1350</v>
      </c>
      <c r="AT537" s="1">
        <v>1050</v>
      </c>
      <c r="AU537" s="3">
        <v>1.42</v>
      </c>
      <c r="AV537" s="4">
        <v>1705</v>
      </c>
      <c r="AW537" s="1">
        <v>1204</v>
      </c>
      <c r="AX537" s="3">
        <v>681352.62</v>
      </c>
      <c r="BB537" t="s">
        <v>84</v>
      </c>
      <c r="BH537" s="1">
        <v>72</v>
      </c>
      <c r="BI537" s="1">
        <v>104</v>
      </c>
      <c r="BJ537" s="1">
        <v>8</v>
      </c>
      <c r="BL537" t="s">
        <v>131</v>
      </c>
      <c r="BM537" s="3">
        <v>1.4</v>
      </c>
      <c r="BN537" s="4">
        <v>2130</v>
      </c>
      <c r="BO537" s="1">
        <v>1521</v>
      </c>
    </row>
    <row r="538" spans="1:67" x14ac:dyDescent="0.25">
      <c r="A538" t="s">
        <v>2476</v>
      </c>
      <c r="B538" t="s">
        <v>2477</v>
      </c>
      <c r="C538" s="4">
        <f>(AA538*(H538*0.9))*12</f>
        <v>5278996.8</v>
      </c>
      <c r="D538" s="4">
        <f>IF(C538=0,"",(H538*150*12)+C538)</f>
        <v>5833396.7999999998</v>
      </c>
      <c r="E538" s="4">
        <f>IFERROR(D538*0.5,"")</f>
        <v>2916698.4</v>
      </c>
      <c r="F538" s="4">
        <f>IFERROR(E538/0.06,"")</f>
        <v>48611640</v>
      </c>
      <c r="G538" s="4">
        <f>IFERROR(F538/H538,"")</f>
        <v>157830</v>
      </c>
      <c r="H538" s="1">
        <v>308</v>
      </c>
      <c r="I538" s="1">
        <v>1998</v>
      </c>
      <c r="J538" t="s">
        <v>64</v>
      </c>
      <c r="K538" t="s">
        <v>756</v>
      </c>
      <c r="L538" t="s">
        <v>2478</v>
      </c>
      <c r="M538" t="s">
        <v>2479</v>
      </c>
      <c r="N538" t="s">
        <v>2478</v>
      </c>
      <c r="O538" t="s">
        <v>2478</v>
      </c>
      <c r="P538" s="1">
        <v>4</v>
      </c>
      <c r="Q538" t="s">
        <v>91</v>
      </c>
      <c r="R538" t="s">
        <v>70</v>
      </c>
      <c r="S538" t="s">
        <v>71</v>
      </c>
      <c r="T538" t="s">
        <v>128</v>
      </c>
      <c r="U538" t="s">
        <v>72</v>
      </c>
      <c r="V538" t="s">
        <v>73</v>
      </c>
      <c r="W538" t="s">
        <v>74</v>
      </c>
      <c r="X538" t="s">
        <v>2475</v>
      </c>
      <c r="Y538" s="2">
        <v>1045</v>
      </c>
      <c r="Z538" s="3">
        <v>1.52</v>
      </c>
      <c r="AA538" s="4">
        <v>1587</v>
      </c>
      <c r="AK538" s="5">
        <v>3.8961000000000001</v>
      </c>
      <c r="AN538" s="1">
        <v>4</v>
      </c>
      <c r="AO538" t="s">
        <v>81</v>
      </c>
      <c r="AP538" t="s">
        <v>82</v>
      </c>
      <c r="AQ538" t="s">
        <v>83</v>
      </c>
      <c r="AR538" s="3">
        <v>1.43</v>
      </c>
      <c r="AS538" s="4">
        <v>1687</v>
      </c>
      <c r="AT538" s="1">
        <v>1178</v>
      </c>
      <c r="AU538" s="3">
        <v>1.45</v>
      </c>
      <c r="AV538" s="4">
        <v>2073</v>
      </c>
      <c r="AW538" s="1">
        <v>1426</v>
      </c>
      <c r="AX538" s="3">
        <v>1384228.58</v>
      </c>
      <c r="BB538" t="s">
        <v>84</v>
      </c>
      <c r="BD538" s="3">
        <v>1.65</v>
      </c>
      <c r="BE538" s="4">
        <v>1371</v>
      </c>
      <c r="BF538" s="1">
        <v>831</v>
      </c>
      <c r="BG538" s="1">
        <v>146</v>
      </c>
      <c r="BH538" s="1">
        <v>122</v>
      </c>
      <c r="BI538" s="1">
        <v>40</v>
      </c>
    </row>
    <row r="539" spans="1:67" x14ac:dyDescent="0.25">
      <c r="A539" t="s">
        <v>2939</v>
      </c>
      <c r="B539" t="s">
        <v>2940</v>
      </c>
      <c r="C539" s="4">
        <f>(AA539*(H539*0.9))*12</f>
        <v>2469657.5999999996</v>
      </c>
      <c r="D539" s="4">
        <f>IF(C539=0,"",(H539*150*12)+C539)</f>
        <v>2728857.5999999996</v>
      </c>
      <c r="E539" s="4">
        <f>IFERROR(D539*0.5,"")</f>
        <v>1364428.7999999998</v>
      </c>
      <c r="F539" s="4">
        <f>IFERROR(E539/0.06,"")</f>
        <v>22740479.999999996</v>
      </c>
      <c r="G539" s="4">
        <f>IFERROR(F539/H539,"")</f>
        <v>157919.99999999997</v>
      </c>
      <c r="H539" s="1">
        <v>144</v>
      </c>
      <c r="I539" s="1">
        <v>1995</v>
      </c>
      <c r="J539" t="s">
        <v>64</v>
      </c>
      <c r="K539" t="s">
        <v>551</v>
      </c>
      <c r="L539" t="s">
        <v>2941</v>
      </c>
      <c r="M539" t="s">
        <v>2942</v>
      </c>
      <c r="N539" t="s">
        <v>2941</v>
      </c>
      <c r="O539" t="s">
        <v>2941</v>
      </c>
      <c r="P539" s="1">
        <v>3</v>
      </c>
      <c r="Q539" t="s">
        <v>91</v>
      </c>
      <c r="R539" t="s">
        <v>70</v>
      </c>
      <c r="S539" t="s">
        <v>71</v>
      </c>
      <c r="T539" t="s">
        <v>118</v>
      </c>
      <c r="U539" t="s">
        <v>72</v>
      </c>
      <c r="V539" t="s">
        <v>551</v>
      </c>
      <c r="W539" t="s">
        <v>74</v>
      </c>
      <c r="X539" t="s">
        <v>2943</v>
      </c>
      <c r="Y539" s="2">
        <v>1021</v>
      </c>
      <c r="Z539" s="3">
        <v>1.56</v>
      </c>
      <c r="AA539" s="4">
        <v>1588</v>
      </c>
      <c r="AK539" s="5">
        <v>5.5556000000000001</v>
      </c>
      <c r="AN539" s="1">
        <v>2</v>
      </c>
      <c r="AO539" t="s">
        <v>81</v>
      </c>
      <c r="AP539" t="s">
        <v>82</v>
      </c>
      <c r="AQ539" t="s">
        <v>83</v>
      </c>
      <c r="AR539" s="3">
        <v>1.57</v>
      </c>
      <c r="AS539" s="4">
        <v>1512</v>
      </c>
      <c r="AT539" s="1">
        <v>966</v>
      </c>
      <c r="AU539" s="3">
        <v>1.54</v>
      </c>
      <c r="AV539" s="4">
        <v>1708</v>
      </c>
      <c r="AW539" s="1">
        <v>1108</v>
      </c>
      <c r="AX539" s="3">
        <v>210263.77</v>
      </c>
      <c r="BB539" t="s">
        <v>84</v>
      </c>
      <c r="BH539" s="1">
        <v>88</v>
      </c>
      <c r="BI539" s="1">
        <v>56</v>
      </c>
      <c r="BL539" t="s">
        <v>131</v>
      </c>
    </row>
    <row r="540" spans="1:67" x14ac:dyDescent="0.25">
      <c r="A540" t="s">
        <v>3517</v>
      </c>
      <c r="B540" t="s">
        <v>3518</v>
      </c>
      <c r="C540" s="4">
        <f>(AA540*(H540*0.9))*12</f>
        <v>7443273.6000000006</v>
      </c>
      <c r="D540" s="4">
        <f>IF(C540=0,"",(H540*150*12)+C540)</f>
        <v>8224473.6000000006</v>
      </c>
      <c r="E540" s="4">
        <f>IFERROR(D540*0.5,"")</f>
        <v>4112236.8000000003</v>
      </c>
      <c r="F540" s="4">
        <f>IFERROR(E540/0.06,"")</f>
        <v>68537280</v>
      </c>
      <c r="G540" s="4">
        <f>IFERROR(F540/H540,"")</f>
        <v>157920</v>
      </c>
      <c r="H540" s="1">
        <v>434</v>
      </c>
      <c r="I540" s="1">
        <v>1999</v>
      </c>
      <c r="J540" t="s">
        <v>64</v>
      </c>
      <c r="K540" t="s">
        <v>140</v>
      </c>
      <c r="L540" t="s">
        <v>3519</v>
      </c>
      <c r="M540" t="s">
        <v>3520</v>
      </c>
      <c r="N540" t="s">
        <v>3521</v>
      </c>
      <c r="O540" t="s">
        <v>3519</v>
      </c>
      <c r="P540" s="1">
        <v>4</v>
      </c>
      <c r="Q540" t="s">
        <v>91</v>
      </c>
      <c r="R540" t="s">
        <v>70</v>
      </c>
      <c r="S540" t="s">
        <v>71</v>
      </c>
      <c r="U540" t="s">
        <v>72</v>
      </c>
      <c r="V540" t="s">
        <v>140</v>
      </c>
      <c r="W540" t="s">
        <v>74</v>
      </c>
      <c r="X540" t="s">
        <v>1535</v>
      </c>
      <c r="Y540" s="2">
        <v>964</v>
      </c>
      <c r="Z540" s="3">
        <v>1.65</v>
      </c>
      <c r="AA540" s="4">
        <v>1588</v>
      </c>
      <c r="AK540" s="5">
        <v>7.6036999999999999</v>
      </c>
      <c r="AN540" s="1">
        <v>3</v>
      </c>
      <c r="AO540" t="s">
        <v>81</v>
      </c>
      <c r="AP540" t="s">
        <v>82</v>
      </c>
      <c r="AQ540" t="s">
        <v>83</v>
      </c>
      <c r="AR540" s="3">
        <v>1.63</v>
      </c>
      <c r="AS540" s="4">
        <v>1774</v>
      </c>
      <c r="AT540" s="1">
        <v>1089</v>
      </c>
      <c r="AU540" s="3">
        <v>1.57</v>
      </c>
      <c r="AV540" s="4">
        <v>2234</v>
      </c>
      <c r="AW540" s="1">
        <v>1426</v>
      </c>
      <c r="AX540" s="3">
        <v>1259742.3</v>
      </c>
      <c r="BB540" t="s">
        <v>84</v>
      </c>
      <c r="BD540" s="3">
        <v>1.69</v>
      </c>
      <c r="BE540" s="4">
        <v>1310</v>
      </c>
      <c r="BF540" s="1">
        <v>777</v>
      </c>
      <c r="BG540" s="1">
        <v>216</v>
      </c>
      <c r="BH540" s="1">
        <v>178</v>
      </c>
      <c r="BI540" s="1">
        <v>40</v>
      </c>
      <c r="BL540" t="s">
        <v>131</v>
      </c>
    </row>
    <row r="541" spans="1:67" x14ac:dyDescent="0.25">
      <c r="A541" t="s">
        <v>2179</v>
      </c>
      <c r="B541" t="s">
        <v>2180</v>
      </c>
      <c r="C541" s="4">
        <f>(AA541*(H541*0.9))*12</f>
        <v>4733510.4000000004</v>
      </c>
      <c r="D541" s="4">
        <f>IF(C541=0,"",(H541*150*12)+C541)</f>
        <v>5230310.4000000004</v>
      </c>
      <c r="E541" s="4">
        <f>IFERROR(D541*0.5,"")</f>
        <v>2615155.2000000002</v>
      </c>
      <c r="F541" s="4">
        <f>IFERROR(E541/0.06,"")</f>
        <v>43585920.000000007</v>
      </c>
      <c r="G541" s="4">
        <f>IFERROR(F541/H541,"")</f>
        <v>157920.00000000003</v>
      </c>
      <c r="H541" s="1">
        <v>276</v>
      </c>
      <c r="I541" s="1">
        <v>1999</v>
      </c>
      <c r="J541" t="s">
        <v>64</v>
      </c>
      <c r="K541" t="s">
        <v>1498</v>
      </c>
      <c r="L541" t="s">
        <v>2181</v>
      </c>
      <c r="M541" t="s">
        <v>2182</v>
      </c>
      <c r="N541" t="s">
        <v>2183</v>
      </c>
      <c r="O541" t="s">
        <v>2181</v>
      </c>
      <c r="P541" s="1">
        <v>3</v>
      </c>
      <c r="Q541" t="s">
        <v>91</v>
      </c>
      <c r="R541" t="s">
        <v>70</v>
      </c>
      <c r="S541" t="s">
        <v>71</v>
      </c>
      <c r="U541" t="s">
        <v>72</v>
      </c>
      <c r="V541" t="s">
        <v>73</v>
      </c>
      <c r="W541" t="s">
        <v>74</v>
      </c>
      <c r="X541" t="s">
        <v>1502</v>
      </c>
      <c r="Y541" s="2">
        <v>898</v>
      </c>
      <c r="Z541" s="3">
        <v>1.77</v>
      </c>
      <c r="AA541" s="4">
        <v>1588</v>
      </c>
      <c r="AK541" s="5">
        <v>5.0724999999999998</v>
      </c>
      <c r="AN541" s="1">
        <v>3</v>
      </c>
      <c r="AO541" t="s">
        <v>81</v>
      </c>
      <c r="AP541" t="s">
        <v>82</v>
      </c>
      <c r="AQ541" t="s">
        <v>83</v>
      </c>
      <c r="AR541" s="3">
        <v>1.62</v>
      </c>
      <c r="AS541" s="4">
        <v>1840</v>
      </c>
      <c r="AT541" s="1">
        <v>1132</v>
      </c>
      <c r="AU541" s="3">
        <v>1.48</v>
      </c>
      <c r="AV541" s="4">
        <v>2094</v>
      </c>
      <c r="AW541" s="1">
        <v>1411</v>
      </c>
      <c r="AX541" s="3">
        <v>1173390.76</v>
      </c>
      <c r="BB541" t="s">
        <v>84</v>
      </c>
      <c r="BD541" s="3">
        <v>1.96</v>
      </c>
      <c r="BE541" s="4">
        <v>1393</v>
      </c>
      <c r="BF541" s="1">
        <v>710</v>
      </c>
      <c r="BG541" s="1">
        <v>171</v>
      </c>
      <c r="BH541" s="1">
        <v>78</v>
      </c>
      <c r="BI541" s="1">
        <v>27</v>
      </c>
      <c r="BL541" t="s">
        <v>131</v>
      </c>
    </row>
    <row r="542" spans="1:67" x14ac:dyDescent="0.25">
      <c r="A542" t="s">
        <v>3805</v>
      </c>
      <c r="B542" t="s">
        <v>3806</v>
      </c>
      <c r="C542" s="4">
        <f>(AA542*(H542*0.9))*12</f>
        <v>4121280</v>
      </c>
      <c r="D542" s="4">
        <f>IF(C542=0,"",(H542*150*12)+C542)</f>
        <v>4553280</v>
      </c>
      <c r="E542" s="4">
        <f>IFERROR(D542*0.5,"")</f>
        <v>2276640</v>
      </c>
      <c r="F542" s="4">
        <f>IFERROR(E542/0.06,"")</f>
        <v>37944000</v>
      </c>
      <c r="G542" s="4">
        <f>IFERROR(F542/H542,"")</f>
        <v>158100</v>
      </c>
      <c r="H542" s="1">
        <v>240</v>
      </c>
      <c r="I542" s="1">
        <v>1998</v>
      </c>
      <c r="J542" t="s">
        <v>64</v>
      </c>
      <c r="K542" t="s">
        <v>734</v>
      </c>
      <c r="L542" t="s">
        <v>784</v>
      </c>
      <c r="M542" t="s">
        <v>3807</v>
      </c>
      <c r="N542" t="s">
        <v>3808</v>
      </c>
      <c r="O542" t="s">
        <v>784</v>
      </c>
      <c r="P542" s="1">
        <v>4</v>
      </c>
      <c r="Q542" t="s">
        <v>91</v>
      </c>
      <c r="R542" t="s">
        <v>70</v>
      </c>
      <c r="S542" t="s">
        <v>71</v>
      </c>
      <c r="U542" t="s">
        <v>72</v>
      </c>
      <c r="V542" t="s">
        <v>73</v>
      </c>
      <c r="W542" t="s">
        <v>74</v>
      </c>
      <c r="X542" t="s">
        <v>730</v>
      </c>
      <c r="Y542" s="2">
        <v>940</v>
      </c>
      <c r="Z542" s="3">
        <v>1.69</v>
      </c>
      <c r="AA542" s="4">
        <v>1590</v>
      </c>
      <c r="AK542" s="5">
        <v>9.5832999999999995</v>
      </c>
      <c r="AN542" s="1">
        <v>3</v>
      </c>
      <c r="AO542" t="s">
        <v>81</v>
      </c>
      <c r="AP542" t="s">
        <v>82</v>
      </c>
      <c r="AQ542" t="s">
        <v>83</v>
      </c>
      <c r="AR542" s="3">
        <v>1.55</v>
      </c>
      <c r="AS542" s="4">
        <v>1791</v>
      </c>
      <c r="AT542" s="1">
        <v>1159</v>
      </c>
      <c r="AX542" s="3">
        <v>723910.25</v>
      </c>
      <c r="BB542" t="s">
        <v>84</v>
      </c>
      <c r="BD542" s="3">
        <v>1.86</v>
      </c>
      <c r="BE542" s="4">
        <v>1434</v>
      </c>
      <c r="BF542" s="1">
        <v>771</v>
      </c>
      <c r="BG542" s="1">
        <v>135</v>
      </c>
      <c r="BH542" s="1">
        <v>105</v>
      </c>
    </row>
    <row r="543" spans="1:67" x14ac:dyDescent="0.25">
      <c r="A543" t="s">
        <v>3267</v>
      </c>
      <c r="B543" t="s">
        <v>3268</v>
      </c>
      <c r="C543" s="4">
        <f>(AA543*(H543*0.9))*12</f>
        <v>8831959.2000000011</v>
      </c>
      <c r="D543" s="4">
        <f>IF(C543=0,"",(H543*150*12)+C543)</f>
        <v>9757159.2000000011</v>
      </c>
      <c r="E543" s="4">
        <f>IFERROR(D543*0.5,"")</f>
        <v>4878579.6000000006</v>
      </c>
      <c r="F543" s="4">
        <f>IFERROR(E543/0.06,"")</f>
        <v>81309660.000000015</v>
      </c>
      <c r="G543" s="4">
        <f>IFERROR(F543/H543,"")</f>
        <v>158190.00000000003</v>
      </c>
      <c r="H543" s="1">
        <v>514</v>
      </c>
      <c r="I543" s="1">
        <v>1997</v>
      </c>
      <c r="J543" t="s">
        <v>64</v>
      </c>
      <c r="K543" t="s">
        <v>514</v>
      </c>
      <c r="L543" t="s">
        <v>3247</v>
      </c>
      <c r="M543" t="s">
        <v>3269</v>
      </c>
      <c r="N543" t="s">
        <v>3249</v>
      </c>
      <c r="O543" t="s">
        <v>3247</v>
      </c>
      <c r="P543" s="1">
        <v>4</v>
      </c>
      <c r="Q543" t="s">
        <v>729</v>
      </c>
      <c r="R543" t="s">
        <v>70</v>
      </c>
      <c r="S543" t="s">
        <v>71</v>
      </c>
      <c r="U543" t="s">
        <v>72</v>
      </c>
      <c r="V543" t="s">
        <v>264</v>
      </c>
      <c r="W543" t="s">
        <v>74</v>
      </c>
      <c r="X543" t="s">
        <v>517</v>
      </c>
      <c r="Y543" s="2">
        <v>936</v>
      </c>
      <c r="Z543" s="3">
        <v>1.7</v>
      </c>
      <c r="AA543" s="4">
        <v>1591</v>
      </c>
      <c r="AK543" s="5">
        <v>5.0583999999999998</v>
      </c>
      <c r="AN543" s="1">
        <v>3</v>
      </c>
      <c r="AO543" t="s">
        <v>81</v>
      </c>
      <c r="AP543" t="s">
        <v>82</v>
      </c>
      <c r="AQ543" t="s">
        <v>83</v>
      </c>
      <c r="AR543" s="3">
        <v>1.65</v>
      </c>
      <c r="AS543" s="4">
        <v>1770</v>
      </c>
      <c r="AT543" s="1">
        <v>1074</v>
      </c>
      <c r="AU543" s="3">
        <v>1.62</v>
      </c>
      <c r="AV543" s="4">
        <v>2257</v>
      </c>
      <c r="AW543" s="1">
        <v>1390</v>
      </c>
      <c r="AX543" s="3">
        <v>1995240.76</v>
      </c>
      <c r="BB543" t="s">
        <v>84</v>
      </c>
      <c r="BD543" s="3">
        <v>1.76</v>
      </c>
      <c r="BE543" s="4">
        <v>1395</v>
      </c>
      <c r="BF543" s="1">
        <v>791</v>
      </c>
      <c r="BG543" s="1">
        <v>274</v>
      </c>
      <c r="BH543" s="1">
        <v>218</v>
      </c>
      <c r="BI543" s="1">
        <v>22</v>
      </c>
      <c r="BL543" t="s">
        <v>94</v>
      </c>
    </row>
    <row r="544" spans="1:67" x14ac:dyDescent="0.25">
      <c r="A544" t="s">
        <v>3828</v>
      </c>
      <c r="B544" t="s">
        <v>3829</v>
      </c>
      <c r="C544" s="4">
        <f>(AA544*(H544*0.9))*12</f>
        <v>8538739.2000000011</v>
      </c>
      <c r="D544" s="4">
        <f>IF(C544=0,"",(H544*150*12)+C544)</f>
        <v>9431539.2000000011</v>
      </c>
      <c r="E544" s="4">
        <f>IFERROR(D544*0.5,"")</f>
        <v>4715769.6000000006</v>
      </c>
      <c r="F544" s="4">
        <f>IFERROR(E544/0.06,"")</f>
        <v>78596160.000000015</v>
      </c>
      <c r="G544" s="4">
        <f>IFERROR(F544/H544,"")</f>
        <v>158460.00000000003</v>
      </c>
      <c r="H544" s="1">
        <v>496</v>
      </c>
      <c r="I544" s="1">
        <v>1995</v>
      </c>
      <c r="J544" t="s">
        <v>64</v>
      </c>
      <c r="K544" t="s">
        <v>87</v>
      </c>
      <c r="L544" t="s">
        <v>801</v>
      </c>
      <c r="M544" t="s">
        <v>3830</v>
      </c>
      <c r="N544" t="s">
        <v>2099</v>
      </c>
      <c r="O544" t="s">
        <v>801</v>
      </c>
      <c r="P544" s="1">
        <v>4</v>
      </c>
      <c r="Q544" t="s">
        <v>91</v>
      </c>
      <c r="R544" t="s">
        <v>70</v>
      </c>
      <c r="S544" t="s">
        <v>71</v>
      </c>
      <c r="U544" t="s">
        <v>72</v>
      </c>
      <c r="V544" t="s">
        <v>73</v>
      </c>
      <c r="W544" t="s">
        <v>74</v>
      </c>
      <c r="X544" t="s">
        <v>2424</v>
      </c>
      <c r="Y544" s="2">
        <v>746</v>
      </c>
      <c r="Z544" s="3">
        <v>2.13</v>
      </c>
      <c r="AA544" s="4">
        <v>1594</v>
      </c>
      <c r="AK544" s="5">
        <v>6.8548</v>
      </c>
      <c r="AN544" s="1">
        <v>4</v>
      </c>
      <c r="AO544" t="s">
        <v>81</v>
      </c>
      <c r="AP544" t="s">
        <v>82</v>
      </c>
      <c r="AQ544" t="s">
        <v>83</v>
      </c>
      <c r="AR544" s="3">
        <v>1.88</v>
      </c>
      <c r="AS544" s="4">
        <v>1810</v>
      </c>
      <c r="AT544" s="1">
        <v>964</v>
      </c>
      <c r="AX544" s="3">
        <v>2052027.01</v>
      </c>
      <c r="AY544" s="3">
        <v>2.42</v>
      </c>
      <c r="AZ544" s="4">
        <v>1302</v>
      </c>
      <c r="BA544" s="6">
        <v>538</v>
      </c>
      <c r="BB544" t="s">
        <v>84</v>
      </c>
      <c r="BD544" s="3">
        <v>2.19</v>
      </c>
      <c r="BE544" s="4">
        <v>1582</v>
      </c>
      <c r="BF544" s="1">
        <v>721</v>
      </c>
      <c r="BG544" s="1">
        <v>350</v>
      </c>
      <c r="BH544" s="1">
        <v>92</v>
      </c>
    </row>
    <row r="545" spans="1:67" x14ac:dyDescent="0.25">
      <c r="A545" t="s">
        <v>3612</v>
      </c>
      <c r="B545" t="s">
        <v>3613</v>
      </c>
      <c r="C545" s="4">
        <f>(AA545*(H545*0.9))*12</f>
        <v>3585254.4000000004</v>
      </c>
      <c r="D545" s="4">
        <f>IF(C545=0,"",(H545*150*12)+C545)</f>
        <v>3959654.4000000004</v>
      </c>
      <c r="E545" s="4">
        <f>IFERROR(D545*0.5,"")</f>
        <v>1979827.2000000002</v>
      </c>
      <c r="F545" s="4">
        <f>IFERROR(E545/0.06,"")</f>
        <v>32997120.000000004</v>
      </c>
      <c r="G545" s="4">
        <f>IFERROR(F545/H545,"")</f>
        <v>158640.00000000003</v>
      </c>
      <c r="H545" s="1">
        <v>208</v>
      </c>
      <c r="I545" s="1">
        <v>1999</v>
      </c>
      <c r="J545" t="s">
        <v>64</v>
      </c>
      <c r="K545" t="s">
        <v>140</v>
      </c>
      <c r="L545" t="s">
        <v>2057</v>
      </c>
      <c r="M545" t="s">
        <v>3614</v>
      </c>
      <c r="N545" t="s">
        <v>3615</v>
      </c>
      <c r="O545" t="s">
        <v>2057</v>
      </c>
      <c r="P545" s="1">
        <v>4</v>
      </c>
      <c r="Q545" t="s">
        <v>91</v>
      </c>
      <c r="R545" t="s">
        <v>70</v>
      </c>
      <c r="S545" t="s">
        <v>71</v>
      </c>
      <c r="U545" t="s">
        <v>72</v>
      </c>
      <c r="V545" t="s">
        <v>140</v>
      </c>
      <c r="W545" t="s">
        <v>74</v>
      </c>
      <c r="X545" t="s">
        <v>3616</v>
      </c>
      <c r="Y545" s="2">
        <v>955</v>
      </c>
      <c r="Z545" s="3">
        <v>1.67</v>
      </c>
      <c r="AA545" s="4">
        <v>1596</v>
      </c>
      <c r="AK545" s="5">
        <v>6.25</v>
      </c>
      <c r="AM545" s="1">
        <v>2022</v>
      </c>
      <c r="AN545" s="1">
        <v>2</v>
      </c>
      <c r="AO545" t="s">
        <v>81</v>
      </c>
      <c r="AP545" t="s">
        <v>82</v>
      </c>
      <c r="AQ545" t="s">
        <v>83</v>
      </c>
      <c r="AR545" s="3">
        <v>1.74</v>
      </c>
      <c r="AS545" s="4">
        <v>1903</v>
      </c>
      <c r="AT545" s="1">
        <v>1093</v>
      </c>
      <c r="AU545" s="3">
        <v>1.56</v>
      </c>
      <c r="AV545" s="4">
        <v>2115</v>
      </c>
      <c r="AW545" s="1">
        <v>1355</v>
      </c>
      <c r="AX545" s="3">
        <v>600060.65</v>
      </c>
      <c r="BB545" t="s">
        <v>84</v>
      </c>
      <c r="BD545" s="3">
        <v>1.73</v>
      </c>
      <c r="BE545" s="4">
        <v>1227</v>
      </c>
      <c r="BF545" s="1">
        <v>707</v>
      </c>
      <c r="BG545" s="1">
        <v>112</v>
      </c>
      <c r="BH545" s="1">
        <v>40</v>
      </c>
      <c r="BI545" s="1">
        <v>56</v>
      </c>
      <c r="BK545" t="s">
        <v>3617</v>
      </c>
      <c r="BL545" t="s">
        <v>104</v>
      </c>
    </row>
    <row r="546" spans="1:67" x14ac:dyDescent="0.25">
      <c r="A546" t="s">
        <v>1844</v>
      </c>
      <c r="B546" t="s">
        <v>1845</v>
      </c>
      <c r="C546" s="4">
        <f>(AA546*(H546*0.9))*12</f>
        <v>1052762.3999999999</v>
      </c>
      <c r="D546" s="4">
        <f>IF(C546=0,"",(H546*150*12)+C546)</f>
        <v>1162562.3999999999</v>
      </c>
      <c r="E546" s="4">
        <f>IFERROR(D546*0.5,"")</f>
        <v>581281.19999999995</v>
      </c>
      <c r="F546" s="4">
        <f>IFERROR(E546/0.06,"")</f>
        <v>9688020</v>
      </c>
      <c r="G546" s="4">
        <f>IFERROR(F546/H546,"")</f>
        <v>158820</v>
      </c>
      <c r="H546" s="1">
        <v>61</v>
      </c>
      <c r="I546" s="1">
        <v>1985</v>
      </c>
      <c r="J546" t="s">
        <v>64</v>
      </c>
      <c r="K546" t="s">
        <v>872</v>
      </c>
      <c r="L546" t="s">
        <v>1846</v>
      </c>
      <c r="M546" t="s">
        <v>1847</v>
      </c>
      <c r="N546" t="s">
        <v>1848</v>
      </c>
      <c r="O546" t="s">
        <v>1846</v>
      </c>
      <c r="P546" s="1">
        <v>3</v>
      </c>
      <c r="Q546" t="s">
        <v>91</v>
      </c>
      <c r="R546" t="s">
        <v>70</v>
      </c>
      <c r="S546" t="s">
        <v>71</v>
      </c>
      <c r="T546" t="s">
        <v>128</v>
      </c>
      <c r="U546" t="s">
        <v>72</v>
      </c>
      <c r="V546" t="s">
        <v>710</v>
      </c>
      <c r="W546" t="s">
        <v>74</v>
      </c>
      <c r="X546" t="s">
        <v>1849</v>
      </c>
      <c r="Y546" s="2">
        <v>1276</v>
      </c>
      <c r="Z546" s="3">
        <v>1.25</v>
      </c>
      <c r="AA546" s="4">
        <v>1598</v>
      </c>
      <c r="AK546" s="5">
        <v>9.8361000000000001</v>
      </c>
      <c r="AM546" s="1">
        <v>2006</v>
      </c>
      <c r="AN546" s="1">
        <v>2</v>
      </c>
      <c r="AO546" t="s">
        <v>81</v>
      </c>
      <c r="AP546" t="s">
        <v>82</v>
      </c>
      <c r="AQ546" t="s">
        <v>83</v>
      </c>
      <c r="AR546" s="3">
        <v>1.26</v>
      </c>
      <c r="AS546" s="4">
        <v>1568</v>
      </c>
      <c r="AT546" s="1">
        <v>1248</v>
      </c>
      <c r="AU546" s="3">
        <v>1.21</v>
      </c>
      <c r="AV546" s="4">
        <v>1741</v>
      </c>
      <c r="AW546" s="1">
        <v>1435</v>
      </c>
      <c r="AX546" s="3">
        <v>109530.54</v>
      </c>
      <c r="BB546" t="s">
        <v>84</v>
      </c>
      <c r="BD546" s="3">
        <v>1.57</v>
      </c>
      <c r="BE546" s="4">
        <v>1102</v>
      </c>
      <c r="BF546" s="1">
        <v>700</v>
      </c>
      <c r="BG546" s="1">
        <v>5</v>
      </c>
      <c r="BH546" s="1">
        <v>32</v>
      </c>
      <c r="BI546" s="1">
        <v>24</v>
      </c>
      <c r="BL546" t="s">
        <v>131</v>
      </c>
    </row>
    <row r="547" spans="1:67" x14ac:dyDescent="0.25">
      <c r="A547" t="s">
        <v>3043</v>
      </c>
      <c r="B547" t="s">
        <v>3044</v>
      </c>
      <c r="C547" s="4">
        <f>(AA547*(H547*0.9))*12</f>
        <v>2146737.6</v>
      </c>
      <c r="D547" s="4">
        <f>IF(C547=0,"",(H547*150*12)+C547)</f>
        <v>2369937.6</v>
      </c>
      <c r="E547" s="4">
        <f>IFERROR(D547*0.5,"")</f>
        <v>1184968.8</v>
      </c>
      <c r="F547" s="4">
        <f>IFERROR(E547/0.06,"")</f>
        <v>19749480</v>
      </c>
      <c r="G547" s="4">
        <f>IFERROR(F547/H547,"")</f>
        <v>159270</v>
      </c>
      <c r="H547" s="1">
        <v>124</v>
      </c>
      <c r="I547" s="1">
        <v>1999</v>
      </c>
      <c r="J547" t="s">
        <v>64</v>
      </c>
      <c r="K547" t="s">
        <v>140</v>
      </c>
      <c r="L547" t="s">
        <v>3045</v>
      </c>
      <c r="M547" t="s">
        <v>3046</v>
      </c>
      <c r="N547" t="s">
        <v>3047</v>
      </c>
      <c r="O547" t="s">
        <v>3045</v>
      </c>
      <c r="P547" s="1">
        <v>4</v>
      </c>
      <c r="Q547" t="s">
        <v>729</v>
      </c>
      <c r="R547" t="s">
        <v>70</v>
      </c>
      <c r="S547" t="s">
        <v>71</v>
      </c>
      <c r="U547" t="s">
        <v>72</v>
      </c>
      <c r="V547" t="s">
        <v>140</v>
      </c>
      <c r="W547" t="s">
        <v>74</v>
      </c>
      <c r="X547" t="s">
        <v>3048</v>
      </c>
      <c r="Y547" s="2">
        <v>940</v>
      </c>
      <c r="Z547" s="3">
        <v>1.71</v>
      </c>
      <c r="AA547" s="4">
        <v>1603</v>
      </c>
      <c r="AK547" s="5">
        <v>4.8387000000000002</v>
      </c>
      <c r="AN547" s="1">
        <v>2</v>
      </c>
      <c r="AO547" t="s">
        <v>81</v>
      </c>
      <c r="AP547" t="s">
        <v>82</v>
      </c>
      <c r="AQ547" t="s">
        <v>83</v>
      </c>
      <c r="AR547" s="3">
        <v>1.69</v>
      </c>
      <c r="AS547" s="4">
        <v>1942</v>
      </c>
      <c r="AT547" s="1">
        <v>1152</v>
      </c>
      <c r="AX547" s="3">
        <v>342908.18</v>
      </c>
      <c r="BB547" t="s">
        <v>84</v>
      </c>
      <c r="BD547" s="3">
        <v>1.71</v>
      </c>
      <c r="BE547" s="4">
        <v>1490</v>
      </c>
      <c r="BF547" s="1">
        <v>870</v>
      </c>
      <c r="BG547" s="1">
        <v>93</v>
      </c>
      <c r="BH547" s="1">
        <v>31</v>
      </c>
      <c r="BK547" t="s">
        <v>3049</v>
      </c>
      <c r="BL547" t="s">
        <v>104</v>
      </c>
    </row>
    <row r="548" spans="1:67" x14ac:dyDescent="0.25">
      <c r="A548" t="s">
        <v>3796</v>
      </c>
      <c r="B548" t="s">
        <v>3797</v>
      </c>
      <c r="C548" s="4">
        <f>(AA548*(H548*0.9))*12</f>
        <v>3739478.4000000004</v>
      </c>
      <c r="D548" s="4">
        <f>IF(C548=0,"",(H548*150*12)+C548)</f>
        <v>4128278.4000000004</v>
      </c>
      <c r="E548" s="4">
        <f>IFERROR(D548*0.5,"")</f>
        <v>2064139.2000000002</v>
      </c>
      <c r="F548" s="4">
        <f>IFERROR(E548/0.06,"")</f>
        <v>34402320.000000007</v>
      </c>
      <c r="G548" s="4">
        <f>IFERROR(F548/H548,"")</f>
        <v>159270.00000000003</v>
      </c>
      <c r="H548" s="1">
        <v>216</v>
      </c>
      <c r="I548" s="1">
        <v>1995</v>
      </c>
      <c r="J548" t="s">
        <v>64</v>
      </c>
      <c r="K548" t="s">
        <v>841</v>
      </c>
      <c r="L548" t="s">
        <v>882</v>
      </c>
      <c r="M548" t="s">
        <v>3798</v>
      </c>
      <c r="N548" t="s">
        <v>3799</v>
      </c>
      <c r="O548" t="s">
        <v>882</v>
      </c>
      <c r="P548" s="1">
        <v>3</v>
      </c>
      <c r="Q548" t="s">
        <v>69</v>
      </c>
      <c r="R548" t="s">
        <v>70</v>
      </c>
      <c r="S548" t="s">
        <v>71</v>
      </c>
      <c r="T548" t="s">
        <v>118</v>
      </c>
      <c r="U548" t="s">
        <v>72</v>
      </c>
      <c r="V548" t="s">
        <v>841</v>
      </c>
      <c r="W548" t="s">
        <v>74</v>
      </c>
      <c r="X548" t="s">
        <v>845</v>
      </c>
      <c r="Y548" s="2">
        <v>897</v>
      </c>
      <c r="Z548" s="3">
        <v>1.79</v>
      </c>
      <c r="AA548" s="4">
        <v>1603</v>
      </c>
      <c r="AK548" s="5">
        <v>7.8704000000000001</v>
      </c>
      <c r="AN548" s="1">
        <v>2</v>
      </c>
      <c r="AO548" t="s">
        <v>81</v>
      </c>
      <c r="AP548" t="s">
        <v>82</v>
      </c>
      <c r="AQ548" t="s">
        <v>83</v>
      </c>
      <c r="AR548" s="3">
        <v>1.86</v>
      </c>
      <c r="AS548" s="4">
        <v>1565</v>
      </c>
      <c r="AT548" s="1">
        <v>842</v>
      </c>
      <c r="AU548" s="3">
        <v>1.68</v>
      </c>
      <c r="AV548" s="4">
        <v>1826</v>
      </c>
      <c r="AW548" s="1">
        <v>1087</v>
      </c>
      <c r="AX548" s="3">
        <v>119378.95</v>
      </c>
      <c r="BB548" t="s">
        <v>84</v>
      </c>
      <c r="BD548" s="3">
        <v>1.75</v>
      </c>
      <c r="BE548" s="4">
        <v>1206</v>
      </c>
      <c r="BF548" s="1">
        <v>690</v>
      </c>
      <c r="BG548" s="1">
        <v>24</v>
      </c>
      <c r="BH548" s="1">
        <v>128</v>
      </c>
      <c r="BI548" s="1">
        <v>64</v>
      </c>
      <c r="BK548" t="s">
        <v>767</v>
      </c>
      <c r="BL548" t="s">
        <v>131</v>
      </c>
    </row>
    <row r="549" spans="1:67" x14ac:dyDescent="0.25">
      <c r="A549" t="s">
        <v>4101</v>
      </c>
      <c r="B549" t="s">
        <v>4102</v>
      </c>
      <c r="C549" s="4">
        <f>(AA549*(H549*0.9))*12</f>
        <v>7102512</v>
      </c>
      <c r="D549" s="4">
        <f>IF(C549=0,"",(H549*150*12)+C549)</f>
        <v>7840512</v>
      </c>
      <c r="E549" s="4">
        <f>IFERROR(D549*0.5,"")</f>
        <v>3920256</v>
      </c>
      <c r="F549" s="4">
        <f>IFERROR(E549/0.06,"")</f>
        <v>65337600</v>
      </c>
      <c r="G549" s="4">
        <f>IFERROR(F549/H549,"")</f>
        <v>159360</v>
      </c>
      <c r="H549" s="1">
        <v>410</v>
      </c>
      <c r="I549" s="1">
        <v>2000</v>
      </c>
      <c r="J549" t="s">
        <v>64</v>
      </c>
      <c r="K549" t="s">
        <v>603</v>
      </c>
      <c r="L549" t="s">
        <v>4103</v>
      </c>
      <c r="M549" t="s">
        <v>4104</v>
      </c>
      <c r="N549" t="s">
        <v>4105</v>
      </c>
      <c r="O549" t="s">
        <v>4103</v>
      </c>
      <c r="P549" s="1">
        <v>4</v>
      </c>
      <c r="Q549" t="s">
        <v>729</v>
      </c>
      <c r="R549" t="s">
        <v>70</v>
      </c>
      <c r="S549" t="s">
        <v>71</v>
      </c>
      <c r="U549" t="s">
        <v>72</v>
      </c>
      <c r="V549" t="s">
        <v>73</v>
      </c>
      <c r="W549" t="s">
        <v>74</v>
      </c>
      <c r="X549" t="s">
        <v>4106</v>
      </c>
      <c r="Y549" s="2">
        <v>888</v>
      </c>
      <c r="Z549" s="3">
        <v>1.81</v>
      </c>
      <c r="AA549" s="4">
        <v>1604</v>
      </c>
      <c r="AK549" s="5">
        <v>7.8048999999999999</v>
      </c>
      <c r="AN549" s="1">
        <v>3</v>
      </c>
      <c r="AO549" t="s">
        <v>81</v>
      </c>
      <c r="AP549" t="s">
        <v>82</v>
      </c>
      <c r="AQ549" t="s">
        <v>83</v>
      </c>
      <c r="AR549" s="3">
        <v>1.67</v>
      </c>
      <c r="AS549" s="4">
        <v>1791</v>
      </c>
      <c r="AT549" s="1">
        <v>1071</v>
      </c>
      <c r="AU549" s="3">
        <v>1.73</v>
      </c>
      <c r="AV549" s="4">
        <v>2312</v>
      </c>
      <c r="AW549" s="1">
        <v>1339</v>
      </c>
      <c r="AX549" s="3">
        <v>1676272.5</v>
      </c>
      <c r="BB549" t="s">
        <v>84</v>
      </c>
      <c r="BD549" s="3">
        <v>1.97</v>
      </c>
      <c r="BE549" s="4">
        <v>1392</v>
      </c>
      <c r="BF549" s="1">
        <v>708</v>
      </c>
      <c r="BG549" s="1">
        <v>223</v>
      </c>
      <c r="BH549" s="1">
        <v>164</v>
      </c>
      <c r="BI549" s="1">
        <v>23</v>
      </c>
      <c r="BK549" t="s">
        <v>1299</v>
      </c>
      <c r="BL549" t="s">
        <v>104</v>
      </c>
    </row>
    <row r="550" spans="1:67" x14ac:dyDescent="0.25">
      <c r="A550" t="s">
        <v>2992</v>
      </c>
      <c r="B550" t="s">
        <v>2993</v>
      </c>
      <c r="C550" s="4">
        <f>(AA550*(H550*0.9))*12</f>
        <v>6448248</v>
      </c>
      <c r="D550" s="4">
        <f>IF(C550=0,"",(H550*150*12)+C550)</f>
        <v>7117848</v>
      </c>
      <c r="E550" s="4">
        <f>IFERROR(D550*0.5,"")</f>
        <v>3558924</v>
      </c>
      <c r="F550" s="4">
        <f>IFERROR(E550/0.06,"")</f>
        <v>59315400</v>
      </c>
      <c r="G550" s="4">
        <f>IFERROR(F550/H550,"")</f>
        <v>159450</v>
      </c>
      <c r="H550" s="1">
        <v>372</v>
      </c>
      <c r="I550" s="1">
        <v>1998</v>
      </c>
      <c r="J550" t="s">
        <v>64</v>
      </c>
      <c r="K550" t="s">
        <v>198</v>
      </c>
      <c r="L550" t="s">
        <v>2994</v>
      </c>
      <c r="M550" t="s">
        <v>2995</v>
      </c>
      <c r="N550" t="s">
        <v>2996</v>
      </c>
      <c r="O550" t="s">
        <v>2994</v>
      </c>
      <c r="P550" s="1">
        <v>4</v>
      </c>
      <c r="Q550" t="s">
        <v>729</v>
      </c>
      <c r="R550" t="s">
        <v>70</v>
      </c>
      <c r="S550" t="s">
        <v>71</v>
      </c>
      <c r="U550" t="s">
        <v>72</v>
      </c>
      <c r="V550" t="s">
        <v>531</v>
      </c>
      <c r="W550" t="s">
        <v>74</v>
      </c>
      <c r="X550" t="s">
        <v>2997</v>
      </c>
      <c r="Y550" s="2">
        <v>1035</v>
      </c>
      <c r="Z550" s="3">
        <v>1.55</v>
      </c>
      <c r="AA550" s="4">
        <v>1605</v>
      </c>
      <c r="AK550" s="5">
        <v>9.9461999999999993</v>
      </c>
      <c r="AM550" s="1">
        <v>2015</v>
      </c>
      <c r="AN550" s="1">
        <v>2</v>
      </c>
      <c r="AO550" t="s">
        <v>81</v>
      </c>
      <c r="AP550" t="s">
        <v>82</v>
      </c>
      <c r="AQ550" t="s">
        <v>83</v>
      </c>
      <c r="AR550" s="3">
        <v>1.48</v>
      </c>
      <c r="AS550" s="4">
        <v>1677</v>
      </c>
      <c r="AT550" s="1">
        <v>1131</v>
      </c>
      <c r="AU550" s="3">
        <v>1.54</v>
      </c>
      <c r="AV550" s="4">
        <v>2032</v>
      </c>
      <c r="AW550" s="1">
        <v>1319</v>
      </c>
      <c r="AX550" s="3">
        <v>1110046</v>
      </c>
      <c r="BB550" t="s">
        <v>84</v>
      </c>
      <c r="BD550" s="3">
        <v>1.69</v>
      </c>
      <c r="BE550" s="4">
        <v>1316</v>
      </c>
      <c r="BF550" s="1">
        <v>777</v>
      </c>
      <c r="BG550" s="1">
        <v>131</v>
      </c>
      <c r="BH550" s="1">
        <v>183</v>
      </c>
      <c r="BI550" s="1">
        <v>58</v>
      </c>
      <c r="BL550" t="s">
        <v>131</v>
      </c>
    </row>
    <row r="551" spans="1:67" x14ac:dyDescent="0.25">
      <c r="A551" t="s">
        <v>3465</v>
      </c>
      <c r="B551" t="s">
        <v>3466</v>
      </c>
      <c r="C551" s="4">
        <f>(AA551*(H551*0.9))*12</f>
        <v>3885235.1999999997</v>
      </c>
      <c r="D551" s="4">
        <f>IF(C551=0,"",(H551*150*12)+C551)</f>
        <v>4288435.1999999993</v>
      </c>
      <c r="E551" s="4">
        <f>IFERROR(D551*0.5,"")</f>
        <v>2144217.5999999996</v>
      </c>
      <c r="F551" s="4">
        <f>IFERROR(E551/0.06,"")</f>
        <v>35736959.999999993</v>
      </c>
      <c r="G551" s="4">
        <f>IFERROR(F551/H551,"")</f>
        <v>159539.99999999997</v>
      </c>
      <c r="H551" s="1">
        <v>224</v>
      </c>
      <c r="I551" s="1">
        <v>1996</v>
      </c>
      <c r="J551" t="s">
        <v>64</v>
      </c>
      <c r="K551" t="s">
        <v>800</v>
      </c>
      <c r="L551" t="s">
        <v>3467</v>
      </c>
      <c r="M551" t="s">
        <v>3468</v>
      </c>
      <c r="N551" t="s">
        <v>3469</v>
      </c>
      <c r="O551" t="s">
        <v>3467</v>
      </c>
      <c r="P551" s="1">
        <v>2</v>
      </c>
      <c r="Q551" t="s">
        <v>69</v>
      </c>
      <c r="R551" t="s">
        <v>70</v>
      </c>
      <c r="S551" t="s">
        <v>71</v>
      </c>
      <c r="T551" t="s">
        <v>118</v>
      </c>
      <c r="U551" t="s">
        <v>72</v>
      </c>
      <c r="V551" t="s">
        <v>800</v>
      </c>
      <c r="W551" t="s">
        <v>74</v>
      </c>
      <c r="X551" t="s">
        <v>803</v>
      </c>
      <c r="Y551" s="2">
        <v>903</v>
      </c>
      <c r="Z551" s="3">
        <v>1.78</v>
      </c>
      <c r="AA551" s="4">
        <v>1606</v>
      </c>
      <c r="AK551" s="5">
        <v>12.5</v>
      </c>
      <c r="AN551" s="1">
        <v>2</v>
      </c>
      <c r="AO551" t="s">
        <v>81</v>
      </c>
      <c r="AP551" t="s">
        <v>82</v>
      </c>
      <c r="AQ551" t="s">
        <v>83</v>
      </c>
      <c r="AR551" s="3">
        <v>1.72</v>
      </c>
      <c r="AS551" s="4">
        <v>1550</v>
      </c>
      <c r="AT551" s="1">
        <v>900</v>
      </c>
      <c r="AU551" s="3">
        <v>1.77</v>
      </c>
      <c r="AV551" s="4">
        <v>1769</v>
      </c>
      <c r="AW551" s="1">
        <v>1000</v>
      </c>
      <c r="AX551" s="3">
        <v>220401.96</v>
      </c>
      <c r="BB551" t="s">
        <v>84</v>
      </c>
      <c r="BD551" s="3">
        <v>1.92</v>
      </c>
      <c r="BE551" s="4">
        <v>1444</v>
      </c>
      <c r="BF551" s="1">
        <v>751</v>
      </c>
      <c r="BG551" s="1">
        <v>48</v>
      </c>
      <c r="BH551" s="1">
        <v>96</v>
      </c>
      <c r="BI551" s="1">
        <v>80</v>
      </c>
      <c r="BK551" t="s">
        <v>3470</v>
      </c>
      <c r="BL551" t="s">
        <v>131</v>
      </c>
    </row>
    <row r="552" spans="1:67" x14ac:dyDescent="0.25">
      <c r="A552" t="s">
        <v>2758</v>
      </c>
      <c r="B552" t="s">
        <v>2759</v>
      </c>
      <c r="C552" s="4">
        <f>(AA552*(H552*0.9))*12</f>
        <v>8514828</v>
      </c>
      <c r="D552" s="4">
        <f>IF(C552=0,"",(H552*150*12)+C552)</f>
        <v>9396828</v>
      </c>
      <c r="E552" s="4">
        <f>IFERROR(D552*0.5,"")</f>
        <v>4698414</v>
      </c>
      <c r="F552" s="4">
        <f>IFERROR(E552/0.06,"")</f>
        <v>78306900</v>
      </c>
      <c r="G552" s="4">
        <f>IFERROR(F552/H552,"")</f>
        <v>159810</v>
      </c>
      <c r="H552" s="1">
        <v>490</v>
      </c>
      <c r="I552" s="1">
        <v>2000</v>
      </c>
      <c r="J552" t="s">
        <v>64</v>
      </c>
      <c r="K552" t="s">
        <v>756</v>
      </c>
      <c r="L552" t="s">
        <v>1976</v>
      </c>
      <c r="M552" t="s">
        <v>2760</v>
      </c>
      <c r="N552" t="s">
        <v>2761</v>
      </c>
      <c r="O552" t="s">
        <v>1976</v>
      </c>
      <c r="P552" s="1">
        <v>4</v>
      </c>
      <c r="Q552" t="s">
        <v>91</v>
      </c>
      <c r="R552" t="s">
        <v>70</v>
      </c>
      <c r="S552" t="s">
        <v>71</v>
      </c>
      <c r="U552" t="s">
        <v>72</v>
      </c>
      <c r="V552" t="s">
        <v>73</v>
      </c>
      <c r="W552" t="s">
        <v>74</v>
      </c>
      <c r="X552" t="s">
        <v>2475</v>
      </c>
      <c r="Y552" s="2">
        <v>1019</v>
      </c>
      <c r="Z552" s="3">
        <v>1.58</v>
      </c>
      <c r="AA552" s="4">
        <v>1609</v>
      </c>
      <c r="AK552" s="5">
        <v>9.5917999999999992</v>
      </c>
      <c r="AL552" s="1">
        <v>1</v>
      </c>
      <c r="AN552" s="1">
        <v>4</v>
      </c>
      <c r="AO552" t="s">
        <v>81</v>
      </c>
      <c r="AP552" t="s">
        <v>82</v>
      </c>
      <c r="AQ552" t="s">
        <v>83</v>
      </c>
      <c r="AR552" s="3">
        <v>1.41</v>
      </c>
      <c r="AS552" s="4">
        <v>1770</v>
      </c>
      <c r="AT552" s="1">
        <v>1253</v>
      </c>
      <c r="AU552" s="3">
        <v>1.49</v>
      </c>
      <c r="AV552" s="4">
        <v>2333</v>
      </c>
      <c r="AW552" s="1">
        <v>1563</v>
      </c>
      <c r="AX552" s="3">
        <v>2249275.2000000002</v>
      </c>
      <c r="AY552" s="3">
        <v>1.71</v>
      </c>
      <c r="AZ552" s="4">
        <v>1019</v>
      </c>
      <c r="BA552" s="6">
        <v>595</v>
      </c>
      <c r="BB552" t="s">
        <v>84</v>
      </c>
      <c r="BD552" s="3">
        <v>1.84</v>
      </c>
      <c r="BE552" s="4">
        <v>1361</v>
      </c>
      <c r="BF552" s="1">
        <v>737</v>
      </c>
      <c r="BG552" s="1">
        <v>236</v>
      </c>
      <c r="BH552" s="1">
        <v>199</v>
      </c>
      <c r="BI552" s="1">
        <v>45</v>
      </c>
    </row>
    <row r="553" spans="1:67" x14ac:dyDescent="0.25">
      <c r="A553" t="s">
        <v>2826</v>
      </c>
      <c r="B553" t="s">
        <v>2827</v>
      </c>
      <c r="C553" s="4">
        <f>(AA553*(H553*0.9))*12</f>
        <v>7581168</v>
      </c>
      <c r="D553" s="4">
        <f>IF(C553=0,"",(H553*150*12)+C553)</f>
        <v>8365968</v>
      </c>
      <c r="E553" s="4">
        <f>IFERROR(D553*0.5,"")</f>
        <v>4182984</v>
      </c>
      <c r="F553" s="4">
        <f>IFERROR(E553/0.06,"")</f>
        <v>69716400</v>
      </c>
      <c r="G553" s="4">
        <f>IFERROR(F553/H553,"")</f>
        <v>159900</v>
      </c>
      <c r="H553" s="1">
        <v>436</v>
      </c>
      <c r="I553" s="1">
        <v>1998</v>
      </c>
      <c r="J553" t="s">
        <v>64</v>
      </c>
      <c r="K553" t="s">
        <v>177</v>
      </c>
      <c r="L553" t="s">
        <v>801</v>
      </c>
      <c r="M553" t="s">
        <v>2828</v>
      </c>
      <c r="N553" t="s">
        <v>2095</v>
      </c>
      <c r="O553" t="s">
        <v>801</v>
      </c>
      <c r="P553" s="1">
        <v>3</v>
      </c>
      <c r="Q553" t="s">
        <v>91</v>
      </c>
      <c r="R553" t="s">
        <v>70</v>
      </c>
      <c r="S553" t="s">
        <v>71</v>
      </c>
      <c r="U553" t="s">
        <v>72</v>
      </c>
      <c r="V553" t="s">
        <v>172</v>
      </c>
      <c r="W553" t="s">
        <v>74</v>
      </c>
      <c r="X553" t="s">
        <v>189</v>
      </c>
      <c r="Y553" s="2">
        <v>913</v>
      </c>
      <c r="Z553" s="3">
        <v>1.76</v>
      </c>
      <c r="AA553" s="4">
        <v>1610</v>
      </c>
      <c r="AK553" s="5">
        <v>3.2109999999999999</v>
      </c>
      <c r="AN553" s="1">
        <v>3</v>
      </c>
      <c r="AO553" t="s">
        <v>81</v>
      </c>
      <c r="AP553" t="s">
        <v>82</v>
      </c>
      <c r="AQ553" t="s">
        <v>83</v>
      </c>
      <c r="AR553" s="3">
        <v>1.59</v>
      </c>
      <c r="AS553" s="4">
        <v>1669</v>
      </c>
      <c r="AT553" s="1">
        <v>1050</v>
      </c>
      <c r="AU553" s="3">
        <v>1.73</v>
      </c>
      <c r="AV553" s="4">
        <v>2337</v>
      </c>
      <c r="AW553" s="1">
        <v>1353</v>
      </c>
      <c r="AX553" s="3">
        <v>1727070.8</v>
      </c>
      <c r="BB553" t="s">
        <v>84</v>
      </c>
      <c r="BD553" s="3">
        <v>1.93</v>
      </c>
      <c r="BE553" s="4">
        <v>1470</v>
      </c>
      <c r="BF553" s="1">
        <v>760</v>
      </c>
      <c r="BG553" s="1">
        <v>240</v>
      </c>
      <c r="BH553" s="1">
        <v>163</v>
      </c>
      <c r="BI553" s="1">
        <v>33</v>
      </c>
    </row>
    <row r="554" spans="1:67" x14ac:dyDescent="0.25">
      <c r="A554" t="s">
        <v>1562</v>
      </c>
      <c r="B554" t="s">
        <v>1563</v>
      </c>
      <c r="C554" s="4">
        <f>(AA554*(H554*0.9))*12</f>
        <v>956934</v>
      </c>
      <c r="D554" s="4">
        <f>IF(C554=0,"",(H554*150*12)+C554)</f>
        <v>1055934</v>
      </c>
      <c r="E554" s="4">
        <f>IFERROR(D554*0.5,"")</f>
        <v>527967</v>
      </c>
      <c r="F554" s="4">
        <f>IFERROR(E554/0.06,"")</f>
        <v>8799450</v>
      </c>
      <c r="G554" s="4">
        <f>IFERROR(F554/H554,"")</f>
        <v>159990</v>
      </c>
      <c r="H554" s="1">
        <v>55</v>
      </c>
      <c r="I554" s="1">
        <v>1985</v>
      </c>
      <c r="J554" t="s">
        <v>64</v>
      </c>
      <c r="K554" t="s">
        <v>1564</v>
      </c>
      <c r="L554" t="s">
        <v>1565</v>
      </c>
      <c r="M554" t="s">
        <v>1566</v>
      </c>
      <c r="N554" t="s">
        <v>1567</v>
      </c>
      <c r="O554" t="s">
        <v>1565</v>
      </c>
      <c r="P554" s="1">
        <v>3</v>
      </c>
      <c r="Q554" t="s">
        <v>91</v>
      </c>
      <c r="R554" t="s">
        <v>70</v>
      </c>
      <c r="S554" t="s">
        <v>71</v>
      </c>
      <c r="U554" t="s">
        <v>72</v>
      </c>
      <c r="V554" t="s">
        <v>73</v>
      </c>
      <c r="W554" t="s">
        <v>74</v>
      </c>
      <c r="X554" t="s">
        <v>1568</v>
      </c>
      <c r="Y554" s="2">
        <v>728</v>
      </c>
      <c r="Z554" s="3">
        <v>2.21</v>
      </c>
      <c r="AA554" s="4">
        <v>1611</v>
      </c>
      <c r="AK554" s="5">
        <v>5.4545000000000003</v>
      </c>
      <c r="AN554" s="1">
        <v>3</v>
      </c>
      <c r="AO554" t="s">
        <v>81</v>
      </c>
      <c r="AP554" t="s">
        <v>82</v>
      </c>
      <c r="AQ554" t="s">
        <v>83</v>
      </c>
      <c r="AR554" s="3">
        <v>1.86</v>
      </c>
      <c r="AS554" s="4">
        <v>1894</v>
      </c>
      <c r="AT554" s="1">
        <v>1017</v>
      </c>
      <c r="AX554" s="3">
        <v>187742.52</v>
      </c>
      <c r="BB554" t="s">
        <v>84</v>
      </c>
      <c r="BD554" s="3">
        <v>2.31</v>
      </c>
      <c r="BE554" s="4">
        <v>1555</v>
      </c>
      <c r="BF554" s="1">
        <v>672</v>
      </c>
      <c r="BG554" s="1">
        <v>46</v>
      </c>
      <c r="BH554" s="1">
        <v>9</v>
      </c>
      <c r="BK554" t="s">
        <v>1569</v>
      </c>
      <c r="BL554" t="s">
        <v>104</v>
      </c>
    </row>
    <row r="555" spans="1:67" x14ac:dyDescent="0.25">
      <c r="A555" t="s">
        <v>3019</v>
      </c>
      <c r="B555" t="s">
        <v>3020</v>
      </c>
      <c r="C555" s="4">
        <f>(AA555*(H555*0.9))*12</f>
        <v>4976056.8000000007</v>
      </c>
      <c r="D555" s="4">
        <f>IF(C555=0,"",(H555*150*12)+C555)</f>
        <v>5490856.8000000007</v>
      </c>
      <c r="E555" s="4">
        <f>IFERROR(D555*0.5,"")</f>
        <v>2745428.4000000004</v>
      </c>
      <c r="F555" s="4">
        <f>IFERROR(E555/0.06,"")</f>
        <v>45757140.000000007</v>
      </c>
      <c r="G555" s="4">
        <f>IFERROR(F555/H555,"")</f>
        <v>159990.00000000003</v>
      </c>
      <c r="H555" s="1">
        <v>286</v>
      </c>
      <c r="I555" s="1">
        <v>1997</v>
      </c>
      <c r="J555" t="s">
        <v>64</v>
      </c>
      <c r="K555" t="s">
        <v>734</v>
      </c>
      <c r="L555" t="s">
        <v>929</v>
      </c>
      <c r="M555" t="s">
        <v>3021</v>
      </c>
      <c r="N555" t="s">
        <v>3022</v>
      </c>
      <c r="O555" t="s">
        <v>929</v>
      </c>
      <c r="P555" s="1">
        <v>3</v>
      </c>
      <c r="Q555" t="s">
        <v>91</v>
      </c>
      <c r="R555" t="s">
        <v>70</v>
      </c>
      <c r="S555" t="s">
        <v>71</v>
      </c>
      <c r="U555" t="s">
        <v>72</v>
      </c>
      <c r="V555" t="s">
        <v>73</v>
      </c>
      <c r="W555" t="s">
        <v>74</v>
      </c>
      <c r="X555" t="s">
        <v>3023</v>
      </c>
      <c r="Y555" s="2">
        <v>936</v>
      </c>
      <c r="Z555" s="3">
        <v>1.72</v>
      </c>
      <c r="AA555" s="4">
        <v>1611</v>
      </c>
      <c r="AK555" s="5">
        <v>6.6433999999999997</v>
      </c>
      <c r="AN555" s="1">
        <v>3</v>
      </c>
      <c r="AO555" t="s">
        <v>81</v>
      </c>
      <c r="AP555" t="s">
        <v>82</v>
      </c>
      <c r="AQ555" t="s">
        <v>83</v>
      </c>
      <c r="AR555" s="3">
        <v>1.68</v>
      </c>
      <c r="AS555" s="4">
        <v>1843</v>
      </c>
      <c r="AT555" s="1">
        <v>1099</v>
      </c>
      <c r="AU555" s="3">
        <v>1.58</v>
      </c>
      <c r="AV555" s="4">
        <v>2293</v>
      </c>
      <c r="AW555" s="1">
        <v>1454</v>
      </c>
      <c r="AX555" s="3">
        <v>838600.45</v>
      </c>
      <c r="BB555" t="s">
        <v>84</v>
      </c>
      <c r="BD555" s="3">
        <v>1.79</v>
      </c>
      <c r="BE555" s="4">
        <v>1394</v>
      </c>
      <c r="BF555" s="1">
        <v>779</v>
      </c>
      <c r="BG555" s="1">
        <v>172</v>
      </c>
      <c r="BH555" s="1">
        <v>90</v>
      </c>
      <c r="BI555" s="1">
        <v>24</v>
      </c>
      <c r="BK555" t="s">
        <v>174</v>
      </c>
      <c r="BL555" t="s">
        <v>104</v>
      </c>
    </row>
    <row r="556" spans="1:67" x14ac:dyDescent="0.25">
      <c r="A556" t="s">
        <v>3495</v>
      </c>
      <c r="B556" t="s">
        <v>3496</v>
      </c>
      <c r="C556" s="4">
        <f>(AA556*(H556*0.9))*12</f>
        <v>6275232</v>
      </c>
      <c r="D556" s="4">
        <f>IF(C556=0,"",(H556*150*12)+C556)</f>
        <v>6923232</v>
      </c>
      <c r="E556" s="4">
        <f>IFERROR(D556*0.5,"")</f>
        <v>3461616</v>
      </c>
      <c r="F556" s="4">
        <f>IFERROR(E556/0.06,"")</f>
        <v>57693600</v>
      </c>
      <c r="G556" s="4">
        <f>IFERROR(F556/H556,"")</f>
        <v>160260</v>
      </c>
      <c r="H556" s="1">
        <v>360</v>
      </c>
      <c r="I556" s="1">
        <v>1998</v>
      </c>
      <c r="J556" t="s">
        <v>64</v>
      </c>
      <c r="K556" t="s">
        <v>256</v>
      </c>
      <c r="L556" t="s">
        <v>3497</v>
      </c>
      <c r="M556" t="s">
        <v>3498</v>
      </c>
      <c r="N556" t="s">
        <v>3499</v>
      </c>
      <c r="O556" t="s">
        <v>3497</v>
      </c>
      <c r="P556" s="1">
        <v>4</v>
      </c>
      <c r="Q556" t="s">
        <v>729</v>
      </c>
      <c r="R556" t="s">
        <v>70</v>
      </c>
      <c r="S556" t="s">
        <v>71</v>
      </c>
      <c r="U556" t="s">
        <v>72</v>
      </c>
      <c r="V556" t="s">
        <v>152</v>
      </c>
      <c r="W556" t="s">
        <v>74</v>
      </c>
      <c r="X556" t="s">
        <v>260</v>
      </c>
      <c r="Y556" s="2">
        <v>951</v>
      </c>
      <c r="Z556" s="3">
        <v>1.7</v>
      </c>
      <c r="AA556" s="4">
        <v>1614</v>
      </c>
      <c r="AK556" s="5">
        <v>11.3889</v>
      </c>
      <c r="AM556" s="1">
        <v>2018</v>
      </c>
      <c r="AN556" s="1">
        <v>3</v>
      </c>
      <c r="AO556" t="s">
        <v>81</v>
      </c>
      <c r="AP556" t="s">
        <v>82</v>
      </c>
      <c r="AQ556" t="s">
        <v>83</v>
      </c>
      <c r="AR556" s="3">
        <v>1.52</v>
      </c>
      <c r="AS556" s="4">
        <v>1608</v>
      </c>
      <c r="AT556" s="1">
        <v>1060</v>
      </c>
      <c r="AU556" s="3">
        <v>1.69</v>
      </c>
      <c r="AV556" s="4">
        <v>2240</v>
      </c>
      <c r="AW556" s="1">
        <v>1328</v>
      </c>
      <c r="AX556" s="3">
        <v>1653739.76</v>
      </c>
      <c r="BB556" t="s">
        <v>84</v>
      </c>
      <c r="BD556" s="3">
        <v>1.83</v>
      </c>
      <c r="BE556" s="4">
        <v>1234</v>
      </c>
      <c r="BF556" s="1">
        <v>675</v>
      </c>
      <c r="BG556" s="1">
        <v>168</v>
      </c>
      <c r="BH556" s="1">
        <v>114</v>
      </c>
      <c r="BI556" s="1">
        <v>57</v>
      </c>
      <c r="BJ556" s="1">
        <v>21</v>
      </c>
      <c r="BK556" t="s">
        <v>2368</v>
      </c>
      <c r="BL556" t="s">
        <v>104</v>
      </c>
      <c r="BM556" s="3">
        <v>1.91</v>
      </c>
      <c r="BN556" s="4">
        <v>2980</v>
      </c>
      <c r="BO556" s="1">
        <v>1560</v>
      </c>
    </row>
    <row r="557" spans="1:67" x14ac:dyDescent="0.25">
      <c r="A557" t="s">
        <v>444</v>
      </c>
      <c r="B557" t="s">
        <v>445</v>
      </c>
      <c r="C557" s="4">
        <f>(AA557*(H557*0.9))*12</f>
        <v>2980735.2</v>
      </c>
      <c r="D557" s="4">
        <f>IF(C557=0,"",(H557*150*12)+C557)</f>
        <v>3288535.2</v>
      </c>
      <c r="E557" s="4">
        <f>IFERROR(D557*0.5,"")</f>
        <v>1644267.6</v>
      </c>
      <c r="F557" s="4">
        <f>IFERROR(E557/0.06,"")</f>
        <v>27404460.000000004</v>
      </c>
      <c r="G557" s="4">
        <f>IFERROR(F557/H557,"")</f>
        <v>160260.00000000003</v>
      </c>
      <c r="H557" s="1">
        <v>171</v>
      </c>
      <c r="I557" s="1">
        <v>1985</v>
      </c>
      <c r="J557" t="s">
        <v>64</v>
      </c>
      <c r="K557" t="s">
        <v>110</v>
      </c>
      <c r="L557" t="s">
        <v>446</v>
      </c>
      <c r="M557" t="s">
        <v>447</v>
      </c>
      <c r="N557" t="s">
        <v>448</v>
      </c>
      <c r="O557" t="s">
        <v>446</v>
      </c>
      <c r="P557" s="1">
        <v>3</v>
      </c>
      <c r="Q557" t="s">
        <v>91</v>
      </c>
      <c r="R557" t="s">
        <v>70</v>
      </c>
      <c r="S557" t="s">
        <v>71</v>
      </c>
      <c r="U557" t="s">
        <v>72</v>
      </c>
      <c r="V557" t="s">
        <v>110</v>
      </c>
      <c r="W557" t="s">
        <v>74</v>
      </c>
      <c r="X557" t="s">
        <v>449</v>
      </c>
      <c r="Y557" s="2">
        <v>979</v>
      </c>
      <c r="Z557" s="3">
        <v>1.65</v>
      </c>
      <c r="AA557" s="4">
        <v>1614</v>
      </c>
      <c r="AK557" s="5">
        <v>12.865500000000001</v>
      </c>
      <c r="AN557" s="1">
        <v>2</v>
      </c>
      <c r="AO557" t="s">
        <v>81</v>
      </c>
      <c r="AP557" t="s">
        <v>82</v>
      </c>
      <c r="AQ557" t="s">
        <v>83</v>
      </c>
      <c r="AR557" s="3">
        <v>1.63</v>
      </c>
      <c r="AS557" s="4">
        <v>1591</v>
      </c>
      <c r="AT557" s="1">
        <v>974</v>
      </c>
      <c r="AU557" s="3">
        <v>1.95</v>
      </c>
      <c r="AV557" s="4">
        <v>2105</v>
      </c>
      <c r="AW557" s="1">
        <v>1077</v>
      </c>
      <c r="AX557" s="3">
        <v>666601.9</v>
      </c>
      <c r="BB557" t="s">
        <v>84</v>
      </c>
      <c r="BD557" s="3">
        <v>1.36</v>
      </c>
      <c r="BE557" s="4">
        <v>1356</v>
      </c>
      <c r="BF557" s="1">
        <v>1000</v>
      </c>
      <c r="BG557" s="1">
        <v>3</v>
      </c>
      <c r="BH557" s="1">
        <v>159</v>
      </c>
      <c r="BI557" s="1">
        <v>9</v>
      </c>
    </row>
    <row r="558" spans="1:67" x14ac:dyDescent="0.25">
      <c r="A558" t="s">
        <v>3366</v>
      </c>
      <c r="B558" t="s">
        <v>3367</v>
      </c>
      <c r="C558" s="4">
        <f>(AA558*(H558*0.9))*12</f>
        <v>7539609.6000000006</v>
      </c>
      <c r="D558" s="4">
        <f>IF(C558=0,"",(H558*150*12)+C558)</f>
        <v>8317209.6000000006</v>
      </c>
      <c r="E558" s="4">
        <f>IFERROR(D558*0.5,"")</f>
        <v>4158604.8000000003</v>
      </c>
      <c r="F558" s="4">
        <f>IFERROR(E558/0.06,"")</f>
        <v>69310080</v>
      </c>
      <c r="G558" s="4">
        <f>IFERROR(F558/H558,"")</f>
        <v>160440</v>
      </c>
      <c r="H558" s="1">
        <v>432</v>
      </c>
      <c r="I558" s="1">
        <v>1997</v>
      </c>
      <c r="J558" t="s">
        <v>64</v>
      </c>
      <c r="K558" t="s">
        <v>660</v>
      </c>
      <c r="L558" t="s">
        <v>2243</v>
      </c>
      <c r="M558" t="s">
        <v>3368</v>
      </c>
      <c r="N558" t="s">
        <v>3369</v>
      </c>
      <c r="O558" t="s">
        <v>2243</v>
      </c>
      <c r="P558" s="1">
        <v>4</v>
      </c>
      <c r="Q558" t="s">
        <v>729</v>
      </c>
      <c r="R558" t="s">
        <v>70</v>
      </c>
      <c r="S558" t="s">
        <v>71</v>
      </c>
      <c r="U558" t="s">
        <v>72</v>
      </c>
      <c r="V558" t="s">
        <v>1012</v>
      </c>
      <c r="W558" t="s">
        <v>74</v>
      </c>
      <c r="X558" t="s">
        <v>2246</v>
      </c>
      <c r="Y558" s="2">
        <v>1036</v>
      </c>
      <c r="Z558" s="3">
        <v>1.56</v>
      </c>
      <c r="AA558" s="4">
        <v>1616</v>
      </c>
      <c r="AK558" s="5">
        <v>3.9352</v>
      </c>
      <c r="AN558" s="1">
        <v>3</v>
      </c>
      <c r="AO558" t="s">
        <v>81</v>
      </c>
      <c r="AP558" t="s">
        <v>82</v>
      </c>
      <c r="AQ558" t="s">
        <v>83</v>
      </c>
      <c r="AR558" s="3">
        <v>1.46</v>
      </c>
      <c r="AS558" s="4">
        <v>1646</v>
      </c>
      <c r="AT558" s="1">
        <v>1130</v>
      </c>
      <c r="AU558" s="3">
        <v>1.7</v>
      </c>
      <c r="AV558" s="4">
        <v>2093</v>
      </c>
      <c r="AW558" s="1">
        <v>1231</v>
      </c>
      <c r="AX558" s="3">
        <v>1249092.92</v>
      </c>
      <c r="BB558" t="s">
        <v>84</v>
      </c>
      <c r="BD558" s="3">
        <v>1.82</v>
      </c>
      <c r="BE558" s="4">
        <v>1343</v>
      </c>
      <c r="BF558" s="1">
        <v>736</v>
      </c>
      <c r="BG558" s="1">
        <v>114</v>
      </c>
      <c r="BH558" s="1">
        <v>270</v>
      </c>
      <c r="BI558" s="1">
        <v>48</v>
      </c>
      <c r="BK558" t="s">
        <v>3370</v>
      </c>
      <c r="BL558" t="s">
        <v>104</v>
      </c>
    </row>
    <row r="559" spans="1:67" x14ac:dyDescent="0.25">
      <c r="A559" t="s">
        <v>3634</v>
      </c>
      <c r="B559" t="s">
        <v>3635</v>
      </c>
      <c r="C559" s="4">
        <f>(AA559*(H559*0.9))*12</f>
        <v>4750099.2</v>
      </c>
      <c r="D559" s="4">
        <f>IF(C559=0,"",(H559*150*12)+C559)</f>
        <v>5239699.2</v>
      </c>
      <c r="E559" s="4">
        <f>IFERROR(D559*0.5,"")</f>
        <v>2619849.6</v>
      </c>
      <c r="F559" s="4">
        <f>IFERROR(E559/0.06,"")</f>
        <v>43664160</v>
      </c>
      <c r="G559" s="4">
        <f>IFERROR(F559/H559,"")</f>
        <v>160530</v>
      </c>
      <c r="H559" s="1">
        <v>272</v>
      </c>
      <c r="I559" s="1">
        <v>1996</v>
      </c>
      <c r="J559" t="s">
        <v>64</v>
      </c>
      <c r="K559" t="s">
        <v>140</v>
      </c>
      <c r="L559" t="s">
        <v>2557</v>
      </c>
      <c r="M559" t="s">
        <v>3636</v>
      </c>
      <c r="N559" t="s">
        <v>3637</v>
      </c>
      <c r="O559" t="s">
        <v>2557</v>
      </c>
      <c r="P559" s="1">
        <v>3</v>
      </c>
      <c r="Q559" t="s">
        <v>91</v>
      </c>
      <c r="R559" t="s">
        <v>70</v>
      </c>
      <c r="S559" t="s">
        <v>71</v>
      </c>
      <c r="U559" t="s">
        <v>72</v>
      </c>
      <c r="V559" t="s">
        <v>140</v>
      </c>
      <c r="W559" t="s">
        <v>74</v>
      </c>
      <c r="X559" t="s">
        <v>1351</v>
      </c>
      <c r="Y559" s="2">
        <v>902</v>
      </c>
      <c r="Z559" s="3">
        <v>1.79</v>
      </c>
      <c r="AA559" s="4">
        <v>1617</v>
      </c>
      <c r="AK559" s="5">
        <v>5.5147000000000004</v>
      </c>
      <c r="AL559" s="1">
        <v>1</v>
      </c>
      <c r="AN559" s="1">
        <v>2</v>
      </c>
      <c r="AO559" t="s">
        <v>81</v>
      </c>
      <c r="AP559" t="s">
        <v>82</v>
      </c>
      <c r="AQ559" t="s">
        <v>83</v>
      </c>
      <c r="AR559" s="3">
        <v>1.74</v>
      </c>
      <c r="AS559" s="4">
        <v>1841</v>
      </c>
      <c r="AT559" s="1">
        <v>1060</v>
      </c>
      <c r="AU559" s="3">
        <v>1.57</v>
      </c>
      <c r="AV559" s="4">
        <v>2179</v>
      </c>
      <c r="AW559" s="1">
        <v>1384</v>
      </c>
      <c r="AX559" s="3">
        <v>657469.51</v>
      </c>
      <c r="BB559" t="s">
        <v>84</v>
      </c>
      <c r="BD559" s="3">
        <v>1.87</v>
      </c>
      <c r="BE559" s="4">
        <v>1436</v>
      </c>
      <c r="BF559" s="1">
        <v>767</v>
      </c>
      <c r="BG559" s="1">
        <v>164</v>
      </c>
      <c r="BH559" s="1">
        <v>92</v>
      </c>
      <c r="BI559" s="1">
        <v>16</v>
      </c>
      <c r="BK559" t="s">
        <v>980</v>
      </c>
      <c r="BL559" t="s">
        <v>131</v>
      </c>
    </row>
    <row r="560" spans="1:67" x14ac:dyDescent="0.25">
      <c r="A560" t="s">
        <v>3024</v>
      </c>
      <c r="B560" t="s">
        <v>3025</v>
      </c>
      <c r="C560" s="4">
        <f>(AA560*(H560*0.9))*12</f>
        <v>9097920</v>
      </c>
      <c r="D560" s="4">
        <f>IF(C560=0,"",(H560*150*12)+C560)</f>
        <v>10033920</v>
      </c>
      <c r="E560" s="4">
        <f>IFERROR(D560*0.5,"")</f>
        <v>5016960</v>
      </c>
      <c r="F560" s="4">
        <f>IFERROR(E560/0.06,"")</f>
        <v>83616000</v>
      </c>
      <c r="G560" s="4">
        <f>IFERROR(F560/H560,"")</f>
        <v>160800</v>
      </c>
      <c r="H560" s="1">
        <v>520</v>
      </c>
      <c r="I560" s="1">
        <v>2000</v>
      </c>
      <c r="J560" t="s">
        <v>64</v>
      </c>
      <c r="K560" t="s">
        <v>551</v>
      </c>
      <c r="L560" t="s">
        <v>1894</v>
      </c>
      <c r="M560" t="s">
        <v>3026</v>
      </c>
      <c r="N560" t="s">
        <v>3027</v>
      </c>
      <c r="O560" t="s">
        <v>1894</v>
      </c>
      <c r="P560" s="1">
        <v>4</v>
      </c>
      <c r="Q560" t="s">
        <v>729</v>
      </c>
      <c r="R560" t="s">
        <v>70</v>
      </c>
      <c r="S560" t="s">
        <v>71</v>
      </c>
      <c r="U560" t="s">
        <v>72</v>
      </c>
      <c r="V560" t="s">
        <v>551</v>
      </c>
      <c r="W560" t="s">
        <v>74</v>
      </c>
      <c r="X560" t="s">
        <v>986</v>
      </c>
      <c r="Y560" s="2">
        <v>933</v>
      </c>
      <c r="Z560" s="3">
        <v>1.74</v>
      </c>
      <c r="AA560" s="4">
        <v>1620</v>
      </c>
      <c r="AK560" s="5">
        <v>10.192299999999999</v>
      </c>
      <c r="AN560" s="1">
        <v>3</v>
      </c>
      <c r="AO560" t="s">
        <v>81</v>
      </c>
      <c r="AP560" t="s">
        <v>82</v>
      </c>
      <c r="AQ560" t="s">
        <v>83</v>
      </c>
      <c r="AR560" s="3">
        <v>1.67</v>
      </c>
      <c r="AS560" s="4">
        <v>1802</v>
      </c>
      <c r="AT560" s="1">
        <v>1079</v>
      </c>
      <c r="AU560" s="3">
        <v>1.61</v>
      </c>
      <c r="AV560" s="4">
        <v>2115</v>
      </c>
      <c r="AW560" s="1">
        <v>1316</v>
      </c>
      <c r="AX560" s="3">
        <v>1641532.91</v>
      </c>
      <c r="BB560" t="s">
        <v>84</v>
      </c>
      <c r="BD560" s="3">
        <v>1.88</v>
      </c>
      <c r="BE560" s="4">
        <v>1349</v>
      </c>
      <c r="BF560" s="1">
        <v>719</v>
      </c>
      <c r="BG560" s="1">
        <v>237</v>
      </c>
      <c r="BH560" s="1">
        <v>243</v>
      </c>
      <c r="BI560" s="1">
        <v>40</v>
      </c>
      <c r="BK560" t="s">
        <v>3028</v>
      </c>
      <c r="BL560" t="s">
        <v>365</v>
      </c>
    </row>
    <row r="561" spans="1:64" x14ac:dyDescent="0.25">
      <c r="A561" t="s">
        <v>2369</v>
      </c>
      <c r="B561" t="s">
        <v>2370</v>
      </c>
      <c r="C561" s="4">
        <f>(AA561*(H561*0.9))*12</f>
        <v>6127380</v>
      </c>
      <c r="D561" s="4">
        <f>IF(C561=0,"",(H561*150*12)+C561)</f>
        <v>6757380</v>
      </c>
      <c r="E561" s="4">
        <f>IFERROR(D561*0.5,"")</f>
        <v>3378690</v>
      </c>
      <c r="F561" s="4">
        <f>IFERROR(E561/0.06,"")</f>
        <v>56311500</v>
      </c>
      <c r="G561" s="4">
        <f>IFERROR(F561/H561,"")</f>
        <v>160890</v>
      </c>
      <c r="H561" s="1">
        <v>350</v>
      </c>
      <c r="I561" s="1">
        <v>1999</v>
      </c>
      <c r="J561" t="s">
        <v>64</v>
      </c>
      <c r="K561" t="s">
        <v>259</v>
      </c>
      <c r="L561" t="s">
        <v>2371</v>
      </c>
      <c r="M561" t="s">
        <v>2372</v>
      </c>
      <c r="N561" t="s">
        <v>2373</v>
      </c>
      <c r="O561" t="s">
        <v>2371</v>
      </c>
      <c r="P561" s="1">
        <v>4</v>
      </c>
      <c r="Q561" t="s">
        <v>91</v>
      </c>
      <c r="R561" t="s">
        <v>70</v>
      </c>
      <c r="S561" t="s">
        <v>71</v>
      </c>
      <c r="U561" t="s">
        <v>72</v>
      </c>
      <c r="V561" t="s">
        <v>152</v>
      </c>
      <c r="W561" t="s">
        <v>74</v>
      </c>
      <c r="X561" t="s">
        <v>780</v>
      </c>
      <c r="Y561" s="2">
        <v>992</v>
      </c>
      <c r="Z561" s="3">
        <v>1.63</v>
      </c>
      <c r="AA561" s="4">
        <v>1621</v>
      </c>
      <c r="AK561" s="5">
        <v>6.2857000000000003</v>
      </c>
      <c r="AM561" s="1">
        <v>2007</v>
      </c>
      <c r="AN561" s="1">
        <v>3</v>
      </c>
      <c r="AO561" t="s">
        <v>81</v>
      </c>
      <c r="AP561" t="s">
        <v>82</v>
      </c>
      <c r="AQ561" t="s">
        <v>83</v>
      </c>
      <c r="AR561" s="3">
        <v>1.59</v>
      </c>
      <c r="AS561" s="4">
        <v>1758</v>
      </c>
      <c r="AT561" s="1">
        <v>1103</v>
      </c>
      <c r="AU561" s="3">
        <v>1.63</v>
      </c>
      <c r="AV561" s="4">
        <v>2234</v>
      </c>
      <c r="AW561" s="1">
        <v>1375</v>
      </c>
      <c r="AX561" s="3">
        <v>1147358.05</v>
      </c>
      <c r="BB561" t="s">
        <v>84</v>
      </c>
      <c r="BD561" s="3">
        <v>1.69</v>
      </c>
      <c r="BE561" s="4">
        <v>1316</v>
      </c>
      <c r="BF561" s="1">
        <v>779</v>
      </c>
      <c r="BG561" s="1">
        <v>160</v>
      </c>
      <c r="BH561" s="1">
        <v>142</v>
      </c>
      <c r="BI561" s="1">
        <v>48</v>
      </c>
    </row>
    <row r="562" spans="1:64" x14ac:dyDescent="0.25">
      <c r="A562" t="s">
        <v>3144</v>
      </c>
      <c r="B562" t="s">
        <v>3145</v>
      </c>
      <c r="C562" s="4">
        <f>(AA562*(H562*0.9))*12</f>
        <v>4139251.2</v>
      </c>
      <c r="D562" s="4">
        <f>IF(C562=0,"",(H562*150*12)+C562)</f>
        <v>4564051.2</v>
      </c>
      <c r="E562" s="4">
        <f>IFERROR(D562*0.5,"")</f>
        <v>2282025.6</v>
      </c>
      <c r="F562" s="4">
        <f>IFERROR(E562/0.06,"")</f>
        <v>38033760</v>
      </c>
      <c r="G562" s="4">
        <f>IFERROR(F562/H562,"")</f>
        <v>161160</v>
      </c>
      <c r="H562" s="1">
        <v>236</v>
      </c>
      <c r="I562" s="1">
        <v>1993</v>
      </c>
      <c r="J562" t="s">
        <v>64</v>
      </c>
      <c r="K562" t="s">
        <v>269</v>
      </c>
      <c r="L562" t="s">
        <v>3146</v>
      </c>
      <c r="M562" t="s">
        <v>3147</v>
      </c>
      <c r="O562" t="s">
        <v>3146</v>
      </c>
      <c r="P562" s="1">
        <v>4</v>
      </c>
      <c r="Q562" t="s">
        <v>729</v>
      </c>
      <c r="R562" t="s">
        <v>70</v>
      </c>
      <c r="S562" t="s">
        <v>71</v>
      </c>
      <c r="U562" t="s">
        <v>72</v>
      </c>
      <c r="V562" t="s">
        <v>73</v>
      </c>
      <c r="W562" t="s">
        <v>74</v>
      </c>
      <c r="X562" t="s">
        <v>3148</v>
      </c>
      <c r="Y562" s="2">
        <v>967</v>
      </c>
      <c r="Z562" s="3">
        <v>1.68</v>
      </c>
      <c r="AA562" s="4">
        <v>1624</v>
      </c>
      <c r="AK562" s="5">
        <v>12.7119</v>
      </c>
      <c r="AN562" s="1">
        <v>2</v>
      </c>
      <c r="AO562" t="s">
        <v>81</v>
      </c>
      <c r="AP562" t="s">
        <v>82</v>
      </c>
      <c r="AQ562" t="s">
        <v>83</v>
      </c>
      <c r="AR562" s="3">
        <v>1.63</v>
      </c>
      <c r="AS562" s="4">
        <v>1791</v>
      </c>
      <c r="AT562" s="1">
        <v>1101</v>
      </c>
      <c r="AX562" s="3">
        <v>642571.13</v>
      </c>
      <c r="BB562" t="s">
        <v>84</v>
      </c>
      <c r="BD562" s="3">
        <v>1.75</v>
      </c>
      <c r="BE562" s="4">
        <v>1458</v>
      </c>
      <c r="BF562" s="1">
        <v>835</v>
      </c>
      <c r="BG562" s="1">
        <v>118</v>
      </c>
      <c r="BH562" s="1">
        <v>118</v>
      </c>
    </row>
    <row r="563" spans="1:64" x14ac:dyDescent="0.25">
      <c r="A563" t="s">
        <v>1264</v>
      </c>
      <c r="B563" t="s">
        <v>1265</v>
      </c>
      <c r="C563" s="4">
        <f>(AA563*(H563*0.9))*12</f>
        <v>2458512</v>
      </c>
      <c r="D563" s="4">
        <f>IF(C563=0,"",(H563*150*12)+C563)</f>
        <v>2710512</v>
      </c>
      <c r="E563" s="4">
        <f>IFERROR(D563*0.5,"")</f>
        <v>1355256</v>
      </c>
      <c r="F563" s="4">
        <f>IFERROR(E563/0.06,"")</f>
        <v>22587600</v>
      </c>
      <c r="G563" s="4">
        <f>IFERROR(F563/H563,"")</f>
        <v>161340</v>
      </c>
      <c r="H563" s="1">
        <v>140</v>
      </c>
      <c r="I563" s="1">
        <v>1985</v>
      </c>
      <c r="J563" t="s">
        <v>64</v>
      </c>
      <c r="K563" t="s">
        <v>140</v>
      </c>
      <c r="L563" t="s">
        <v>1266</v>
      </c>
      <c r="M563" t="s">
        <v>1267</v>
      </c>
      <c r="N563" t="s">
        <v>1268</v>
      </c>
      <c r="O563" t="s">
        <v>1266</v>
      </c>
      <c r="P563" s="1">
        <v>3</v>
      </c>
      <c r="Q563" t="s">
        <v>91</v>
      </c>
      <c r="R563" t="s">
        <v>70</v>
      </c>
      <c r="S563" t="s">
        <v>71</v>
      </c>
      <c r="U563" t="s">
        <v>72</v>
      </c>
      <c r="V563" t="s">
        <v>140</v>
      </c>
      <c r="W563" t="s">
        <v>74</v>
      </c>
      <c r="X563" t="s">
        <v>1269</v>
      </c>
      <c r="Y563" s="2">
        <v>1066</v>
      </c>
      <c r="Z563" s="3">
        <v>1.52</v>
      </c>
      <c r="AA563" s="4">
        <v>1626</v>
      </c>
      <c r="AK563" s="5">
        <v>10</v>
      </c>
      <c r="AN563" s="1">
        <v>2</v>
      </c>
      <c r="AO563" t="s">
        <v>81</v>
      </c>
      <c r="AP563" t="s">
        <v>82</v>
      </c>
      <c r="AQ563" t="s">
        <v>83</v>
      </c>
      <c r="AR563" s="3">
        <v>1.54</v>
      </c>
      <c r="AS563" s="4">
        <v>1505</v>
      </c>
      <c r="AT563" s="1">
        <v>980</v>
      </c>
      <c r="AU563" s="3">
        <v>1.52</v>
      </c>
      <c r="AV563" s="4">
        <v>1750</v>
      </c>
      <c r="AW563" s="1">
        <v>1155</v>
      </c>
      <c r="BB563" t="s">
        <v>84</v>
      </c>
      <c r="BH563" s="1">
        <v>71</v>
      </c>
      <c r="BI563" s="1">
        <v>69</v>
      </c>
      <c r="BK563" t="s">
        <v>566</v>
      </c>
      <c r="BL563" t="s">
        <v>104</v>
      </c>
    </row>
    <row r="564" spans="1:64" x14ac:dyDescent="0.25">
      <c r="A564" t="s">
        <v>2829</v>
      </c>
      <c r="B564" t="s">
        <v>2830</v>
      </c>
      <c r="C564" s="4">
        <f>(AA564*(H564*0.9))*12</f>
        <v>3233174.4000000004</v>
      </c>
      <c r="D564" s="4">
        <f>IF(C564=0,"",(H564*150*12)+C564)</f>
        <v>3564374.4000000004</v>
      </c>
      <c r="E564" s="4">
        <f>IFERROR(D564*0.5,"")</f>
        <v>1782187.2000000002</v>
      </c>
      <c r="F564" s="4">
        <f>IFERROR(E564/0.06,"")</f>
        <v>29703120.000000004</v>
      </c>
      <c r="G564" s="4">
        <f>IFERROR(F564/H564,"")</f>
        <v>161430.00000000003</v>
      </c>
      <c r="H564" s="1">
        <v>184</v>
      </c>
      <c r="I564" s="1">
        <v>1998</v>
      </c>
      <c r="J564" t="s">
        <v>64</v>
      </c>
      <c r="K564" t="s">
        <v>177</v>
      </c>
      <c r="L564" t="s">
        <v>250</v>
      </c>
      <c r="M564" t="s">
        <v>2831</v>
      </c>
      <c r="N564" t="s">
        <v>2832</v>
      </c>
      <c r="O564" t="s">
        <v>250</v>
      </c>
      <c r="P564" s="1">
        <v>3</v>
      </c>
      <c r="Q564" t="s">
        <v>91</v>
      </c>
      <c r="R564" t="s">
        <v>70</v>
      </c>
      <c r="S564" t="s">
        <v>71</v>
      </c>
      <c r="U564" t="s">
        <v>72</v>
      </c>
      <c r="V564" t="s">
        <v>172</v>
      </c>
      <c r="W564" t="s">
        <v>74</v>
      </c>
      <c r="X564" t="s">
        <v>2833</v>
      </c>
      <c r="Y564" s="2">
        <v>852</v>
      </c>
      <c r="Z564" s="3">
        <v>1.91</v>
      </c>
      <c r="AA564" s="4">
        <v>1627</v>
      </c>
      <c r="AK564" s="5">
        <v>3.2608999999999999</v>
      </c>
      <c r="AN564" s="1">
        <v>2</v>
      </c>
      <c r="AO564" t="s">
        <v>81</v>
      </c>
      <c r="AP564" t="s">
        <v>82</v>
      </c>
      <c r="AQ564" t="s">
        <v>83</v>
      </c>
      <c r="AR564" s="3">
        <v>1.84</v>
      </c>
      <c r="AS564" s="4">
        <v>1765</v>
      </c>
      <c r="AT564" s="1">
        <v>961</v>
      </c>
      <c r="AU564" s="3">
        <v>1.8</v>
      </c>
      <c r="AV564" s="4">
        <v>2128</v>
      </c>
      <c r="AW564" s="1">
        <v>1183</v>
      </c>
      <c r="AX564" s="3">
        <v>298202.58</v>
      </c>
      <c r="BB564" t="s">
        <v>84</v>
      </c>
      <c r="BD564" s="3">
        <v>2.04</v>
      </c>
      <c r="BE564" s="4">
        <v>1394</v>
      </c>
      <c r="BF564" s="1">
        <v>685</v>
      </c>
      <c r="BG564" s="1">
        <v>90</v>
      </c>
      <c r="BH564" s="1">
        <v>72</v>
      </c>
      <c r="BI564" s="1">
        <v>22</v>
      </c>
    </row>
    <row r="565" spans="1:64" x14ac:dyDescent="0.25">
      <c r="A565" t="s">
        <v>3513</v>
      </c>
      <c r="B565" t="s">
        <v>3514</v>
      </c>
      <c r="C565" s="4">
        <f>(AA565*(H565*0.9))*12</f>
        <v>4230144</v>
      </c>
      <c r="D565" s="4">
        <f>IF(C565=0,"",(H565*150*12)+C565)</f>
        <v>4662144</v>
      </c>
      <c r="E565" s="4">
        <f>IFERROR(D565*0.5,"")</f>
        <v>2331072</v>
      </c>
      <c r="F565" s="4">
        <f>IFERROR(E565/0.06,"")</f>
        <v>38851200</v>
      </c>
      <c r="G565" s="4">
        <f>IFERROR(F565/H565,"")</f>
        <v>161880</v>
      </c>
      <c r="H565" s="1">
        <v>240</v>
      </c>
      <c r="I565" s="1">
        <v>1995</v>
      </c>
      <c r="J565" t="s">
        <v>64</v>
      </c>
      <c r="K565" t="s">
        <v>140</v>
      </c>
      <c r="L565" t="s">
        <v>2395</v>
      </c>
      <c r="M565" t="s">
        <v>3515</v>
      </c>
      <c r="N565" t="s">
        <v>3516</v>
      </c>
      <c r="O565" t="s">
        <v>2395</v>
      </c>
      <c r="P565" s="1">
        <v>3</v>
      </c>
      <c r="Q565" t="s">
        <v>91</v>
      </c>
      <c r="R565" t="s">
        <v>70</v>
      </c>
      <c r="S565" t="s">
        <v>71</v>
      </c>
      <c r="U565" t="s">
        <v>72</v>
      </c>
      <c r="V565" t="s">
        <v>140</v>
      </c>
      <c r="W565" t="s">
        <v>74</v>
      </c>
      <c r="X565" t="s">
        <v>1535</v>
      </c>
      <c r="Y565" s="2">
        <v>822</v>
      </c>
      <c r="Z565" s="3">
        <v>1.99</v>
      </c>
      <c r="AA565" s="4">
        <v>1632</v>
      </c>
      <c r="AK565" s="5">
        <v>5</v>
      </c>
      <c r="AN565" s="1">
        <v>2</v>
      </c>
      <c r="AO565" t="s">
        <v>81</v>
      </c>
      <c r="AP565" t="s">
        <v>82</v>
      </c>
      <c r="AQ565" t="s">
        <v>83</v>
      </c>
      <c r="AR565" s="3">
        <v>1.84</v>
      </c>
      <c r="AS565" s="4">
        <v>1870</v>
      </c>
      <c r="AT565" s="1">
        <v>1014</v>
      </c>
      <c r="AX565" s="3">
        <v>655831.11</v>
      </c>
      <c r="BB565" t="s">
        <v>84</v>
      </c>
      <c r="BD565" s="3">
        <v>2.11</v>
      </c>
      <c r="BE565" s="4">
        <v>1490</v>
      </c>
      <c r="BF565" s="1">
        <v>707</v>
      </c>
      <c r="BG565" s="1">
        <v>150</v>
      </c>
      <c r="BH565" s="1">
        <v>90</v>
      </c>
    </row>
    <row r="566" spans="1:64" x14ac:dyDescent="0.25">
      <c r="A566" t="s">
        <v>2863</v>
      </c>
      <c r="B566" t="s">
        <v>2864</v>
      </c>
      <c r="C566" s="4">
        <f>(AA566*(H566*0.9))*12</f>
        <v>10405476</v>
      </c>
      <c r="D566" s="4">
        <f>IF(C566=0,"",(H566*150*12)+C566)</f>
        <v>11467476</v>
      </c>
      <c r="E566" s="4">
        <f>IFERROR(D566*0.5,"")</f>
        <v>5733738</v>
      </c>
      <c r="F566" s="4">
        <f>IFERROR(E566/0.06,"")</f>
        <v>95562300</v>
      </c>
      <c r="G566" s="4">
        <f>IFERROR(F566/H566,"")</f>
        <v>161970</v>
      </c>
      <c r="H566" s="1">
        <v>590</v>
      </c>
      <c r="I566" s="1">
        <v>1999</v>
      </c>
      <c r="J566" t="s">
        <v>64</v>
      </c>
      <c r="K566" t="s">
        <v>1133</v>
      </c>
      <c r="L566" t="s">
        <v>1976</v>
      </c>
      <c r="M566" t="s">
        <v>2865</v>
      </c>
      <c r="N566" t="s">
        <v>2866</v>
      </c>
      <c r="O566" t="s">
        <v>1976</v>
      </c>
      <c r="P566" s="1">
        <v>4</v>
      </c>
      <c r="Q566" t="s">
        <v>729</v>
      </c>
      <c r="R566" t="s">
        <v>70</v>
      </c>
      <c r="S566" t="s">
        <v>71</v>
      </c>
      <c r="U566" t="s">
        <v>72</v>
      </c>
      <c r="V566" t="s">
        <v>264</v>
      </c>
      <c r="W566" t="s">
        <v>74</v>
      </c>
      <c r="X566" t="s">
        <v>1594</v>
      </c>
      <c r="Y566" s="2">
        <v>891</v>
      </c>
      <c r="Z566" s="3">
        <v>1.83</v>
      </c>
      <c r="AA566" s="4">
        <v>1633</v>
      </c>
      <c r="AK566" s="5">
        <v>7.2881</v>
      </c>
      <c r="AM566" s="1">
        <v>2017</v>
      </c>
      <c r="AN566" s="1">
        <v>2</v>
      </c>
      <c r="AO566" t="s">
        <v>81</v>
      </c>
      <c r="AP566" t="s">
        <v>82</v>
      </c>
      <c r="AQ566" t="s">
        <v>83</v>
      </c>
      <c r="AR566" s="3">
        <v>1.74</v>
      </c>
      <c r="AS566" s="4">
        <v>1915</v>
      </c>
      <c r="AT566" s="1">
        <v>1099</v>
      </c>
      <c r="AU566" s="3">
        <v>1.83</v>
      </c>
      <c r="AV566" s="4">
        <v>2646</v>
      </c>
      <c r="AW566" s="1">
        <v>1449</v>
      </c>
      <c r="AX566" s="3">
        <v>2276270.33</v>
      </c>
      <c r="BB566" t="s">
        <v>84</v>
      </c>
      <c r="BD566" s="3">
        <v>1.93</v>
      </c>
      <c r="BE566" s="4">
        <v>1399</v>
      </c>
      <c r="BF566" s="1">
        <v>727</v>
      </c>
      <c r="BG566" s="1">
        <v>340</v>
      </c>
      <c r="BH566" s="1">
        <v>238</v>
      </c>
      <c r="BI566" s="1">
        <v>12</v>
      </c>
      <c r="BK566" t="s">
        <v>2867</v>
      </c>
      <c r="BL566" t="s">
        <v>104</v>
      </c>
    </row>
    <row r="567" spans="1:64" x14ac:dyDescent="0.25">
      <c r="A567" t="s">
        <v>248</v>
      </c>
      <c r="B567" t="s">
        <v>249</v>
      </c>
      <c r="C567" s="4">
        <f>(AA567*(H567*0.9))*12</f>
        <v>1413504</v>
      </c>
      <c r="D567" s="4">
        <f>IF(C567=0,"",(H567*150*12)+C567)</f>
        <v>1557504</v>
      </c>
      <c r="E567" s="4">
        <f>IFERROR(D567*0.5,"")</f>
        <v>778752</v>
      </c>
      <c r="F567" s="4">
        <f>IFERROR(E567/0.06,"")</f>
        <v>12979200</v>
      </c>
      <c r="G567" s="4">
        <f>IFERROR(F567/H567,"")</f>
        <v>162240</v>
      </c>
      <c r="H567" s="1">
        <v>80</v>
      </c>
      <c r="I567" s="1">
        <v>1986</v>
      </c>
      <c r="J567" t="s">
        <v>64</v>
      </c>
      <c r="K567" t="s">
        <v>177</v>
      </c>
      <c r="L567" t="s">
        <v>250</v>
      </c>
      <c r="M567" t="s">
        <v>251</v>
      </c>
      <c r="N567" t="s">
        <v>252</v>
      </c>
      <c r="O567" t="s">
        <v>250</v>
      </c>
      <c r="P567" s="1">
        <v>3</v>
      </c>
      <c r="Q567" t="s">
        <v>91</v>
      </c>
      <c r="R567" t="s">
        <v>70</v>
      </c>
      <c r="S567" t="s">
        <v>71</v>
      </c>
      <c r="U567" t="s">
        <v>72</v>
      </c>
      <c r="V567" t="s">
        <v>172</v>
      </c>
      <c r="W567" t="s">
        <v>74</v>
      </c>
      <c r="X567" t="s">
        <v>253</v>
      </c>
      <c r="Y567" s="2">
        <v>940</v>
      </c>
      <c r="Z567" s="3">
        <v>1.74</v>
      </c>
      <c r="AA567" s="4">
        <v>1636</v>
      </c>
      <c r="AK567" s="5">
        <v>6.25</v>
      </c>
      <c r="AN567" s="1">
        <v>2</v>
      </c>
      <c r="AO567" t="s">
        <v>81</v>
      </c>
      <c r="AP567" t="s">
        <v>82</v>
      </c>
      <c r="AQ567" t="s">
        <v>83</v>
      </c>
      <c r="AR567" s="3">
        <v>1.68</v>
      </c>
      <c r="AS567" s="4">
        <v>1710</v>
      </c>
      <c r="AT567" s="1">
        <v>1017</v>
      </c>
      <c r="AX567" s="3">
        <v>235337.12</v>
      </c>
      <c r="BB567" t="s">
        <v>84</v>
      </c>
      <c r="BD567" s="3">
        <v>1.89</v>
      </c>
      <c r="BE567" s="4">
        <v>1482</v>
      </c>
      <c r="BF567" s="1">
        <v>783</v>
      </c>
      <c r="BG567" s="1">
        <v>26</v>
      </c>
      <c r="BH567" s="1">
        <v>54</v>
      </c>
    </row>
    <row r="568" spans="1:64" x14ac:dyDescent="0.25">
      <c r="A568" t="s">
        <v>2336</v>
      </c>
      <c r="B568" t="s">
        <v>2337</v>
      </c>
      <c r="C568" s="4">
        <f>(AA568*(H568*0.9))*12</f>
        <v>5451969.5999999996</v>
      </c>
      <c r="D568" s="4">
        <f>IF(C568=0,"",(H568*150*12)+C568)</f>
        <v>6006369.5999999996</v>
      </c>
      <c r="E568" s="4">
        <f>IFERROR(D568*0.5,"")</f>
        <v>3003184.8</v>
      </c>
      <c r="F568" s="4">
        <f>IFERROR(E568/0.06,"")</f>
        <v>50053080</v>
      </c>
      <c r="G568" s="4">
        <f>IFERROR(F568/H568,"")</f>
        <v>162510</v>
      </c>
      <c r="H568" s="1">
        <v>308</v>
      </c>
      <c r="I568" s="1">
        <v>1997</v>
      </c>
      <c r="J568" t="s">
        <v>64</v>
      </c>
      <c r="K568" t="s">
        <v>256</v>
      </c>
      <c r="L568" t="s">
        <v>1532</v>
      </c>
      <c r="M568" t="s">
        <v>2338</v>
      </c>
      <c r="N568" t="s">
        <v>2339</v>
      </c>
      <c r="O568" t="s">
        <v>1532</v>
      </c>
      <c r="P568" s="1">
        <v>4</v>
      </c>
      <c r="Q568" t="s">
        <v>729</v>
      </c>
      <c r="R568" t="s">
        <v>70</v>
      </c>
      <c r="S568" t="s">
        <v>71</v>
      </c>
      <c r="U568" t="s">
        <v>72</v>
      </c>
      <c r="V568" t="s">
        <v>152</v>
      </c>
      <c r="W568" t="s">
        <v>74</v>
      </c>
      <c r="X568" t="s">
        <v>260</v>
      </c>
      <c r="Y568" s="2">
        <v>998</v>
      </c>
      <c r="Z568" s="3">
        <v>1.64</v>
      </c>
      <c r="AA568" s="4">
        <v>1639</v>
      </c>
      <c r="AK568" s="5">
        <v>10.3896</v>
      </c>
      <c r="AN568" s="1">
        <v>3</v>
      </c>
      <c r="AO568" t="s">
        <v>81</v>
      </c>
      <c r="AP568" t="s">
        <v>82</v>
      </c>
      <c r="AQ568" t="s">
        <v>83</v>
      </c>
      <c r="AR568" s="3">
        <v>1.58</v>
      </c>
      <c r="AS568" s="4">
        <v>1739</v>
      </c>
      <c r="AT568" s="1">
        <v>1103</v>
      </c>
      <c r="AU568" s="3">
        <v>1.46</v>
      </c>
      <c r="AV568" s="4">
        <v>1892</v>
      </c>
      <c r="AW568" s="1">
        <v>1294</v>
      </c>
      <c r="AX568" s="3">
        <v>1418132.16</v>
      </c>
      <c r="BB568" t="s">
        <v>84</v>
      </c>
      <c r="BD568" s="3">
        <v>1.9</v>
      </c>
      <c r="BE568" s="4">
        <v>1450</v>
      </c>
      <c r="BF568" s="1">
        <v>765</v>
      </c>
      <c r="BG568" s="1">
        <v>118</v>
      </c>
      <c r="BH568" s="1">
        <v>150</v>
      </c>
      <c r="BI568" s="1">
        <v>40</v>
      </c>
      <c r="BK568" t="s">
        <v>2340</v>
      </c>
    </row>
    <row r="569" spans="1:64" x14ac:dyDescent="0.25">
      <c r="A569" t="s">
        <v>2719</v>
      </c>
      <c r="B569" t="s">
        <v>2720</v>
      </c>
      <c r="C569" s="4">
        <f>(AA569*(H569*0.9))*12</f>
        <v>2284848</v>
      </c>
      <c r="D569" s="4">
        <f>IF(C569=0,"",(H569*150*12)+C569)</f>
        <v>2517048</v>
      </c>
      <c r="E569" s="4">
        <f>IFERROR(D569*0.5,"")</f>
        <v>1258524</v>
      </c>
      <c r="F569" s="4">
        <f>IFERROR(E569/0.06,"")</f>
        <v>20975400</v>
      </c>
      <c r="G569" s="4">
        <f>IFERROR(F569/H569,"")</f>
        <v>162600</v>
      </c>
      <c r="H569" s="1">
        <v>129</v>
      </c>
      <c r="I569" s="1">
        <v>1997</v>
      </c>
      <c r="J569" t="s">
        <v>64</v>
      </c>
      <c r="K569" t="s">
        <v>2421</v>
      </c>
      <c r="L569" t="s">
        <v>2721</v>
      </c>
      <c r="M569" t="s">
        <v>2722</v>
      </c>
      <c r="N569" t="s">
        <v>2723</v>
      </c>
      <c r="O569" t="s">
        <v>2721</v>
      </c>
      <c r="P569" s="1">
        <v>3</v>
      </c>
      <c r="Q569" t="s">
        <v>91</v>
      </c>
      <c r="R569" t="s">
        <v>70</v>
      </c>
      <c r="S569" t="s">
        <v>71</v>
      </c>
      <c r="U569" t="s">
        <v>72</v>
      </c>
      <c r="V569" t="s">
        <v>73</v>
      </c>
      <c r="W569" t="s">
        <v>74</v>
      </c>
      <c r="X569" t="s">
        <v>2424</v>
      </c>
      <c r="Y569" s="2">
        <v>862</v>
      </c>
      <c r="Z569" s="3">
        <v>1.9</v>
      </c>
      <c r="AA569" s="4">
        <v>1640</v>
      </c>
      <c r="AK569" s="5">
        <v>3.8759999999999999</v>
      </c>
      <c r="AN569" s="1">
        <v>8</v>
      </c>
      <c r="AO569" t="s">
        <v>81</v>
      </c>
      <c r="AP569" t="s">
        <v>82</v>
      </c>
      <c r="AQ569" t="s">
        <v>83</v>
      </c>
      <c r="AR569" s="3">
        <v>1.72</v>
      </c>
      <c r="AS569" s="4">
        <v>2171</v>
      </c>
      <c r="AT569" s="1">
        <v>1265</v>
      </c>
      <c r="AU569" s="3">
        <v>1.1399999999999999</v>
      </c>
      <c r="AV569" s="4">
        <v>3056</v>
      </c>
      <c r="AW569" s="1">
        <v>2685</v>
      </c>
      <c r="AX569" s="3">
        <v>531782.72</v>
      </c>
      <c r="BB569" t="s">
        <v>84</v>
      </c>
      <c r="BD569" s="3">
        <v>1.95</v>
      </c>
      <c r="BE569" s="4">
        <v>1572</v>
      </c>
      <c r="BF569" s="1">
        <v>805</v>
      </c>
      <c r="BG569" s="1">
        <v>116</v>
      </c>
      <c r="BH569" s="1">
        <v>12</v>
      </c>
      <c r="BI569" s="1">
        <v>1</v>
      </c>
    </row>
    <row r="570" spans="1:64" x14ac:dyDescent="0.25">
      <c r="A570" t="s">
        <v>713</v>
      </c>
      <c r="B570" t="s">
        <v>714</v>
      </c>
      <c r="C570" s="4">
        <f>(AA570*(H570*0.9))*12</f>
        <v>1524160.8</v>
      </c>
      <c r="D570" s="4">
        <f>IF(C570=0,"",(H570*150*12)+C570)</f>
        <v>1678960.8</v>
      </c>
      <c r="E570" s="4">
        <f>IFERROR(D570*0.5,"")</f>
        <v>839480.4</v>
      </c>
      <c r="F570" s="4">
        <f>IFERROR(E570/0.06,"")</f>
        <v>13991340</v>
      </c>
      <c r="G570" s="4">
        <f>IFERROR(F570/H570,"")</f>
        <v>162690</v>
      </c>
      <c r="H570" s="1">
        <v>86</v>
      </c>
      <c r="I570" s="1">
        <v>1985</v>
      </c>
      <c r="J570" t="s">
        <v>64</v>
      </c>
      <c r="K570" t="s">
        <v>177</v>
      </c>
      <c r="L570" t="s">
        <v>250</v>
      </c>
      <c r="M570" t="s">
        <v>715</v>
      </c>
      <c r="N570" t="s">
        <v>716</v>
      </c>
      <c r="O570" t="s">
        <v>250</v>
      </c>
      <c r="P570" s="1">
        <v>3</v>
      </c>
      <c r="Q570" t="s">
        <v>91</v>
      </c>
      <c r="R570" t="s">
        <v>70</v>
      </c>
      <c r="S570" t="s">
        <v>71</v>
      </c>
      <c r="U570" t="s">
        <v>72</v>
      </c>
      <c r="V570" t="s">
        <v>181</v>
      </c>
      <c r="W570" t="s">
        <v>74</v>
      </c>
      <c r="X570" t="s">
        <v>717</v>
      </c>
      <c r="Y570" s="2">
        <v>959</v>
      </c>
      <c r="Z570" s="3">
        <v>1.71</v>
      </c>
      <c r="AA570" s="4">
        <v>1641</v>
      </c>
      <c r="AK570" s="5">
        <v>5.8140000000000001</v>
      </c>
      <c r="AM570" s="1">
        <v>2000</v>
      </c>
      <c r="AN570" s="1">
        <v>2</v>
      </c>
      <c r="AO570" t="s">
        <v>81</v>
      </c>
      <c r="AP570" t="s">
        <v>82</v>
      </c>
      <c r="AQ570" t="s">
        <v>83</v>
      </c>
      <c r="AR570" s="3">
        <v>1.73</v>
      </c>
      <c r="AS570" s="4">
        <v>1677</v>
      </c>
      <c r="AT570" s="1">
        <v>968</v>
      </c>
      <c r="AU570" s="3">
        <v>1.69</v>
      </c>
      <c r="AV570" s="4">
        <v>2033</v>
      </c>
      <c r="AW570" s="1">
        <v>1202</v>
      </c>
      <c r="AX570" s="3">
        <v>262832.31</v>
      </c>
      <c r="BB570" t="s">
        <v>84</v>
      </c>
      <c r="BD570" s="3">
        <v>1.7</v>
      </c>
      <c r="BE570" s="4">
        <v>1359</v>
      </c>
      <c r="BF570" s="1">
        <v>801</v>
      </c>
      <c r="BG570" s="1">
        <v>31</v>
      </c>
      <c r="BH570" s="1">
        <v>36</v>
      </c>
      <c r="BI570" s="1">
        <v>19</v>
      </c>
    </row>
    <row r="571" spans="1:64" x14ac:dyDescent="0.25">
      <c r="A571" t="s">
        <v>754</v>
      </c>
      <c r="B571" t="s">
        <v>755</v>
      </c>
      <c r="C571" s="4">
        <f>(AA571*(H571*0.9))*12</f>
        <v>5781153.6000000006</v>
      </c>
      <c r="D571" s="4">
        <f>IF(C571=0,"",(H571*150*12)+C571)</f>
        <v>6367953.6000000006</v>
      </c>
      <c r="E571" s="4">
        <f>IFERROR(D571*0.5,"")</f>
        <v>3183976.8000000003</v>
      </c>
      <c r="F571" s="4">
        <f>IFERROR(E571/0.06,"")</f>
        <v>53066280.000000007</v>
      </c>
      <c r="G571" s="4">
        <f>IFERROR(F571/H571,"")</f>
        <v>162780.00000000003</v>
      </c>
      <c r="H571" s="1">
        <v>326</v>
      </c>
      <c r="I571" s="1">
        <v>1986</v>
      </c>
      <c r="J571" t="s">
        <v>64</v>
      </c>
      <c r="K571" t="s">
        <v>756</v>
      </c>
      <c r="L571" t="s">
        <v>757</v>
      </c>
      <c r="M571" t="s">
        <v>758</v>
      </c>
      <c r="N571" t="s">
        <v>759</v>
      </c>
      <c r="O571" t="s">
        <v>757</v>
      </c>
      <c r="P571" s="1">
        <v>3</v>
      </c>
      <c r="Q571" t="s">
        <v>91</v>
      </c>
      <c r="R571" t="s">
        <v>70</v>
      </c>
      <c r="S571" t="s">
        <v>71</v>
      </c>
      <c r="U571" t="s">
        <v>72</v>
      </c>
      <c r="V571" t="s">
        <v>73</v>
      </c>
      <c r="W571" t="s">
        <v>74</v>
      </c>
      <c r="X571" t="s">
        <v>760</v>
      </c>
      <c r="Y571" s="2">
        <v>798</v>
      </c>
      <c r="Z571" s="3">
        <v>2.0499999999999998</v>
      </c>
      <c r="AA571" s="4">
        <v>1642</v>
      </c>
      <c r="AK571" s="5">
        <v>7.3620000000000001</v>
      </c>
      <c r="AN571" s="1">
        <v>3</v>
      </c>
      <c r="AO571" t="s">
        <v>81</v>
      </c>
      <c r="AP571" t="s">
        <v>82</v>
      </c>
      <c r="AQ571" t="s">
        <v>83</v>
      </c>
      <c r="AR571" s="3">
        <v>1.97</v>
      </c>
      <c r="AS571" s="4">
        <v>1922</v>
      </c>
      <c r="AT571" s="1">
        <v>977</v>
      </c>
      <c r="AX571" s="3">
        <v>1206916.2</v>
      </c>
      <c r="BB571" t="s">
        <v>84</v>
      </c>
      <c r="BD571" s="3">
        <v>2.11</v>
      </c>
      <c r="BE571" s="4">
        <v>1516</v>
      </c>
      <c r="BF571" s="1">
        <v>719</v>
      </c>
      <c r="BG571" s="1">
        <v>225</v>
      </c>
      <c r="BH571" s="1">
        <v>101</v>
      </c>
      <c r="BL571" t="s">
        <v>131</v>
      </c>
    </row>
    <row r="572" spans="1:64" x14ac:dyDescent="0.25">
      <c r="A572" t="s">
        <v>2653</v>
      </c>
      <c r="B572" t="s">
        <v>2654</v>
      </c>
      <c r="C572" s="4">
        <f>(AA572*(H572*0.9))*12</f>
        <v>7520040</v>
      </c>
      <c r="D572" s="4">
        <f>IF(C572=0,"",(H572*150*12)+C572)</f>
        <v>8279640</v>
      </c>
      <c r="E572" s="4">
        <f>IFERROR(D572*0.5,"")</f>
        <v>4139820</v>
      </c>
      <c r="F572" s="4">
        <f>IFERROR(E572/0.06,"")</f>
        <v>68997000</v>
      </c>
      <c r="G572" s="4">
        <f>IFERROR(F572/H572,"")</f>
        <v>163500</v>
      </c>
      <c r="H572" s="1">
        <v>422</v>
      </c>
      <c r="I572" s="1">
        <v>1998</v>
      </c>
      <c r="J572" t="s">
        <v>64</v>
      </c>
      <c r="K572" t="s">
        <v>123</v>
      </c>
      <c r="L572" t="s">
        <v>1038</v>
      </c>
      <c r="M572" t="s">
        <v>2655</v>
      </c>
      <c r="N572" t="s">
        <v>2656</v>
      </c>
      <c r="O572" t="s">
        <v>1038</v>
      </c>
      <c r="P572" s="1">
        <v>4</v>
      </c>
      <c r="Q572" t="s">
        <v>729</v>
      </c>
      <c r="R572" t="s">
        <v>70</v>
      </c>
      <c r="S572" t="s">
        <v>71</v>
      </c>
      <c r="U572" t="s">
        <v>72</v>
      </c>
      <c r="V572" t="s">
        <v>129</v>
      </c>
      <c r="W572" t="s">
        <v>74</v>
      </c>
      <c r="X572" t="s">
        <v>130</v>
      </c>
      <c r="Y572" s="2">
        <v>986</v>
      </c>
      <c r="Z572" s="3">
        <v>1.67</v>
      </c>
      <c r="AA572" s="4">
        <v>1650</v>
      </c>
      <c r="AK572" s="5">
        <v>5.2133000000000003</v>
      </c>
      <c r="AN572" s="1">
        <v>3</v>
      </c>
      <c r="AO572" t="s">
        <v>81</v>
      </c>
      <c r="AP572" t="s">
        <v>82</v>
      </c>
      <c r="AQ572" t="s">
        <v>83</v>
      </c>
      <c r="AR572" s="3">
        <v>1.57</v>
      </c>
      <c r="AS572" s="4">
        <v>1798</v>
      </c>
      <c r="AT572" s="1">
        <v>1145</v>
      </c>
      <c r="AU572" s="3">
        <v>1.66</v>
      </c>
      <c r="AV572" s="4">
        <v>2313</v>
      </c>
      <c r="AW572" s="1">
        <v>1389</v>
      </c>
      <c r="AX572" s="3">
        <v>1168198.3</v>
      </c>
      <c r="BB572" t="s">
        <v>84</v>
      </c>
      <c r="BD572" s="3">
        <v>1.81</v>
      </c>
      <c r="BE572" s="4">
        <v>1421</v>
      </c>
      <c r="BF572" s="1">
        <v>785</v>
      </c>
      <c r="BG572" s="1">
        <v>206</v>
      </c>
      <c r="BH572" s="1">
        <v>186</v>
      </c>
      <c r="BI572" s="1">
        <v>30</v>
      </c>
    </row>
    <row r="573" spans="1:64" x14ac:dyDescent="0.25">
      <c r="A573" t="s">
        <v>3847</v>
      </c>
      <c r="B573" t="s">
        <v>3848</v>
      </c>
      <c r="C573" s="4">
        <f>(AA573*(H573*0.9))*12</f>
        <v>4600346.4000000004</v>
      </c>
      <c r="D573" s="4">
        <f>IF(C573=0,"",(H573*150*12)+C573)</f>
        <v>5064746.4000000004</v>
      </c>
      <c r="E573" s="4">
        <f>IFERROR(D573*0.5,"")</f>
        <v>2532373.2000000002</v>
      </c>
      <c r="F573" s="4">
        <f>IFERROR(E573/0.06,"")</f>
        <v>42206220.000000007</v>
      </c>
      <c r="G573" s="4">
        <f>IFERROR(F573/H573,"")</f>
        <v>163590.00000000003</v>
      </c>
      <c r="H573" s="1">
        <v>258</v>
      </c>
      <c r="I573" s="1">
        <v>1996</v>
      </c>
      <c r="J573" t="s">
        <v>64</v>
      </c>
      <c r="K573" t="s">
        <v>1133</v>
      </c>
      <c r="L573" t="s">
        <v>757</v>
      </c>
      <c r="M573" t="s">
        <v>3849</v>
      </c>
      <c r="N573" t="s">
        <v>3850</v>
      </c>
      <c r="O573" t="s">
        <v>757</v>
      </c>
      <c r="P573" s="1">
        <v>4</v>
      </c>
      <c r="Q573" t="s">
        <v>91</v>
      </c>
      <c r="R573" t="s">
        <v>70</v>
      </c>
      <c r="S573" t="s">
        <v>71</v>
      </c>
      <c r="U573" t="s">
        <v>72</v>
      </c>
      <c r="V573" t="s">
        <v>264</v>
      </c>
      <c r="W573" t="s">
        <v>74</v>
      </c>
      <c r="X573" t="s">
        <v>3851</v>
      </c>
      <c r="Y573" s="2">
        <v>913</v>
      </c>
      <c r="Z573" s="3">
        <v>1.81</v>
      </c>
      <c r="AA573" s="4">
        <v>1651</v>
      </c>
      <c r="AK573" s="5">
        <v>5.0388000000000002</v>
      </c>
      <c r="AN573" s="1">
        <v>3</v>
      </c>
      <c r="AO573" t="s">
        <v>81</v>
      </c>
      <c r="AP573" t="s">
        <v>82</v>
      </c>
      <c r="AQ573" t="s">
        <v>83</v>
      </c>
      <c r="AR573" s="3">
        <v>1.69</v>
      </c>
      <c r="AS573" s="4">
        <v>1871</v>
      </c>
      <c r="AT573" s="1">
        <v>1106</v>
      </c>
      <c r="AX573" s="3">
        <v>1007277.11</v>
      </c>
      <c r="BB573" t="s">
        <v>84</v>
      </c>
      <c r="BD573" s="3">
        <v>1.92</v>
      </c>
      <c r="BE573" s="4">
        <v>1507</v>
      </c>
      <c r="BF573" s="1">
        <v>787</v>
      </c>
      <c r="BG573" s="1">
        <v>156</v>
      </c>
      <c r="BH573" s="1">
        <v>102</v>
      </c>
    </row>
    <row r="574" spans="1:64" x14ac:dyDescent="0.25">
      <c r="A574" t="s">
        <v>2485</v>
      </c>
      <c r="B574" t="s">
        <v>2486</v>
      </c>
      <c r="C574" s="4">
        <f>(AA574*(H574*0.9))*12</f>
        <v>2856384</v>
      </c>
      <c r="D574" s="4">
        <f>IF(C574=0,"",(H574*150*12)+C574)</f>
        <v>3144384</v>
      </c>
      <c r="E574" s="4">
        <f>IFERROR(D574*0.5,"")</f>
        <v>1572192</v>
      </c>
      <c r="F574" s="4">
        <f>IFERROR(E574/0.06,"")</f>
        <v>26203200</v>
      </c>
      <c r="G574" s="4">
        <f>IFERROR(F574/H574,"")</f>
        <v>163770</v>
      </c>
      <c r="H574" s="1">
        <v>160</v>
      </c>
      <c r="I574" s="1">
        <v>1998</v>
      </c>
      <c r="J574" t="s">
        <v>64</v>
      </c>
      <c r="K574" t="s">
        <v>140</v>
      </c>
      <c r="L574" t="s">
        <v>2487</v>
      </c>
      <c r="M574" t="s">
        <v>2488</v>
      </c>
      <c r="N574" t="s">
        <v>2489</v>
      </c>
      <c r="O574" t="s">
        <v>2487</v>
      </c>
      <c r="P574" s="1">
        <v>3</v>
      </c>
      <c r="Q574" t="s">
        <v>91</v>
      </c>
      <c r="R574" t="s">
        <v>70</v>
      </c>
      <c r="S574" t="s">
        <v>71</v>
      </c>
      <c r="U574" t="s">
        <v>72</v>
      </c>
      <c r="V574" t="s">
        <v>134</v>
      </c>
      <c r="W574" t="s">
        <v>74</v>
      </c>
      <c r="X574" t="s">
        <v>1007</v>
      </c>
      <c r="Y574" s="2">
        <v>979</v>
      </c>
      <c r="Z574" s="3">
        <v>1.69</v>
      </c>
      <c r="AA574" s="4">
        <v>1653</v>
      </c>
      <c r="AK574" s="5">
        <v>5</v>
      </c>
      <c r="AN574" s="1">
        <v>2</v>
      </c>
      <c r="AO574" t="s">
        <v>81</v>
      </c>
      <c r="AP574" t="s">
        <v>82</v>
      </c>
      <c r="AQ574" t="s">
        <v>83</v>
      </c>
      <c r="AR574" s="3">
        <v>1.66</v>
      </c>
      <c r="AS574" s="4">
        <v>1719</v>
      </c>
      <c r="AT574" s="1">
        <v>1035</v>
      </c>
      <c r="AU574" s="3">
        <v>1.52</v>
      </c>
      <c r="AV574" s="4">
        <v>2064</v>
      </c>
      <c r="AW574" s="1">
        <v>1355</v>
      </c>
      <c r="AX574" s="3">
        <v>385112.27</v>
      </c>
      <c r="BB574" t="s">
        <v>84</v>
      </c>
      <c r="BD574" s="3">
        <v>1.83</v>
      </c>
      <c r="BE574" s="4">
        <v>1428</v>
      </c>
      <c r="BF574" s="1">
        <v>779</v>
      </c>
      <c r="BG574" s="1">
        <v>60</v>
      </c>
      <c r="BH574" s="1">
        <v>80</v>
      </c>
      <c r="BI574" s="1">
        <v>20</v>
      </c>
    </row>
    <row r="575" spans="1:64" x14ac:dyDescent="0.25">
      <c r="A575" t="s">
        <v>2081</v>
      </c>
      <c r="B575" t="s">
        <v>2082</v>
      </c>
      <c r="C575" s="4">
        <f>(AA575*(H575*0.9))*12</f>
        <v>23761544.400000002</v>
      </c>
      <c r="D575" s="4">
        <f>IF(C575=0,"",(H575*150*12)+C575)</f>
        <v>26157344.400000002</v>
      </c>
      <c r="E575" s="4">
        <f>IFERROR(D575*0.5,"")</f>
        <v>13078672.200000001</v>
      </c>
      <c r="F575" s="4">
        <f>IFERROR(E575/0.06,"")</f>
        <v>217977870.00000003</v>
      </c>
      <c r="G575" s="4">
        <f>IFERROR(F575/H575,"")</f>
        <v>163770.00000000003</v>
      </c>
      <c r="H575" s="1">
        <v>1331</v>
      </c>
      <c r="I575" s="1">
        <v>1998</v>
      </c>
      <c r="J575" t="s">
        <v>64</v>
      </c>
      <c r="K575" t="s">
        <v>2083</v>
      </c>
      <c r="L575" t="s">
        <v>801</v>
      </c>
      <c r="M575" t="s">
        <v>2084</v>
      </c>
      <c r="O575" t="s">
        <v>801</v>
      </c>
      <c r="P575" s="1">
        <v>4</v>
      </c>
      <c r="Q575" t="s">
        <v>91</v>
      </c>
      <c r="R575" t="s">
        <v>70</v>
      </c>
      <c r="S575" t="s">
        <v>71</v>
      </c>
      <c r="U575" t="s">
        <v>72</v>
      </c>
      <c r="V575" t="s">
        <v>2085</v>
      </c>
      <c r="W575" t="s">
        <v>74</v>
      </c>
      <c r="X575" t="s">
        <v>2086</v>
      </c>
      <c r="Y575" s="2">
        <v>861</v>
      </c>
      <c r="Z575" s="3">
        <v>1.92</v>
      </c>
      <c r="AA575" s="4">
        <v>1653</v>
      </c>
      <c r="AK575" s="5">
        <v>3.456</v>
      </c>
      <c r="AN575" s="1">
        <v>4</v>
      </c>
      <c r="AO575" t="s">
        <v>81</v>
      </c>
      <c r="AP575" t="s">
        <v>82</v>
      </c>
      <c r="AQ575" t="s">
        <v>83</v>
      </c>
      <c r="AR575" s="3">
        <v>1.87</v>
      </c>
      <c r="AS575" s="4">
        <v>2112</v>
      </c>
      <c r="AT575" s="1">
        <v>1127</v>
      </c>
      <c r="AU575" s="3">
        <v>1.92</v>
      </c>
      <c r="AV575" s="4">
        <v>2742</v>
      </c>
      <c r="AW575" s="1">
        <v>1427</v>
      </c>
      <c r="AX575" s="3">
        <v>4845932.99</v>
      </c>
      <c r="AY575" s="3">
        <v>1.89</v>
      </c>
      <c r="AZ575" s="4">
        <v>1266</v>
      </c>
      <c r="BA575" s="6">
        <v>670</v>
      </c>
      <c r="BB575" t="s">
        <v>84</v>
      </c>
      <c r="BD575" s="3">
        <v>1.96</v>
      </c>
      <c r="BE575" s="4">
        <v>1685</v>
      </c>
      <c r="BF575" s="1">
        <v>862</v>
      </c>
      <c r="BG575" s="1">
        <v>635</v>
      </c>
      <c r="BH575" s="1">
        <v>269</v>
      </c>
      <c r="BI575" s="1">
        <v>14</v>
      </c>
    </row>
    <row r="576" spans="1:64" x14ac:dyDescent="0.25">
      <c r="A576" t="s">
        <v>1270</v>
      </c>
      <c r="B576" t="s">
        <v>1271</v>
      </c>
      <c r="C576" s="4">
        <f>(AA576*(H576*0.9))*12</f>
        <v>2643753.6</v>
      </c>
      <c r="D576" s="4">
        <f>IF(C576=0,"",(H576*150*12)+C576)</f>
        <v>2910153.6</v>
      </c>
      <c r="E576" s="4">
        <f>IFERROR(D576*0.5,"")</f>
        <v>1455076.8</v>
      </c>
      <c r="F576" s="4">
        <f>IFERROR(E576/0.06,"")</f>
        <v>24251280</v>
      </c>
      <c r="G576" s="4">
        <f>IFERROR(F576/H576,"")</f>
        <v>163860</v>
      </c>
      <c r="H576" s="1">
        <v>148</v>
      </c>
      <c r="I576" s="1">
        <v>1986</v>
      </c>
      <c r="J576" t="s">
        <v>64</v>
      </c>
      <c r="K576" t="s">
        <v>140</v>
      </c>
      <c r="L576" t="s">
        <v>1272</v>
      </c>
      <c r="M576" t="s">
        <v>1273</v>
      </c>
      <c r="N576" t="s">
        <v>1274</v>
      </c>
      <c r="O576" t="s">
        <v>1272</v>
      </c>
      <c r="P576" s="1">
        <v>3</v>
      </c>
      <c r="Q576" t="s">
        <v>69</v>
      </c>
      <c r="R576" t="s">
        <v>70</v>
      </c>
      <c r="S576" t="s">
        <v>71</v>
      </c>
      <c r="U576" t="s">
        <v>72</v>
      </c>
      <c r="V576" t="s">
        <v>140</v>
      </c>
      <c r="W576" t="s">
        <v>74</v>
      </c>
      <c r="X576" t="s">
        <v>565</v>
      </c>
      <c r="Y576" s="2">
        <v>1079</v>
      </c>
      <c r="Z576" s="3">
        <v>1.53</v>
      </c>
      <c r="AA576" s="4">
        <v>1654</v>
      </c>
      <c r="AK576" s="5">
        <v>7.4324000000000003</v>
      </c>
      <c r="AN576" s="1">
        <v>2</v>
      </c>
      <c r="AO576" t="s">
        <v>81</v>
      </c>
      <c r="AP576" t="s">
        <v>82</v>
      </c>
      <c r="AQ576" t="s">
        <v>83</v>
      </c>
      <c r="AR576" s="3">
        <v>1.57</v>
      </c>
      <c r="AS576" s="4">
        <v>1574</v>
      </c>
      <c r="AT576" s="1">
        <v>1005</v>
      </c>
      <c r="AU576" s="3">
        <v>1.5</v>
      </c>
      <c r="AV576" s="4">
        <v>1749</v>
      </c>
      <c r="AW576" s="1">
        <v>1167</v>
      </c>
      <c r="AX576" s="3">
        <v>359391.62</v>
      </c>
      <c r="BB576" t="s">
        <v>84</v>
      </c>
      <c r="BH576" s="1">
        <v>80</v>
      </c>
      <c r="BI576" s="1">
        <v>68</v>
      </c>
    </row>
    <row r="577" spans="1:64" x14ac:dyDescent="0.25">
      <c r="A577" t="s">
        <v>3720</v>
      </c>
      <c r="B577" t="s">
        <v>3721</v>
      </c>
      <c r="C577" s="4">
        <f>(AA577*(H577*0.9))*12</f>
        <v>4292352</v>
      </c>
      <c r="D577" s="4">
        <f>IF(C577=0,"",(H577*150*12)+C577)</f>
        <v>4724352</v>
      </c>
      <c r="E577" s="4">
        <f>IFERROR(D577*0.5,"")</f>
        <v>2362176</v>
      </c>
      <c r="F577" s="4">
        <f>IFERROR(E577/0.06,"")</f>
        <v>39369600</v>
      </c>
      <c r="G577" s="4">
        <f>IFERROR(F577/H577,"")</f>
        <v>164040</v>
      </c>
      <c r="H577" s="1">
        <v>240</v>
      </c>
      <c r="I577" s="1">
        <v>1992</v>
      </c>
      <c r="J577" t="s">
        <v>64</v>
      </c>
      <c r="K577" t="s">
        <v>140</v>
      </c>
      <c r="L577" t="s">
        <v>2659</v>
      </c>
      <c r="M577" t="s">
        <v>3722</v>
      </c>
      <c r="N577" t="s">
        <v>3723</v>
      </c>
      <c r="O577" t="s">
        <v>2659</v>
      </c>
      <c r="P577" s="1">
        <v>3</v>
      </c>
      <c r="Q577" t="s">
        <v>91</v>
      </c>
      <c r="R577" t="s">
        <v>70</v>
      </c>
      <c r="S577" t="s">
        <v>71</v>
      </c>
      <c r="U577" t="s">
        <v>72</v>
      </c>
      <c r="V577" t="s">
        <v>134</v>
      </c>
      <c r="W577" t="s">
        <v>74</v>
      </c>
      <c r="X577" t="s">
        <v>1007</v>
      </c>
      <c r="Y577" s="2">
        <v>932</v>
      </c>
      <c r="Z577" s="3">
        <v>1.78</v>
      </c>
      <c r="AA577" s="4">
        <v>1656</v>
      </c>
      <c r="AK577" s="5">
        <v>4.5833000000000004</v>
      </c>
      <c r="AM577" s="1">
        <v>2017</v>
      </c>
      <c r="AN577" s="1">
        <v>2</v>
      </c>
      <c r="AO577" t="s">
        <v>81</v>
      </c>
      <c r="AP577" t="s">
        <v>82</v>
      </c>
      <c r="AQ577" t="s">
        <v>83</v>
      </c>
      <c r="AR577" s="3">
        <v>1.64</v>
      </c>
      <c r="AS577" s="4">
        <v>1703</v>
      </c>
      <c r="AT577" s="1">
        <v>1037</v>
      </c>
      <c r="AU577" s="3">
        <v>1.74</v>
      </c>
      <c r="AV577" s="4">
        <v>2114</v>
      </c>
      <c r="AW577" s="1">
        <v>1214</v>
      </c>
      <c r="AX577" s="3">
        <v>679609.88</v>
      </c>
      <c r="BB577" t="s">
        <v>84</v>
      </c>
      <c r="BD577" s="3">
        <v>2.0299999999999998</v>
      </c>
      <c r="BE577" s="4">
        <v>1450</v>
      </c>
      <c r="BF577" s="1">
        <v>715</v>
      </c>
      <c r="BG577" s="1">
        <v>96</v>
      </c>
      <c r="BH577" s="1">
        <v>112</v>
      </c>
      <c r="BI577" s="1">
        <v>32</v>
      </c>
      <c r="BK577" t="s">
        <v>635</v>
      </c>
      <c r="BL577" t="s">
        <v>104</v>
      </c>
    </row>
    <row r="578" spans="1:64" x14ac:dyDescent="0.25">
      <c r="A578" t="s">
        <v>3504</v>
      </c>
      <c r="B578" t="s">
        <v>3505</v>
      </c>
      <c r="C578" s="4">
        <f>(AA578*(H578*0.9))*12</f>
        <v>2990368.8000000003</v>
      </c>
      <c r="D578" s="4">
        <f>IF(C578=0,"",(H578*150*12)+C578)</f>
        <v>3290968.8000000003</v>
      </c>
      <c r="E578" s="4">
        <f>IFERROR(D578*0.5,"")</f>
        <v>1645484.4000000001</v>
      </c>
      <c r="F578" s="4">
        <f>IFERROR(E578/0.06,"")</f>
        <v>27424740.000000004</v>
      </c>
      <c r="G578" s="4">
        <f>IFERROR(F578/H578,"")</f>
        <v>164220.00000000003</v>
      </c>
      <c r="H578" s="1">
        <v>167</v>
      </c>
      <c r="I578" s="1">
        <v>1995</v>
      </c>
      <c r="J578" t="s">
        <v>64</v>
      </c>
      <c r="K578" t="s">
        <v>140</v>
      </c>
      <c r="L578" t="s">
        <v>3506</v>
      </c>
      <c r="M578" t="s">
        <v>3507</v>
      </c>
      <c r="N578" t="s">
        <v>3508</v>
      </c>
      <c r="O578" t="s">
        <v>3506</v>
      </c>
      <c r="P578" s="1">
        <v>4</v>
      </c>
      <c r="Q578" t="s">
        <v>91</v>
      </c>
      <c r="R578" t="s">
        <v>70</v>
      </c>
      <c r="S578" t="s">
        <v>71</v>
      </c>
      <c r="U578" t="s">
        <v>72</v>
      </c>
      <c r="V578" t="s">
        <v>140</v>
      </c>
      <c r="W578" t="s">
        <v>74</v>
      </c>
      <c r="X578" t="s">
        <v>1351</v>
      </c>
      <c r="Y578" s="2">
        <v>877</v>
      </c>
      <c r="Z578" s="3">
        <v>1.89</v>
      </c>
      <c r="AA578" s="4">
        <v>1658</v>
      </c>
      <c r="AK578" s="5">
        <v>4.7904</v>
      </c>
      <c r="AN578" s="1">
        <v>2</v>
      </c>
      <c r="AO578" t="s">
        <v>81</v>
      </c>
      <c r="AP578" t="s">
        <v>82</v>
      </c>
      <c r="AQ578" t="s">
        <v>83</v>
      </c>
      <c r="AR578" s="3">
        <v>1.73</v>
      </c>
      <c r="AS578" s="4">
        <v>1917</v>
      </c>
      <c r="AT578" s="1">
        <v>1105</v>
      </c>
      <c r="AU578" s="3">
        <v>2.0099999999999998</v>
      </c>
      <c r="AV578" s="4">
        <v>2409</v>
      </c>
      <c r="AW578" s="1">
        <v>1200</v>
      </c>
      <c r="AX578" s="3">
        <v>490113.63</v>
      </c>
      <c r="BB578" t="s">
        <v>84</v>
      </c>
      <c r="BD578" s="3">
        <v>2.0299999999999998</v>
      </c>
      <c r="BE578" s="4">
        <v>1470</v>
      </c>
      <c r="BF578" s="1">
        <v>724</v>
      </c>
      <c r="BG578" s="1">
        <v>101</v>
      </c>
      <c r="BH578" s="1">
        <v>62</v>
      </c>
      <c r="BI578" s="1">
        <v>4</v>
      </c>
    </row>
    <row r="579" spans="1:64" x14ac:dyDescent="0.25">
      <c r="A579" t="s">
        <v>3190</v>
      </c>
      <c r="B579" t="s">
        <v>3191</v>
      </c>
      <c r="C579" s="4">
        <f>(AA579*(H579*0.9))*12</f>
        <v>6199351.2000000002</v>
      </c>
      <c r="D579" s="4">
        <f>IF(C579=0,"",(H579*150*12)+C579)</f>
        <v>6822151.2000000002</v>
      </c>
      <c r="E579" s="4">
        <f>IFERROR(D579*0.5,"")</f>
        <v>3411075.6</v>
      </c>
      <c r="F579" s="4">
        <f>IFERROR(E579/0.06,"")</f>
        <v>56851260</v>
      </c>
      <c r="G579" s="4">
        <f>IFERROR(F579/H579,"")</f>
        <v>164310</v>
      </c>
      <c r="H579" s="1">
        <v>346</v>
      </c>
      <c r="I579" s="1">
        <v>1996</v>
      </c>
      <c r="J579" t="s">
        <v>64</v>
      </c>
      <c r="K579" t="s">
        <v>140</v>
      </c>
      <c r="L579" t="s">
        <v>3192</v>
      </c>
      <c r="M579" t="s">
        <v>3193</v>
      </c>
      <c r="N579" t="s">
        <v>3194</v>
      </c>
      <c r="O579" t="s">
        <v>3192</v>
      </c>
      <c r="P579" s="1">
        <v>4</v>
      </c>
      <c r="Q579" t="s">
        <v>729</v>
      </c>
      <c r="R579" t="s">
        <v>70</v>
      </c>
      <c r="S579" t="s">
        <v>71</v>
      </c>
      <c r="U579" t="s">
        <v>72</v>
      </c>
      <c r="V579" t="s">
        <v>140</v>
      </c>
      <c r="W579" t="s">
        <v>74</v>
      </c>
      <c r="X579" t="s">
        <v>565</v>
      </c>
      <c r="Y579" s="2">
        <v>977</v>
      </c>
      <c r="Z579" s="3">
        <v>1.71</v>
      </c>
      <c r="AA579" s="4">
        <v>1659</v>
      </c>
      <c r="AK579" s="5">
        <v>5.4912999999999998</v>
      </c>
      <c r="AN579" s="1">
        <v>2</v>
      </c>
      <c r="AO579" t="s">
        <v>81</v>
      </c>
      <c r="AP579" t="s">
        <v>82</v>
      </c>
      <c r="AQ579" t="s">
        <v>83</v>
      </c>
      <c r="AR579" s="3">
        <v>1.63</v>
      </c>
      <c r="AS579" s="4">
        <v>1857</v>
      </c>
      <c r="AT579" s="1">
        <v>1137</v>
      </c>
      <c r="AU579" s="3">
        <v>1.45</v>
      </c>
      <c r="AV579" s="4">
        <v>1969</v>
      </c>
      <c r="AW579" s="1">
        <v>1356</v>
      </c>
      <c r="AX579" s="3">
        <v>846475.32</v>
      </c>
      <c r="BB579" t="s">
        <v>84</v>
      </c>
      <c r="BD579" s="3">
        <v>1.83</v>
      </c>
      <c r="BE579" s="4">
        <v>1444</v>
      </c>
      <c r="BF579" s="1">
        <v>792</v>
      </c>
      <c r="BG579" s="1">
        <v>176</v>
      </c>
      <c r="BH579" s="1">
        <v>150</v>
      </c>
      <c r="BI579" s="1">
        <v>20</v>
      </c>
      <c r="BL579" t="s">
        <v>131</v>
      </c>
    </row>
    <row r="580" spans="1:64" x14ac:dyDescent="0.25">
      <c r="A580" t="s">
        <v>3756</v>
      </c>
      <c r="B580" t="s">
        <v>3757</v>
      </c>
      <c r="C580" s="4">
        <f>(AA580*(H580*0.9))*12</f>
        <v>12065544.000000002</v>
      </c>
      <c r="D580" s="4">
        <f>IF(C580=0,"",(H580*150*12)+C580)</f>
        <v>13276944.000000002</v>
      </c>
      <c r="E580" s="4">
        <f>IFERROR(D580*0.5,"")</f>
        <v>6638472.0000000009</v>
      </c>
      <c r="F580" s="4">
        <f>IFERROR(E580/0.06,"")</f>
        <v>110641200.00000001</v>
      </c>
      <c r="G580" s="4">
        <f>IFERROR(F580/H580,"")</f>
        <v>164400.00000000003</v>
      </c>
      <c r="H580" s="1">
        <v>673</v>
      </c>
      <c r="I580" s="1">
        <v>1998</v>
      </c>
      <c r="J580" t="s">
        <v>64</v>
      </c>
      <c r="K580" t="s">
        <v>3758</v>
      </c>
      <c r="L580" t="s">
        <v>2279</v>
      </c>
      <c r="M580" t="s">
        <v>3759</v>
      </c>
      <c r="N580" t="s">
        <v>3760</v>
      </c>
      <c r="O580" t="s">
        <v>2279</v>
      </c>
      <c r="P580" s="1">
        <v>4</v>
      </c>
      <c r="Q580" t="s">
        <v>729</v>
      </c>
      <c r="R580" t="s">
        <v>70</v>
      </c>
      <c r="S580" t="s">
        <v>71</v>
      </c>
      <c r="U580" t="s">
        <v>72</v>
      </c>
      <c r="V580" t="s">
        <v>152</v>
      </c>
      <c r="W580" t="s">
        <v>74</v>
      </c>
      <c r="X580" t="s">
        <v>3761</v>
      </c>
      <c r="Y580" s="2">
        <v>986</v>
      </c>
      <c r="Z580" s="3">
        <v>1.68</v>
      </c>
      <c r="AA580" s="4">
        <v>1660</v>
      </c>
      <c r="AK580" s="5">
        <v>2.9718</v>
      </c>
      <c r="AM580" s="1">
        <v>2015</v>
      </c>
      <c r="AN580" s="1">
        <v>3</v>
      </c>
      <c r="AO580" t="s">
        <v>81</v>
      </c>
      <c r="AP580" t="s">
        <v>82</v>
      </c>
      <c r="AQ580" t="s">
        <v>83</v>
      </c>
      <c r="AR580" s="3">
        <v>1.52</v>
      </c>
      <c r="AS580" s="4">
        <v>1749</v>
      </c>
      <c r="AT580" s="1">
        <v>1154</v>
      </c>
      <c r="AU580" s="3">
        <v>1.64</v>
      </c>
      <c r="AV580" s="4">
        <v>2288</v>
      </c>
      <c r="AW580" s="1">
        <v>1396</v>
      </c>
      <c r="BB580" t="s">
        <v>84</v>
      </c>
      <c r="BD580" s="3">
        <v>1.88</v>
      </c>
      <c r="BE580" s="4">
        <v>1515</v>
      </c>
      <c r="BF580" s="1">
        <v>807</v>
      </c>
      <c r="BG580" s="1">
        <v>354</v>
      </c>
      <c r="BH580" s="1">
        <v>276</v>
      </c>
      <c r="BI580" s="1">
        <v>43</v>
      </c>
      <c r="BK580" t="s">
        <v>1287</v>
      </c>
      <c r="BL580" t="s">
        <v>104</v>
      </c>
    </row>
    <row r="581" spans="1:64" x14ac:dyDescent="0.25">
      <c r="A581" t="s">
        <v>3314</v>
      </c>
      <c r="B581" t="s">
        <v>3315</v>
      </c>
      <c r="C581" s="4">
        <f>(AA581*(H581*0.9))*12</f>
        <v>4523299.2</v>
      </c>
      <c r="D581" s="4">
        <f>IF(C581=0,"",(H581*150*12)+C581)</f>
        <v>4976899.2</v>
      </c>
      <c r="E581" s="4">
        <f>IFERROR(D581*0.5,"")</f>
        <v>2488449.6</v>
      </c>
      <c r="F581" s="4">
        <f>IFERROR(E581/0.06,"")</f>
        <v>41474160</v>
      </c>
      <c r="G581" s="4">
        <f>IFERROR(F581/H581,"")</f>
        <v>164580</v>
      </c>
      <c r="H581" s="1">
        <v>252</v>
      </c>
      <c r="I581" s="1">
        <v>1997</v>
      </c>
      <c r="J581" t="s">
        <v>64</v>
      </c>
      <c r="K581" t="s">
        <v>87</v>
      </c>
      <c r="L581" t="s">
        <v>2786</v>
      </c>
      <c r="M581" t="s">
        <v>3316</v>
      </c>
      <c r="N581" t="s">
        <v>3317</v>
      </c>
      <c r="O581" t="s">
        <v>2786</v>
      </c>
      <c r="P581" s="1">
        <v>4</v>
      </c>
      <c r="Q581" t="s">
        <v>729</v>
      </c>
      <c r="R581" t="s">
        <v>70</v>
      </c>
      <c r="S581" t="s">
        <v>71</v>
      </c>
      <c r="U581" t="s">
        <v>72</v>
      </c>
      <c r="V581" t="s">
        <v>73</v>
      </c>
      <c r="W581" t="s">
        <v>74</v>
      </c>
      <c r="X581" t="s">
        <v>2424</v>
      </c>
      <c r="Y581" s="2">
        <v>926</v>
      </c>
      <c r="Z581" s="3">
        <v>1.79</v>
      </c>
      <c r="AA581" s="4">
        <v>1662</v>
      </c>
      <c r="AK581" s="5">
        <v>3.5714000000000001</v>
      </c>
      <c r="AM581" s="1">
        <v>2003</v>
      </c>
      <c r="AN581" s="1">
        <v>4</v>
      </c>
      <c r="AO581" t="s">
        <v>81</v>
      </c>
      <c r="AP581" t="s">
        <v>82</v>
      </c>
      <c r="AQ581" t="s">
        <v>83</v>
      </c>
      <c r="AR581" s="3">
        <v>1.66</v>
      </c>
      <c r="AS581" s="4">
        <v>1651</v>
      </c>
      <c r="AT581" s="1">
        <v>995</v>
      </c>
      <c r="AU581" s="3">
        <v>1.52</v>
      </c>
      <c r="AV581" s="4">
        <v>2205</v>
      </c>
      <c r="AW581" s="1">
        <v>1455</v>
      </c>
      <c r="AX581" s="3">
        <v>1122914.78</v>
      </c>
      <c r="AY581" s="3">
        <v>2.78</v>
      </c>
      <c r="AZ581" s="4">
        <v>1343</v>
      </c>
      <c r="BA581" s="6">
        <v>484</v>
      </c>
      <c r="BB581" t="s">
        <v>84</v>
      </c>
      <c r="BD581" s="3">
        <v>2.17</v>
      </c>
      <c r="BE581" s="4">
        <v>1429</v>
      </c>
      <c r="BF581" s="1">
        <v>659</v>
      </c>
      <c r="BG581" s="1">
        <v>116</v>
      </c>
      <c r="BH581" s="1">
        <v>72</v>
      </c>
      <c r="BI581" s="1">
        <v>56</v>
      </c>
      <c r="BL581" t="s">
        <v>131</v>
      </c>
    </row>
    <row r="582" spans="1:64" x14ac:dyDescent="0.25">
      <c r="A582" t="s">
        <v>2204</v>
      </c>
      <c r="B582" t="s">
        <v>2205</v>
      </c>
      <c r="C582" s="4">
        <f>(AA582*(H582*0.9))*12</f>
        <v>2805192</v>
      </c>
      <c r="D582" s="4">
        <f>IF(C582=0,"",(H582*150*12)+C582)</f>
        <v>3085992</v>
      </c>
      <c r="E582" s="4">
        <f>IFERROR(D582*0.5,"")</f>
        <v>1542996</v>
      </c>
      <c r="F582" s="4">
        <f>IFERROR(E582/0.06,"")</f>
        <v>25716600</v>
      </c>
      <c r="G582" s="4">
        <f>IFERROR(F582/H582,"")</f>
        <v>164850</v>
      </c>
      <c r="H582" s="1">
        <v>156</v>
      </c>
      <c r="I582" s="1">
        <v>1991</v>
      </c>
      <c r="J582" t="s">
        <v>64</v>
      </c>
      <c r="K582" t="s">
        <v>269</v>
      </c>
      <c r="L582" t="s">
        <v>882</v>
      </c>
      <c r="M582" t="s">
        <v>2206</v>
      </c>
      <c r="N582" t="s">
        <v>2207</v>
      </c>
      <c r="O582" t="s">
        <v>882</v>
      </c>
      <c r="P582" s="1">
        <v>3</v>
      </c>
      <c r="Q582" t="s">
        <v>91</v>
      </c>
      <c r="R582" t="s">
        <v>70</v>
      </c>
      <c r="S582" t="s">
        <v>71</v>
      </c>
      <c r="U582" t="s">
        <v>72</v>
      </c>
      <c r="V582" t="s">
        <v>73</v>
      </c>
      <c r="W582" t="s">
        <v>74</v>
      </c>
      <c r="X582" t="s">
        <v>2208</v>
      </c>
      <c r="Y582" s="2">
        <v>974</v>
      </c>
      <c r="Z582" s="3">
        <v>1.71</v>
      </c>
      <c r="AA582" s="4">
        <v>1665</v>
      </c>
      <c r="AK582" s="5">
        <v>3.2050999999999998</v>
      </c>
      <c r="AN582" s="1">
        <v>3</v>
      </c>
      <c r="AO582" t="s">
        <v>81</v>
      </c>
      <c r="AP582" t="s">
        <v>82</v>
      </c>
      <c r="AQ582" t="s">
        <v>83</v>
      </c>
      <c r="AR582" s="3">
        <v>1.61</v>
      </c>
      <c r="AS582" s="4">
        <v>1796</v>
      </c>
      <c r="AT582" s="1">
        <v>1118</v>
      </c>
      <c r="AU582" s="3">
        <v>1.8</v>
      </c>
      <c r="AV582" s="4">
        <v>2566</v>
      </c>
      <c r="AW582" s="1">
        <v>1428</v>
      </c>
      <c r="AX582" s="3">
        <v>614633.28</v>
      </c>
      <c r="BB582" t="s">
        <v>84</v>
      </c>
      <c r="BD582" s="3">
        <v>1.93</v>
      </c>
      <c r="BE582" s="4">
        <v>1404</v>
      </c>
      <c r="BF582" s="1">
        <v>726</v>
      </c>
      <c r="BG582" s="1">
        <v>60</v>
      </c>
      <c r="BH582" s="1">
        <v>92</v>
      </c>
      <c r="BI582" s="1">
        <v>4</v>
      </c>
      <c r="BK582" t="s">
        <v>247</v>
      </c>
      <c r="BL582" t="s">
        <v>104</v>
      </c>
    </row>
    <row r="583" spans="1:64" x14ac:dyDescent="0.25">
      <c r="A583" t="s">
        <v>3705</v>
      </c>
      <c r="B583" t="s">
        <v>3706</v>
      </c>
      <c r="C583" s="4">
        <f>(AA583*(H583*0.9))*12</f>
        <v>6419574</v>
      </c>
      <c r="D583" s="4">
        <f>IF(C583=0,"",(H583*150*12)+C583)</f>
        <v>7062174</v>
      </c>
      <c r="E583" s="4">
        <f>IFERROR(D583*0.5,"")</f>
        <v>3531087</v>
      </c>
      <c r="F583" s="4">
        <f>IFERROR(E583/0.06,"")</f>
        <v>58851450</v>
      </c>
      <c r="G583" s="4">
        <f>IFERROR(F583/H583,"")</f>
        <v>164850</v>
      </c>
      <c r="H583" s="1">
        <v>357</v>
      </c>
      <c r="I583" s="1">
        <v>2000</v>
      </c>
      <c r="J583" t="s">
        <v>64</v>
      </c>
      <c r="K583" t="s">
        <v>1133</v>
      </c>
      <c r="L583" t="s">
        <v>784</v>
      </c>
      <c r="M583" t="s">
        <v>3707</v>
      </c>
      <c r="N583" t="s">
        <v>3708</v>
      </c>
      <c r="O583" t="s">
        <v>784</v>
      </c>
      <c r="P583" s="1">
        <v>4</v>
      </c>
      <c r="Q583" t="s">
        <v>91</v>
      </c>
      <c r="R583" t="s">
        <v>70</v>
      </c>
      <c r="S583" t="s">
        <v>71</v>
      </c>
      <c r="U583" t="s">
        <v>72</v>
      </c>
      <c r="V583" t="s">
        <v>264</v>
      </c>
      <c r="W583" t="s">
        <v>74</v>
      </c>
      <c r="X583" t="s">
        <v>1594</v>
      </c>
      <c r="Y583" s="2">
        <v>982</v>
      </c>
      <c r="Z583" s="3">
        <v>1.69</v>
      </c>
      <c r="AA583" s="4">
        <v>1665</v>
      </c>
      <c r="AK583" s="5">
        <v>12.605</v>
      </c>
      <c r="AN583" s="1">
        <v>3</v>
      </c>
      <c r="AO583" t="s">
        <v>81</v>
      </c>
      <c r="AP583" t="s">
        <v>82</v>
      </c>
      <c r="AQ583" t="s">
        <v>83</v>
      </c>
      <c r="AR583" s="3">
        <v>1.65</v>
      </c>
      <c r="AS583" s="4">
        <v>1844</v>
      </c>
      <c r="AT583" s="1">
        <v>1121</v>
      </c>
      <c r="AU583" s="3">
        <v>1.62</v>
      </c>
      <c r="AV583" s="4">
        <v>2197</v>
      </c>
      <c r="AW583" s="1">
        <v>1357</v>
      </c>
      <c r="AX583" s="3">
        <v>1418545.28</v>
      </c>
      <c r="BB583" t="s">
        <v>84</v>
      </c>
      <c r="BD583" s="3">
        <v>1.76</v>
      </c>
      <c r="BE583" s="4">
        <v>1435</v>
      </c>
      <c r="BF583" s="1">
        <v>814</v>
      </c>
      <c r="BG583" s="1">
        <v>181</v>
      </c>
      <c r="BH583" s="1">
        <v>147</v>
      </c>
      <c r="BI583" s="1">
        <v>29</v>
      </c>
      <c r="BL583" t="s">
        <v>365</v>
      </c>
    </row>
    <row r="584" spans="1:64" x14ac:dyDescent="0.25">
      <c r="A584" t="s">
        <v>3771</v>
      </c>
      <c r="B584" t="s">
        <v>3772</v>
      </c>
      <c r="C584" s="4">
        <f>(AA584*(H584*0.9))*12</f>
        <v>5001998.4000000004</v>
      </c>
      <c r="D584" s="4">
        <f>IF(C584=0,"",(H584*150*12)+C584)</f>
        <v>5502398.4000000004</v>
      </c>
      <c r="E584" s="4">
        <f>IFERROR(D584*0.5,"")</f>
        <v>2751199.2</v>
      </c>
      <c r="F584" s="4">
        <f>IFERROR(E584/0.06,"")</f>
        <v>45853320.000000007</v>
      </c>
      <c r="G584" s="4">
        <f>IFERROR(F584/H584,"")</f>
        <v>164940.00000000003</v>
      </c>
      <c r="H584" s="1">
        <v>278</v>
      </c>
      <c r="I584" s="1">
        <v>1997</v>
      </c>
      <c r="J584" t="s">
        <v>64</v>
      </c>
      <c r="K584" t="s">
        <v>3758</v>
      </c>
      <c r="L584" t="s">
        <v>3773</v>
      </c>
      <c r="M584" t="s">
        <v>3772</v>
      </c>
      <c r="N584" t="s">
        <v>3774</v>
      </c>
      <c r="O584" t="s">
        <v>3773</v>
      </c>
      <c r="P584" s="1">
        <v>4</v>
      </c>
      <c r="Q584" t="s">
        <v>91</v>
      </c>
      <c r="R584" t="s">
        <v>70</v>
      </c>
      <c r="S584" t="s">
        <v>71</v>
      </c>
      <c r="U584" t="s">
        <v>72</v>
      </c>
      <c r="V584" t="s">
        <v>152</v>
      </c>
      <c r="W584" t="s">
        <v>74</v>
      </c>
      <c r="X584" t="s">
        <v>3775</v>
      </c>
      <c r="Y584" s="2">
        <v>947</v>
      </c>
      <c r="Z584" s="3">
        <v>1.76</v>
      </c>
      <c r="AA584" s="4">
        <v>1666</v>
      </c>
      <c r="AK584" s="5">
        <v>11.8705</v>
      </c>
      <c r="AN584" s="1">
        <v>2</v>
      </c>
      <c r="AO584" t="s">
        <v>81</v>
      </c>
      <c r="AP584" t="s">
        <v>82</v>
      </c>
      <c r="AQ584" t="s">
        <v>83</v>
      </c>
      <c r="AR584" s="3">
        <v>1.69</v>
      </c>
      <c r="AS584" s="4">
        <v>1814</v>
      </c>
      <c r="AT584" s="1">
        <v>1071</v>
      </c>
      <c r="AU584" s="3">
        <v>1.56</v>
      </c>
      <c r="AV584" s="4">
        <v>1995</v>
      </c>
      <c r="AW584" s="1">
        <v>1282</v>
      </c>
      <c r="AX584" s="3">
        <v>931210.2</v>
      </c>
      <c r="BB584" t="s">
        <v>84</v>
      </c>
      <c r="BD584" s="3">
        <v>1.89</v>
      </c>
      <c r="BE584" s="4">
        <v>1452</v>
      </c>
      <c r="BF584" s="1">
        <v>766</v>
      </c>
      <c r="BG584" s="1">
        <v>118</v>
      </c>
      <c r="BH584" s="1">
        <v>152</v>
      </c>
      <c r="BI584" s="1">
        <v>8</v>
      </c>
      <c r="BK584" t="s">
        <v>3776</v>
      </c>
      <c r="BL584" t="s">
        <v>104</v>
      </c>
    </row>
    <row r="585" spans="1:64" x14ac:dyDescent="0.25">
      <c r="A585" t="s">
        <v>3158</v>
      </c>
      <c r="B585" t="s">
        <v>3159</v>
      </c>
      <c r="C585" s="4">
        <f>(AA585*(H585*0.9))*12</f>
        <v>3033676.8000000003</v>
      </c>
      <c r="D585" s="4">
        <f>IF(C585=0,"",(H585*150*12)+C585)</f>
        <v>3336076.8000000003</v>
      </c>
      <c r="E585" s="4">
        <f>IFERROR(D585*0.5,"")</f>
        <v>1668038.4000000001</v>
      </c>
      <c r="F585" s="4">
        <f>IFERROR(E585/0.06,"")</f>
        <v>27800640.000000004</v>
      </c>
      <c r="G585" s="4">
        <f>IFERROR(F585/H585,"")</f>
        <v>165480.00000000003</v>
      </c>
      <c r="H585" s="1">
        <v>168</v>
      </c>
      <c r="I585" s="1">
        <v>1998</v>
      </c>
      <c r="J585" t="s">
        <v>64</v>
      </c>
      <c r="K585" t="s">
        <v>123</v>
      </c>
      <c r="L585" t="s">
        <v>3160</v>
      </c>
      <c r="M585" t="s">
        <v>3161</v>
      </c>
      <c r="N585" t="s">
        <v>3162</v>
      </c>
      <c r="O585" t="s">
        <v>3160</v>
      </c>
      <c r="P585" s="1">
        <v>4</v>
      </c>
      <c r="Q585" t="s">
        <v>91</v>
      </c>
      <c r="R585" t="s">
        <v>70</v>
      </c>
      <c r="S585" t="s">
        <v>71</v>
      </c>
      <c r="T585" t="s">
        <v>118</v>
      </c>
      <c r="U585" t="s">
        <v>72</v>
      </c>
      <c r="V585" t="s">
        <v>129</v>
      </c>
      <c r="W585" t="s">
        <v>74</v>
      </c>
      <c r="X585" t="s">
        <v>2570</v>
      </c>
      <c r="Y585" s="2">
        <v>1068</v>
      </c>
      <c r="Z585" s="3">
        <v>1.56</v>
      </c>
      <c r="AA585" s="4">
        <v>1672</v>
      </c>
      <c r="AK585" s="5">
        <v>11.3095</v>
      </c>
      <c r="AN585" s="1">
        <v>3</v>
      </c>
      <c r="AO585" t="s">
        <v>81</v>
      </c>
      <c r="AP585" t="s">
        <v>82</v>
      </c>
      <c r="AQ585" t="s">
        <v>83</v>
      </c>
      <c r="AR585" s="3">
        <v>1.65</v>
      </c>
      <c r="AS585" s="4">
        <v>1606</v>
      </c>
      <c r="AT585" s="1">
        <v>976</v>
      </c>
      <c r="AU585" s="3">
        <v>1.51</v>
      </c>
      <c r="AV585" s="4">
        <v>1721</v>
      </c>
      <c r="AW585" s="1">
        <v>1138</v>
      </c>
      <c r="AX585" s="3">
        <v>343201.45</v>
      </c>
      <c r="BB585" t="s">
        <v>84</v>
      </c>
      <c r="BH585" s="1">
        <v>72</v>
      </c>
      <c r="BI585" s="1">
        <v>96</v>
      </c>
      <c r="BL585" t="s">
        <v>131</v>
      </c>
    </row>
    <row r="586" spans="1:64" x14ac:dyDescent="0.25">
      <c r="A586" t="s">
        <v>3698</v>
      </c>
      <c r="B586" t="s">
        <v>3699</v>
      </c>
      <c r="C586" s="4">
        <f>(AA586*(H586*0.9))*12</f>
        <v>3376771.2</v>
      </c>
      <c r="D586" s="4">
        <f>IF(C586=0,"",(H586*150*12)+C586)</f>
        <v>3713371.2</v>
      </c>
      <c r="E586" s="4">
        <f>IFERROR(D586*0.5,"")</f>
        <v>1856685.6</v>
      </c>
      <c r="F586" s="4">
        <f>IFERROR(E586/0.06,"")</f>
        <v>30944760.000000004</v>
      </c>
      <c r="G586" s="4">
        <f>IFERROR(F586/H586,"")</f>
        <v>165480.00000000003</v>
      </c>
      <c r="H586" s="1">
        <v>187</v>
      </c>
      <c r="I586" s="1">
        <v>1993</v>
      </c>
      <c r="J586" t="s">
        <v>64</v>
      </c>
      <c r="K586" t="s">
        <v>269</v>
      </c>
      <c r="L586" t="s">
        <v>2786</v>
      </c>
      <c r="M586" t="s">
        <v>3700</v>
      </c>
      <c r="N586" t="s">
        <v>2786</v>
      </c>
      <c r="O586" t="s">
        <v>2786</v>
      </c>
      <c r="P586" s="1">
        <v>3</v>
      </c>
      <c r="Q586" t="s">
        <v>91</v>
      </c>
      <c r="R586" t="s">
        <v>70</v>
      </c>
      <c r="S586" t="s">
        <v>71</v>
      </c>
      <c r="U586" t="s">
        <v>72</v>
      </c>
      <c r="V586" t="s">
        <v>73</v>
      </c>
      <c r="W586" t="s">
        <v>74</v>
      </c>
      <c r="X586" t="s">
        <v>272</v>
      </c>
      <c r="Y586" s="2">
        <v>1064</v>
      </c>
      <c r="Z586" s="3">
        <v>1.57</v>
      </c>
      <c r="AA586" s="4">
        <v>1672</v>
      </c>
      <c r="AK586" s="5">
        <v>0.53480000000000005</v>
      </c>
      <c r="AN586" s="1">
        <v>3</v>
      </c>
      <c r="AO586" t="s">
        <v>81</v>
      </c>
      <c r="AP586" t="s">
        <v>82</v>
      </c>
      <c r="AQ586" t="s">
        <v>83</v>
      </c>
      <c r="AR586" s="3">
        <v>1.49</v>
      </c>
      <c r="AS586" s="4">
        <v>1843</v>
      </c>
      <c r="AT586" s="1">
        <v>1240</v>
      </c>
      <c r="AU586" s="3">
        <v>1.63</v>
      </c>
      <c r="AV586" s="4">
        <v>2275</v>
      </c>
      <c r="AW586" s="1">
        <v>1395</v>
      </c>
      <c r="AX586" s="3">
        <v>698446.88</v>
      </c>
      <c r="BB586" t="s">
        <v>84</v>
      </c>
      <c r="BD586" s="3">
        <v>1.68</v>
      </c>
      <c r="BE586" s="4">
        <v>1483</v>
      </c>
      <c r="BF586" s="1">
        <v>883</v>
      </c>
      <c r="BG586" s="1">
        <v>94</v>
      </c>
      <c r="BH586" s="1">
        <v>89</v>
      </c>
      <c r="BI586" s="1">
        <v>4</v>
      </c>
      <c r="BL586" t="s">
        <v>131</v>
      </c>
    </row>
    <row r="587" spans="1:64" x14ac:dyDescent="0.25">
      <c r="A587" t="s">
        <v>2623</v>
      </c>
      <c r="B587" t="s">
        <v>2624</v>
      </c>
      <c r="C587" s="4">
        <f>(AA587*(H587*0.9))*12</f>
        <v>4056998.4000000004</v>
      </c>
      <c r="D587" s="4">
        <f>IF(C587=0,"",(H587*150*12)+C587)</f>
        <v>4460198.4000000004</v>
      </c>
      <c r="E587" s="4">
        <f>IFERROR(D587*0.5,"")</f>
        <v>2230099.2000000002</v>
      </c>
      <c r="F587" s="4">
        <f>IFERROR(E587/0.06,"")</f>
        <v>37168320.000000007</v>
      </c>
      <c r="G587" s="4">
        <f>IFERROR(F587/H587,"")</f>
        <v>165930.00000000003</v>
      </c>
      <c r="H587" s="1">
        <v>224</v>
      </c>
      <c r="I587" s="1">
        <v>1996</v>
      </c>
      <c r="J587" t="s">
        <v>64</v>
      </c>
      <c r="K587" t="s">
        <v>734</v>
      </c>
      <c r="L587" t="s">
        <v>2625</v>
      </c>
      <c r="M587" t="s">
        <v>2626</v>
      </c>
      <c r="N587" t="s">
        <v>2627</v>
      </c>
      <c r="O587" t="s">
        <v>2625</v>
      </c>
      <c r="P587" s="1">
        <v>3</v>
      </c>
      <c r="Q587" t="s">
        <v>91</v>
      </c>
      <c r="R587" t="s">
        <v>70</v>
      </c>
      <c r="S587" t="s">
        <v>71</v>
      </c>
      <c r="T587" t="s">
        <v>128</v>
      </c>
      <c r="U587" t="s">
        <v>72</v>
      </c>
      <c r="V587" t="s">
        <v>73</v>
      </c>
      <c r="W587" t="s">
        <v>74</v>
      </c>
      <c r="X587" t="s">
        <v>730</v>
      </c>
      <c r="Y587" s="2">
        <v>980</v>
      </c>
      <c r="Z587" s="3">
        <v>1.71</v>
      </c>
      <c r="AA587" s="4">
        <v>1677</v>
      </c>
      <c r="AK587" s="5">
        <v>9.8214000000000006</v>
      </c>
      <c r="AN587" s="1">
        <v>2</v>
      </c>
      <c r="AO587" t="s">
        <v>81</v>
      </c>
      <c r="AP587" t="s">
        <v>82</v>
      </c>
      <c r="AQ587" t="s">
        <v>83</v>
      </c>
      <c r="AR587" s="3">
        <v>1.62</v>
      </c>
      <c r="AS587" s="4">
        <v>1863</v>
      </c>
      <c r="AT587" s="1">
        <v>1153</v>
      </c>
      <c r="AU587" s="3">
        <v>1.63</v>
      </c>
      <c r="AV587" s="4">
        <v>2713</v>
      </c>
      <c r="AW587" s="1">
        <v>1659</v>
      </c>
      <c r="AX587" s="3">
        <v>740775.26</v>
      </c>
      <c r="BB587" t="s">
        <v>84</v>
      </c>
      <c r="BD587" s="3">
        <v>1.81</v>
      </c>
      <c r="BE587" s="4">
        <v>1468</v>
      </c>
      <c r="BF587" s="1">
        <v>812</v>
      </c>
      <c r="BG587" s="1">
        <v>131</v>
      </c>
      <c r="BH587" s="1">
        <v>81</v>
      </c>
      <c r="BI587" s="1">
        <v>12</v>
      </c>
      <c r="BK587" t="s">
        <v>2628</v>
      </c>
      <c r="BL587" t="s">
        <v>104</v>
      </c>
    </row>
    <row r="588" spans="1:64" x14ac:dyDescent="0.25">
      <c r="A588" t="s">
        <v>2839</v>
      </c>
      <c r="B588" t="s">
        <v>2840</v>
      </c>
      <c r="C588" s="4">
        <f>(AA588*(H588*0.9))*12</f>
        <v>5654188.8000000007</v>
      </c>
      <c r="D588" s="4">
        <f>IF(C588=0,"",(H588*150*12)+C588)</f>
        <v>6215788.8000000007</v>
      </c>
      <c r="E588" s="4">
        <f>IFERROR(D588*0.5,"")</f>
        <v>3107894.4000000004</v>
      </c>
      <c r="F588" s="4">
        <f>IFERROR(E588/0.06,"")</f>
        <v>51798240.000000007</v>
      </c>
      <c r="G588" s="4">
        <f>IFERROR(F588/H588,"")</f>
        <v>166020.00000000003</v>
      </c>
      <c r="H588" s="1">
        <v>312</v>
      </c>
      <c r="I588" s="1">
        <v>1999</v>
      </c>
      <c r="J588" t="s">
        <v>64</v>
      </c>
      <c r="K588" t="s">
        <v>1498</v>
      </c>
      <c r="L588" t="s">
        <v>2181</v>
      </c>
      <c r="M588" t="s">
        <v>2841</v>
      </c>
      <c r="N588" t="s">
        <v>2842</v>
      </c>
      <c r="O588" t="s">
        <v>2181</v>
      </c>
      <c r="P588" s="1">
        <v>4</v>
      </c>
      <c r="Q588" t="s">
        <v>91</v>
      </c>
      <c r="R588" t="s">
        <v>70</v>
      </c>
      <c r="S588" t="s">
        <v>71</v>
      </c>
      <c r="U588" t="s">
        <v>72</v>
      </c>
      <c r="V588" t="s">
        <v>73</v>
      </c>
      <c r="W588" t="s">
        <v>74</v>
      </c>
      <c r="X588" t="s">
        <v>1502</v>
      </c>
      <c r="Y588" s="2">
        <v>1018</v>
      </c>
      <c r="Z588" s="3">
        <v>1.65</v>
      </c>
      <c r="AA588" s="4">
        <v>1678</v>
      </c>
      <c r="AK588" s="5">
        <v>4.1666999999999996</v>
      </c>
      <c r="AN588" s="1">
        <v>4</v>
      </c>
      <c r="AO588" t="s">
        <v>81</v>
      </c>
      <c r="AP588" t="s">
        <v>82</v>
      </c>
      <c r="AQ588" t="s">
        <v>83</v>
      </c>
      <c r="AR588" s="3">
        <v>1.51</v>
      </c>
      <c r="AS588" s="4">
        <v>1898</v>
      </c>
      <c r="AT588" s="1">
        <v>1255</v>
      </c>
      <c r="AU588" s="3">
        <v>1.49</v>
      </c>
      <c r="AV588" s="4">
        <v>2320</v>
      </c>
      <c r="AW588" s="1">
        <v>1560</v>
      </c>
      <c r="AX588" s="3">
        <v>1452769.5</v>
      </c>
      <c r="BB588" t="s">
        <v>84</v>
      </c>
      <c r="BD588" s="3">
        <v>1.84</v>
      </c>
      <c r="BE588" s="4">
        <v>1437</v>
      </c>
      <c r="BF588" s="1">
        <v>781</v>
      </c>
      <c r="BG588" s="1">
        <v>171</v>
      </c>
      <c r="BH588" s="1">
        <v>117</v>
      </c>
      <c r="BI588" s="1">
        <v>24</v>
      </c>
      <c r="BL588" t="s">
        <v>131</v>
      </c>
    </row>
    <row r="589" spans="1:64" x14ac:dyDescent="0.25">
      <c r="A589" t="s">
        <v>4212</v>
      </c>
      <c r="B589" t="s">
        <v>4213</v>
      </c>
      <c r="C589" s="4">
        <f>(AA589*(H589*0.9))*12</f>
        <v>5443200</v>
      </c>
      <c r="D589" s="4">
        <f>IF(C589=0,"",(H589*150*12)+C589)</f>
        <v>5983200</v>
      </c>
      <c r="E589" s="4">
        <f>IFERROR(D589*0.5,"")</f>
        <v>2991600</v>
      </c>
      <c r="F589" s="4">
        <f>IFERROR(E589/0.06,"")</f>
        <v>49860000</v>
      </c>
      <c r="G589" s="4">
        <f>IFERROR(F589/H589,"")</f>
        <v>166200</v>
      </c>
      <c r="H589" s="1">
        <v>300</v>
      </c>
      <c r="I589" s="1">
        <v>1997</v>
      </c>
      <c r="J589" t="s">
        <v>64</v>
      </c>
      <c r="K589" t="s">
        <v>140</v>
      </c>
      <c r="L589" t="s">
        <v>236</v>
      </c>
      <c r="M589" t="s">
        <v>4214</v>
      </c>
      <c r="N589" t="s">
        <v>4215</v>
      </c>
      <c r="O589" t="s">
        <v>236</v>
      </c>
      <c r="P589" s="1">
        <v>4</v>
      </c>
      <c r="Q589" t="s">
        <v>91</v>
      </c>
      <c r="R589" t="s">
        <v>70</v>
      </c>
      <c r="S589" t="s">
        <v>71</v>
      </c>
      <c r="U589" t="s">
        <v>72</v>
      </c>
      <c r="V589" t="s">
        <v>140</v>
      </c>
      <c r="W589" t="s">
        <v>74</v>
      </c>
      <c r="X589" t="s">
        <v>4216</v>
      </c>
      <c r="Y589" s="2">
        <v>975</v>
      </c>
      <c r="Z589" s="3">
        <v>1.72</v>
      </c>
      <c r="AA589" s="4">
        <v>1680</v>
      </c>
      <c r="AK589" s="5">
        <v>12.666700000000001</v>
      </c>
      <c r="AN589" s="1">
        <v>3</v>
      </c>
      <c r="AO589" t="s">
        <v>81</v>
      </c>
      <c r="AP589" t="s">
        <v>82</v>
      </c>
      <c r="AQ589" t="s">
        <v>83</v>
      </c>
      <c r="AR589" s="3">
        <v>1.65</v>
      </c>
      <c r="AS589" s="4">
        <v>1844</v>
      </c>
      <c r="AT589" s="1">
        <v>1119</v>
      </c>
      <c r="AX589" s="3">
        <v>898461.4</v>
      </c>
      <c r="BB589" t="s">
        <v>84</v>
      </c>
      <c r="BD589" s="3">
        <v>1.85</v>
      </c>
      <c r="BE589" s="4">
        <v>1468</v>
      </c>
      <c r="BF589" s="1">
        <v>792</v>
      </c>
      <c r="BG589" s="1">
        <v>131</v>
      </c>
      <c r="BH589" s="1">
        <v>169</v>
      </c>
      <c r="BL589" t="s">
        <v>131</v>
      </c>
    </row>
    <row r="590" spans="1:64" x14ac:dyDescent="0.25">
      <c r="A590" t="s">
        <v>3331</v>
      </c>
      <c r="B590" t="s">
        <v>3332</v>
      </c>
      <c r="C590" s="4">
        <f>(AA590*(H590*0.9))*12</f>
        <v>4801420.8</v>
      </c>
      <c r="D590" s="4">
        <f>IF(C590=0,"",(H590*150*12)+C590)</f>
        <v>5276620.7999999998</v>
      </c>
      <c r="E590" s="4">
        <f>IFERROR(D590*0.5,"")</f>
        <v>2638310.3999999999</v>
      </c>
      <c r="F590" s="4">
        <f>IFERROR(E590/0.06,"")</f>
        <v>43971840</v>
      </c>
      <c r="G590" s="4">
        <f>IFERROR(F590/H590,"")</f>
        <v>166560</v>
      </c>
      <c r="H590" s="1">
        <v>264</v>
      </c>
      <c r="I590" s="1">
        <v>1995</v>
      </c>
      <c r="J590" t="s">
        <v>64</v>
      </c>
      <c r="K590" t="s">
        <v>551</v>
      </c>
      <c r="L590" t="s">
        <v>3333</v>
      </c>
      <c r="M590" t="s">
        <v>3334</v>
      </c>
      <c r="N590" t="s">
        <v>3335</v>
      </c>
      <c r="O590" t="s">
        <v>3333</v>
      </c>
      <c r="P590" s="1">
        <v>4</v>
      </c>
      <c r="Q590" t="s">
        <v>91</v>
      </c>
      <c r="R590" t="s">
        <v>70</v>
      </c>
      <c r="S590" t="s">
        <v>71</v>
      </c>
      <c r="U590" t="s">
        <v>72</v>
      </c>
      <c r="V590" t="s">
        <v>551</v>
      </c>
      <c r="W590" t="s">
        <v>74</v>
      </c>
      <c r="X590" t="s">
        <v>554</v>
      </c>
      <c r="Y590" s="2">
        <v>987</v>
      </c>
      <c r="Z590" s="3">
        <v>1.71</v>
      </c>
      <c r="AA590" s="4">
        <v>1684</v>
      </c>
      <c r="AK590" s="5">
        <v>7.1970000000000001</v>
      </c>
      <c r="AM590" s="1">
        <v>2015</v>
      </c>
      <c r="AN590" s="1">
        <v>2</v>
      </c>
      <c r="AO590" t="s">
        <v>81</v>
      </c>
      <c r="AP590" t="s">
        <v>82</v>
      </c>
      <c r="AQ590" t="s">
        <v>83</v>
      </c>
      <c r="AR590" s="3">
        <v>1.67</v>
      </c>
      <c r="AS590" s="4">
        <v>1853</v>
      </c>
      <c r="AT590" s="1">
        <v>1110</v>
      </c>
      <c r="AX590" s="3">
        <v>1200066.3999999999</v>
      </c>
      <c r="BB590" t="s">
        <v>84</v>
      </c>
      <c r="BD590" s="3">
        <v>1.78</v>
      </c>
      <c r="BE590" s="4">
        <v>1423</v>
      </c>
      <c r="BF590" s="1">
        <v>799</v>
      </c>
      <c r="BG590" s="1">
        <v>104</v>
      </c>
      <c r="BH590" s="1">
        <v>160</v>
      </c>
      <c r="BL590" t="s">
        <v>131</v>
      </c>
    </row>
    <row r="591" spans="1:64" x14ac:dyDescent="0.25">
      <c r="A591" t="s">
        <v>3744</v>
      </c>
      <c r="B591" t="s">
        <v>3745</v>
      </c>
      <c r="C591" s="4">
        <f>(AA591*(H591*0.9))*12</f>
        <v>3643920</v>
      </c>
      <c r="D591" s="4">
        <f>IF(C591=0,"",(H591*150*12)+C591)</f>
        <v>4003920</v>
      </c>
      <c r="E591" s="4">
        <f>IFERROR(D591*0.5,"")</f>
        <v>2001960</v>
      </c>
      <c r="F591" s="4">
        <f>IFERROR(E591/0.06,"")</f>
        <v>33366000</v>
      </c>
      <c r="G591" s="4">
        <f>IFERROR(F591/H591,"")</f>
        <v>166830</v>
      </c>
      <c r="H591" s="1">
        <v>200</v>
      </c>
      <c r="I591" s="1">
        <v>1995</v>
      </c>
      <c r="J591" t="s">
        <v>64</v>
      </c>
      <c r="K591" t="s">
        <v>134</v>
      </c>
      <c r="L591" t="s">
        <v>3746</v>
      </c>
      <c r="M591" t="s">
        <v>3747</v>
      </c>
      <c r="N591" t="s">
        <v>3748</v>
      </c>
      <c r="O591" t="s">
        <v>3746</v>
      </c>
      <c r="P591" s="1">
        <v>3</v>
      </c>
      <c r="Q591" t="s">
        <v>91</v>
      </c>
      <c r="R591" t="s">
        <v>70</v>
      </c>
      <c r="S591" t="s">
        <v>71</v>
      </c>
      <c r="U591" t="s">
        <v>72</v>
      </c>
      <c r="V591" t="s">
        <v>134</v>
      </c>
      <c r="W591" t="s">
        <v>74</v>
      </c>
      <c r="X591" t="s">
        <v>3739</v>
      </c>
      <c r="Y591" s="2">
        <v>947</v>
      </c>
      <c r="Z591" s="3">
        <v>1.78</v>
      </c>
      <c r="AA591" s="4">
        <v>1687</v>
      </c>
      <c r="AK591" s="5">
        <v>9</v>
      </c>
      <c r="AN591" s="1">
        <v>2</v>
      </c>
      <c r="AO591" t="s">
        <v>81</v>
      </c>
      <c r="AP591" t="s">
        <v>82</v>
      </c>
      <c r="AQ591" t="s">
        <v>83</v>
      </c>
      <c r="AR591" s="3">
        <v>1.72</v>
      </c>
      <c r="AS591" s="4">
        <v>1900</v>
      </c>
      <c r="AT591" s="1">
        <v>1103</v>
      </c>
      <c r="AU591" s="3">
        <v>1.64</v>
      </c>
      <c r="AV591" s="4">
        <v>2133</v>
      </c>
      <c r="AW591" s="1">
        <v>1303</v>
      </c>
      <c r="AX591" s="3">
        <v>959409</v>
      </c>
      <c r="BB591" t="s">
        <v>84</v>
      </c>
      <c r="BD591" s="3">
        <v>1.92</v>
      </c>
      <c r="BE591" s="4">
        <v>1397</v>
      </c>
      <c r="BF591" s="1">
        <v>730</v>
      </c>
      <c r="BG591" s="1">
        <v>94</v>
      </c>
      <c r="BH591" s="1">
        <v>86</v>
      </c>
      <c r="BI591" s="1">
        <v>20</v>
      </c>
      <c r="BK591" t="s">
        <v>3749</v>
      </c>
      <c r="BL591" t="s">
        <v>131</v>
      </c>
    </row>
    <row r="592" spans="1:64" x14ac:dyDescent="0.25">
      <c r="A592" t="s">
        <v>4117</v>
      </c>
      <c r="B592" t="s">
        <v>4118</v>
      </c>
      <c r="C592" s="4">
        <f>(AA592*(H592*0.9))*12</f>
        <v>5887846.8000000007</v>
      </c>
      <c r="D592" s="4">
        <f>IF(C592=0,"",(H592*150*12)+C592)</f>
        <v>6462046.8000000007</v>
      </c>
      <c r="E592" s="4">
        <f>IFERROR(D592*0.5,"")</f>
        <v>3231023.4000000004</v>
      </c>
      <c r="F592" s="4">
        <f>IFERROR(E592/0.06,"")</f>
        <v>53850390.000000007</v>
      </c>
      <c r="G592" s="4">
        <f>IFERROR(F592/H592,"")</f>
        <v>168810.00000000003</v>
      </c>
      <c r="H592" s="1">
        <v>319</v>
      </c>
      <c r="I592" s="1">
        <v>1994</v>
      </c>
      <c r="J592" t="s">
        <v>64</v>
      </c>
      <c r="K592" t="s">
        <v>1133</v>
      </c>
      <c r="L592" t="s">
        <v>3247</v>
      </c>
      <c r="M592" t="s">
        <v>4119</v>
      </c>
      <c r="N592" t="s">
        <v>3249</v>
      </c>
      <c r="O592" t="s">
        <v>3247</v>
      </c>
      <c r="P592" s="1">
        <v>3</v>
      </c>
      <c r="Q592" t="s">
        <v>91</v>
      </c>
      <c r="R592" t="s">
        <v>70</v>
      </c>
      <c r="S592" t="s">
        <v>71</v>
      </c>
      <c r="U592" t="s">
        <v>72</v>
      </c>
      <c r="V592" t="s">
        <v>264</v>
      </c>
      <c r="W592" t="s">
        <v>74</v>
      </c>
      <c r="X592" t="s">
        <v>1594</v>
      </c>
      <c r="Y592" s="2">
        <v>1018</v>
      </c>
      <c r="Z592" s="3">
        <v>1.68</v>
      </c>
      <c r="AA592" s="4">
        <v>1709</v>
      </c>
      <c r="AK592" s="5">
        <v>8.1504999999999992</v>
      </c>
      <c r="AN592" s="1">
        <v>3</v>
      </c>
      <c r="AO592" t="s">
        <v>81</v>
      </c>
      <c r="AP592" t="s">
        <v>82</v>
      </c>
      <c r="AQ592" t="s">
        <v>83</v>
      </c>
      <c r="AR592" s="3">
        <v>1.57</v>
      </c>
      <c r="AS592" s="4">
        <v>1758</v>
      </c>
      <c r="AT592" s="1">
        <v>1116</v>
      </c>
      <c r="AU592" s="3">
        <v>2.04</v>
      </c>
      <c r="AV592" s="4">
        <v>2605</v>
      </c>
      <c r="AW592" s="1">
        <v>1279</v>
      </c>
      <c r="AX592" s="3">
        <v>1319467.05</v>
      </c>
      <c r="BB592" t="s">
        <v>84</v>
      </c>
      <c r="BD592" s="3">
        <v>1.82</v>
      </c>
      <c r="BE592" s="4">
        <v>1413</v>
      </c>
      <c r="BF592" s="1">
        <v>778</v>
      </c>
      <c r="BG592" s="1">
        <v>104</v>
      </c>
      <c r="BH592" s="1">
        <v>191</v>
      </c>
      <c r="BI592" s="1">
        <v>24</v>
      </c>
    </row>
    <row r="593" spans="1:67" x14ac:dyDescent="0.25">
      <c r="A593" t="s">
        <v>3740</v>
      </c>
      <c r="B593" t="s">
        <v>3741</v>
      </c>
      <c r="C593" s="4">
        <f>(AA593*(H593*0.9))*12</f>
        <v>9751104</v>
      </c>
      <c r="D593" s="4">
        <f>IF(C593=0,"",(H593*150*12)+C593)</f>
        <v>10701504</v>
      </c>
      <c r="E593" s="4">
        <f>IFERROR(D593*0.5,"")</f>
        <v>5350752</v>
      </c>
      <c r="F593" s="4">
        <f>IFERROR(E593/0.06,"")</f>
        <v>89179200</v>
      </c>
      <c r="G593" s="4">
        <f>IFERROR(F593/H593,"")</f>
        <v>168900</v>
      </c>
      <c r="H593" s="1">
        <v>528</v>
      </c>
      <c r="I593" s="1">
        <v>1996</v>
      </c>
      <c r="J593" t="s">
        <v>64</v>
      </c>
      <c r="K593" t="s">
        <v>140</v>
      </c>
      <c r="L593" t="s">
        <v>1532</v>
      </c>
      <c r="M593" t="s">
        <v>3742</v>
      </c>
      <c r="N593" t="s">
        <v>3743</v>
      </c>
      <c r="O593" t="s">
        <v>1532</v>
      </c>
      <c r="P593" s="1">
        <v>3</v>
      </c>
      <c r="Q593" t="s">
        <v>91</v>
      </c>
      <c r="R593" t="s">
        <v>70</v>
      </c>
      <c r="S593" t="s">
        <v>71</v>
      </c>
      <c r="U593" t="s">
        <v>72</v>
      </c>
      <c r="V593" t="s">
        <v>134</v>
      </c>
      <c r="W593" t="s">
        <v>74</v>
      </c>
      <c r="X593" t="s">
        <v>3739</v>
      </c>
      <c r="Y593" s="2">
        <v>956</v>
      </c>
      <c r="Z593" s="3">
        <v>1.79</v>
      </c>
      <c r="AA593" s="4">
        <v>1710</v>
      </c>
      <c r="AK593" s="5">
        <v>10.2273</v>
      </c>
      <c r="AN593" s="1">
        <v>2</v>
      </c>
      <c r="AO593" t="s">
        <v>81</v>
      </c>
      <c r="AP593" t="s">
        <v>82</v>
      </c>
      <c r="AQ593" t="s">
        <v>83</v>
      </c>
      <c r="AR593" s="3">
        <v>1.88</v>
      </c>
      <c r="AS593" s="4">
        <v>1938</v>
      </c>
      <c r="AT593" s="1">
        <v>1032</v>
      </c>
      <c r="AU593" s="3">
        <v>1.49</v>
      </c>
      <c r="AV593" s="4">
        <v>2148</v>
      </c>
      <c r="AW593" s="1">
        <v>1446</v>
      </c>
      <c r="AX593" s="3">
        <v>1568087.95</v>
      </c>
      <c r="BB593" t="s">
        <v>84</v>
      </c>
      <c r="BD593" s="3">
        <v>1.79</v>
      </c>
      <c r="BE593" s="4">
        <v>1446</v>
      </c>
      <c r="BF593" s="1">
        <v>806</v>
      </c>
      <c r="BG593" s="1">
        <v>260</v>
      </c>
      <c r="BH593" s="1">
        <v>222</v>
      </c>
      <c r="BI593" s="1">
        <v>46</v>
      </c>
      <c r="BL593" t="s">
        <v>365</v>
      </c>
    </row>
    <row r="594" spans="1:67" x14ac:dyDescent="0.25">
      <c r="A594" t="s">
        <v>3666</v>
      </c>
      <c r="B594" t="s">
        <v>3667</v>
      </c>
      <c r="C594" s="4">
        <f>(AA594*(H594*0.9))*12</f>
        <v>7543756.8000000007</v>
      </c>
      <c r="D594" s="4">
        <f>IF(C594=0,"",(H594*150*12)+C594)</f>
        <v>8278156.8000000007</v>
      </c>
      <c r="E594" s="4">
        <f>IFERROR(D594*0.5,"")</f>
        <v>4139078.4000000004</v>
      </c>
      <c r="F594" s="4">
        <f>IFERROR(E594/0.06,"")</f>
        <v>68984640.000000015</v>
      </c>
      <c r="G594" s="4">
        <f>IFERROR(F594/H594,"")</f>
        <v>169080.00000000003</v>
      </c>
      <c r="H594" s="1">
        <v>408</v>
      </c>
      <c r="I594" s="1">
        <v>1992</v>
      </c>
      <c r="J594" t="s">
        <v>64</v>
      </c>
      <c r="K594" t="s">
        <v>140</v>
      </c>
      <c r="L594" t="s">
        <v>1038</v>
      </c>
      <c r="M594" t="s">
        <v>3668</v>
      </c>
      <c r="N594" t="s">
        <v>1038</v>
      </c>
      <c r="O594" t="s">
        <v>1038</v>
      </c>
      <c r="P594" s="1">
        <v>4</v>
      </c>
      <c r="Q594" t="s">
        <v>91</v>
      </c>
      <c r="R594" t="s">
        <v>70</v>
      </c>
      <c r="S594" t="s">
        <v>71</v>
      </c>
      <c r="U594" t="s">
        <v>72</v>
      </c>
      <c r="V594" t="s">
        <v>140</v>
      </c>
      <c r="W594" t="s">
        <v>74</v>
      </c>
      <c r="X594" t="s">
        <v>1535</v>
      </c>
      <c r="Y594" s="2">
        <v>906</v>
      </c>
      <c r="Z594" s="3">
        <v>1.89</v>
      </c>
      <c r="AA594" s="4">
        <v>1712</v>
      </c>
      <c r="AK594" s="5">
        <v>4.6569000000000003</v>
      </c>
      <c r="AN594" s="1">
        <v>2</v>
      </c>
      <c r="AO594" t="s">
        <v>81</v>
      </c>
      <c r="AP594" t="s">
        <v>82</v>
      </c>
      <c r="AQ594" t="s">
        <v>83</v>
      </c>
      <c r="AR594" s="3">
        <v>1.88</v>
      </c>
      <c r="AS594" s="4">
        <v>2057</v>
      </c>
      <c r="AT594" s="1">
        <v>1095</v>
      </c>
      <c r="AX594" s="3">
        <v>987801.05</v>
      </c>
      <c r="BB594" t="s">
        <v>84</v>
      </c>
      <c r="BD594" s="3">
        <v>1.9</v>
      </c>
      <c r="BE594" s="4">
        <v>1471</v>
      </c>
      <c r="BF594" s="1">
        <v>775</v>
      </c>
      <c r="BG594" s="1">
        <v>240</v>
      </c>
      <c r="BH594" s="1">
        <v>168</v>
      </c>
      <c r="BL594" t="s">
        <v>131</v>
      </c>
    </row>
    <row r="595" spans="1:67" x14ac:dyDescent="0.25">
      <c r="A595" t="s">
        <v>3868</v>
      </c>
      <c r="B595" t="s">
        <v>3869</v>
      </c>
      <c r="C595" s="4">
        <f>(AA595*(H595*0.9))*12</f>
        <v>6264086.3999999994</v>
      </c>
      <c r="D595" s="4">
        <f>IF(C595=0,"",(H595*150*12)+C595)</f>
        <v>6872486.3999999994</v>
      </c>
      <c r="E595" s="4">
        <f>IFERROR(D595*0.5,"")</f>
        <v>3436243.1999999997</v>
      </c>
      <c r="F595" s="4">
        <f>IFERROR(E595/0.06,"")</f>
        <v>57270720</v>
      </c>
      <c r="G595" s="4">
        <f>IFERROR(F595/H595,"")</f>
        <v>169440</v>
      </c>
      <c r="H595" s="1">
        <v>338</v>
      </c>
      <c r="I595" s="1">
        <v>1999</v>
      </c>
      <c r="J595" t="s">
        <v>64</v>
      </c>
      <c r="K595" t="s">
        <v>611</v>
      </c>
      <c r="L595" t="s">
        <v>3870</v>
      </c>
      <c r="M595" t="s">
        <v>3871</v>
      </c>
      <c r="N595" t="s">
        <v>2478</v>
      </c>
      <c r="O595" t="s">
        <v>3870</v>
      </c>
      <c r="P595" s="1">
        <v>3</v>
      </c>
      <c r="Q595" t="s">
        <v>91</v>
      </c>
      <c r="R595" t="s">
        <v>70</v>
      </c>
      <c r="S595" t="s">
        <v>71</v>
      </c>
      <c r="U595" t="s">
        <v>72</v>
      </c>
      <c r="V595" t="s">
        <v>611</v>
      </c>
      <c r="W595" t="s">
        <v>74</v>
      </c>
      <c r="X595" t="s">
        <v>3250</v>
      </c>
      <c r="Y595" s="2">
        <v>968</v>
      </c>
      <c r="Z595" s="3">
        <v>1.77</v>
      </c>
      <c r="AA595" s="4">
        <v>1716</v>
      </c>
      <c r="AK595" s="5">
        <v>5.9172000000000002</v>
      </c>
      <c r="AM595" s="1">
        <v>2001</v>
      </c>
      <c r="AN595" s="1">
        <v>3</v>
      </c>
      <c r="AO595" t="s">
        <v>81</v>
      </c>
      <c r="AP595" t="s">
        <v>82</v>
      </c>
      <c r="AQ595" t="s">
        <v>83</v>
      </c>
      <c r="AR595" s="3">
        <v>1.68</v>
      </c>
      <c r="AS595" s="4">
        <v>1859</v>
      </c>
      <c r="AT595" s="1">
        <v>1104</v>
      </c>
      <c r="AU595" s="3">
        <v>1.95</v>
      </c>
      <c r="AV595" s="4">
        <v>2482</v>
      </c>
      <c r="AW595" s="1">
        <v>1274</v>
      </c>
      <c r="AX595" s="3">
        <v>0</v>
      </c>
      <c r="BB595" t="s">
        <v>84</v>
      </c>
      <c r="BD595" s="3">
        <v>1.87</v>
      </c>
      <c r="BE595" s="4">
        <v>1484</v>
      </c>
      <c r="BF595" s="1">
        <v>793</v>
      </c>
      <c r="BG595" s="1">
        <v>156</v>
      </c>
      <c r="BH595" s="1">
        <v>166</v>
      </c>
      <c r="BI595" s="1">
        <v>16</v>
      </c>
      <c r="BK595" t="s">
        <v>3872</v>
      </c>
    </row>
    <row r="596" spans="1:67" x14ac:dyDescent="0.25">
      <c r="A596" t="s">
        <v>2794</v>
      </c>
      <c r="B596" t="s">
        <v>2795</v>
      </c>
      <c r="C596" s="4">
        <f>(AA596*(H596*0.9))*12</f>
        <v>6160060.8000000007</v>
      </c>
      <c r="D596" s="4">
        <f>IF(C596=0,"",(H596*150*12)+C596)</f>
        <v>6757660.8000000007</v>
      </c>
      <c r="E596" s="4">
        <f>IFERROR(D596*0.5,"")</f>
        <v>3378830.4000000004</v>
      </c>
      <c r="F596" s="4">
        <f>IFERROR(E596/0.06,"")</f>
        <v>56313840.000000007</v>
      </c>
      <c r="G596" s="4">
        <f>IFERROR(F596/H596,"")</f>
        <v>169620.00000000003</v>
      </c>
      <c r="H596" s="1">
        <v>332</v>
      </c>
      <c r="I596" s="1">
        <v>1998</v>
      </c>
      <c r="J596" t="s">
        <v>64</v>
      </c>
      <c r="K596" t="s">
        <v>725</v>
      </c>
      <c r="L596" t="s">
        <v>2796</v>
      </c>
      <c r="M596" t="s">
        <v>2797</v>
      </c>
      <c r="N596" t="s">
        <v>2798</v>
      </c>
      <c r="O596" t="s">
        <v>2796</v>
      </c>
      <c r="P596" s="1">
        <v>4</v>
      </c>
      <c r="Q596" t="s">
        <v>729</v>
      </c>
      <c r="R596" t="s">
        <v>70</v>
      </c>
      <c r="S596" t="s">
        <v>71</v>
      </c>
      <c r="U596" t="s">
        <v>72</v>
      </c>
      <c r="V596" t="s">
        <v>73</v>
      </c>
      <c r="W596" t="s">
        <v>74</v>
      </c>
      <c r="X596" t="s">
        <v>730</v>
      </c>
      <c r="Y596" s="2">
        <v>1104</v>
      </c>
      <c r="Z596" s="3">
        <v>1.55</v>
      </c>
      <c r="AA596" s="4">
        <v>1718</v>
      </c>
      <c r="AK596" s="5">
        <v>5.4217000000000004</v>
      </c>
      <c r="AM596" s="1">
        <v>2015</v>
      </c>
      <c r="AN596" s="1">
        <v>3</v>
      </c>
      <c r="AO596" t="s">
        <v>81</v>
      </c>
      <c r="AP596" t="s">
        <v>82</v>
      </c>
      <c r="AQ596" t="s">
        <v>83</v>
      </c>
      <c r="AR596" s="3">
        <v>1.63</v>
      </c>
      <c r="AS596" s="4">
        <v>1808</v>
      </c>
      <c r="AT596" s="1">
        <v>1111</v>
      </c>
      <c r="AU596" s="3">
        <v>1.4</v>
      </c>
      <c r="AV596" s="4">
        <v>2126</v>
      </c>
      <c r="AW596" s="1">
        <v>1522</v>
      </c>
      <c r="AX596" s="3">
        <v>1090992.27</v>
      </c>
      <c r="BB596" t="s">
        <v>84</v>
      </c>
      <c r="BD596" s="3">
        <v>1.68</v>
      </c>
      <c r="BE596" s="4">
        <v>1267</v>
      </c>
      <c r="BF596" s="1">
        <v>754</v>
      </c>
      <c r="BG596" s="1">
        <v>108</v>
      </c>
      <c r="BH596" s="1">
        <v>135</v>
      </c>
      <c r="BI596" s="1">
        <v>89</v>
      </c>
      <c r="BK596" t="s">
        <v>987</v>
      </c>
      <c r="BL596" t="s">
        <v>131</v>
      </c>
    </row>
    <row r="597" spans="1:67" x14ac:dyDescent="0.25">
      <c r="A597" t="s">
        <v>2300</v>
      </c>
      <c r="B597" t="s">
        <v>2301</v>
      </c>
      <c r="C597" s="4">
        <f>(AA597*(H597*0.9))*12</f>
        <v>5728060.7999999998</v>
      </c>
      <c r="D597" s="4">
        <f>IF(C597=0,"",(H597*150*12)+C597)</f>
        <v>6282460.7999999998</v>
      </c>
      <c r="E597" s="4">
        <f>IFERROR(D597*0.5,"")</f>
        <v>3141230.4</v>
      </c>
      <c r="F597" s="4">
        <f>IFERROR(E597/0.06,"")</f>
        <v>52353840</v>
      </c>
      <c r="G597" s="4">
        <f>IFERROR(F597/H597,"")</f>
        <v>169980</v>
      </c>
      <c r="H597" s="1">
        <v>308</v>
      </c>
      <c r="I597" s="1">
        <v>1995</v>
      </c>
      <c r="J597" t="s">
        <v>64</v>
      </c>
      <c r="K597" t="s">
        <v>514</v>
      </c>
      <c r="L597" t="s">
        <v>790</v>
      </c>
      <c r="M597" t="s">
        <v>2302</v>
      </c>
      <c r="N597" t="s">
        <v>2303</v>
      </c>
      <c r="O597" t="s">
        <v>790</v>
      </c>
      <c r="P597" s="1">
        <v>3</v>
      </c>
      <c r="Q597" t="s">
        <v>91</v>
      </c>
      <c r="R597" t="s">
        <v>70</v>
      </c>
      <c r="S597" t="s">
        <v>71</v>
      </c>
      <c r="U597" t="s">
        <v>72</v>
      </c>
      <c r="V597" t="s">
        <v>264</v>
      </c>
      <c r="W597" t="s">
        <v>74</v>
      </c>
      <c r="X597" t="s">
        <v>2304</v>
      </c>
      <c r="Y597" s="2">
        <v>986</v>
      </c>
      <c r="Z597" s="3">
        <v>1.75</v>
      </c>
      <c r="AA597" s="4">
        <v>1722</v>
      </c>
      <c r="AK597" s="5">
        <v>7.1429</v>
      </c>
      <c r="AL597" s="1">
        <v>1</v>
      </c>
      <c r="AN597" s="1">
        <v>3</v>
      </c>
      <c r="AO597" t="s">
        <v>81</v>
      </c>
      <c r="AP597" t="s">
        <v>82</v>
      </c>
      <c r="AQ597" t="s">
        <v>83</v>
      </c>
      <c r="AR597" s="3">
        <v>1.65</v>
      </c>
      <c r="AS597" s="4">
        <v>1879</v>
      </c>
      <c r="AT597" s="1">
        <v>1142</v>
      </c>
      <c r="AU597" s="3">
        <v>1.9</v>
      </c>
      <c r="AV597" s="4">
        <v>2369</v>
      </c>
      <c r="AW597" s="1">
        <v>1245</v>
      </c>
      <c r="AX597" s="3">
        <v>1345066.25</v>
      </c>
      <c r="BB597" t="s">
        <v>84</v>
      </c>
      <c r="BD597" s="3">
        <v>1.76</v>
      </c>
      <c r="BE597" s="4">
        <v>1336</v>
      </c>
      <c r="BF597" s="1">
        <v>758</v>
      </c>
      <c r="BG597" s="1">
        <v>140</v>
      </c>
      <c r="BH597" s="1">
        <v>112</v>
      </c>
      <c r="BI597" s="1">
        <v>56</v>
      </c>
      <c r="BK597" t="s">
        <v>1414</v>
      </c>
      <c r="BL597" t="s">
        <v>131</v>
      </c>
    </row>
    <row r="598" spans="1:67" x14ac:dyDescent="0.25">
      <c r="A598" t="s">
        <v>2947</v>
      </c>
      <c r="B598" t="s">
        <v>2948</v>
      </c>
      <c r="C598" s="4">
        <f>(AA598*(H598*0.9))*12</f>
        <v>4463424</v>
      </c>
      <c r="D598" s="4">
        <f>IF(C598=0,"",(H598*150*12)+C598)</f>
        <v>4895424</v>
      </c>
      <c r="E598" s="4">
        <f>IFERROR(D598*0.5,"")</f>
        <v>2447712</v>
      </c>
      <c r="F598" s="4">
        <f>IFERROR(E598/0.06,"")</f>
        <v>40795200</v>
      </c>
      <c r="G598" s="4">
        <f>IFERROR(F598/H598,"")</f>
        <v>169980</v>
      </c>
      <c r="H598" s="1">
        <v>240</v>
      </c>
      <c r="I598" s="1">
        <v>1998</v>
      </c>
      <c r="J598" t="s">
        <v>64</v>
      </c>
      <c r="K598" t="s">
        <v>140</v>
      </c>
      <c r="L598" t="s">
        <v>882</v>
      </c>
      <c r="M598" t="s">
        <v>2949</v>
      </c>
      <c r="N598" t="s">
        <v>2950</v>
      </c>
      <c r="O598" t="s">
        <v>882</v>
      </c>
      <c r="P598" s="1">
        <v>3</v>
      </c>
      <c r="Q598" t="s">
        <v>91</v>
      </c>
      <c r="R598" t="s">
        <v>70</v>
      </c>
      <c r="S598" t="s">
        <v>71</v>
      </c>
      <c r="U598" t="s">
        <v>72</v>
      </c>
      <c r="V598" t="s">
        <v>140</v>
      </c>
      <c r="W598" t="s">
        <v>74</v>
      </c>
      <c r="X598" t="s">
        <v>2951</v>
      </c>
      <c r="Y598" s="2">
        <v>996</v>
      </c>
      <c r="Z598" s="3">
        <v>1.73</v>
      </c>
      <c r="AA598" s="4">
        <v>1722</v>
      </c>
      <c r="AK598" s="5">
        <v>5.8333000000000004</v>
      </c>
      <c r="AN598" s="1">
        <v>2</v>
      </c>
      <c r="AO598" t="s">
        <v>81</v>
      </c>
      <c r="AP598" t="s">
        <v>82</v>
      </c>
      <c r="AQ598" t="s">
        <v>83</v>
      </c>
      <c r="AR598" s="3">
        <v>1.68</v>
      </c>
      <c r="AS598" s="4">
        <v>1924</v>
      </c>
      <c r="AT598" s="1">
        <v>1145</v>
      </c>
      <c r="AU598" s="3">
        <v>1.62</v>
      </c>
      <c r="AV598" s="4">
        <v>2290</v>
      </c>
      <c r="AW598" s="1">
        <v>1415</v>
      </c>
      <c r="AX598" s="3">
        <v>659772.56999999995</v>
      </c>
      <c r="BB598" t="s">
        <v>84</v>
      </c>
      <c r="BD598" s="3">
        <v>1.82</v>
      </c>
      <c r="BE598" s="4">
        <v>1448</v>
      </c>
      <c r="BF598" s="1">
        <v>794</v>
      </c>
      <c r="BG598" s="1">
        <v>120</v>
      </c>
      <c r="BH598" s="1">
        <v>96</v>
      </c>
      <c r="BI598" s="1">
        <v>24</v>
      </c>
      <c r="BL598" t="s">
        <v>131</v>
      </c>
    </row>
    <row r="599" spans="1:67" x14ac:dyDescent="0.25">
      <c r="A599" t="s">
        <v>3857</v>
      </c>
      <c r="B599" t="s">
        <v>3858</v>
      </c>
      <c r="C599" s="4">
        <f>(AA599*(H599*0.9))*12</f>
        <v>1510779.6</v>
      </c>
      <c r="D599" s="4">
        <f>IF(C599=0,"",(H599*150*12)+C599)</f>
        <v>1656579.6</v>
      </c>
      <c r="E599" s="4">
        <f>IFERROR(D599*0.5,"")</f>
        <v>828289.8</v>
      </c>
      <c r="F599" s="4">
        <f>IFERROR(E599/0.06,"")</f>
        <v>13804830.000000002</v>
      </c>
      <c r="G599" s="4">
        <f>IFERROR(F599/H599,"")</f>
        <v>170430.00000000003</v>
      </c>
      <c r="H599" s="1">
        <v>81</v>
      </c>
      <c r="I599" s="1">
        <v>1998</v>
      </c>
      <c r="J599" t="s">
        <v>64</v>
      </c>
      <c r="K599" t="s">
        <v>943</v>
      </c>
      <c r="L599" t="s">
        <v>3859</v>
      </c>
      <c r="M599" t="s">
        <v>3860</v>
      </c>
      <c r="N599" t="s">
        <v>3861</v>
      </c>
      <c r="O599" t="s">
        <v>3859</v>
      </c>
      <c r="P599" s="1">
        <v>3</v>
      </c>
      <c r="Q599" t="s">
        <v>91</v>
      </c>
      <c r="R599" t="s">
        <v>70</v>
      </c>
      <c r="S599" t="s">
        <v>71</v>
      </c>
      <c r="U599" t="s">
        <v>72</v>
      </c>
      <c r="V599" t="s">
        <v>945</v>
      </c>
      <c r="W599" t="s">
        <v>74</v>
      </c>
      <c r="X599" t="s">
        <v>3862</v>
      </c>
      <c r="Y599" s="2">
        <v>865</v>
      </c>
      <c r="Z599" s="3">
        <v>2</v>
      </c>
      <c r="AA599" s="4">
        <v>1727</v>
      </c>
      <c r="AK599" s="5">
        <v>8.6419999999999995</v>
      </c>
      <c r="AN599" s="1">
        <v>1</v>
      </c>
      <c r="AO599" t="s">
        <v>81</v>
      </c>
      <c r="AP599" t="s">
        <v>82</v>
      </c>
      <c r="AQ599" t="s">
        <v>83</v>
      </c>
      <c r="AR599" s="3">
        <v>1.95</v>
      </c>
      <c r="AS599" s="4">
        <v>1948</v>
      </c>
      <c r="AT599" s="1">
        <v>1000</v>
      </c>
      <c r="AU599" s="3">
        <v>1.08</v>
      </c>
      <c r="AV599" s="4">
        <v>1900</v>
      </c>
      <c r="AW599" s="1">
        <v>1758</v>
      </c>
      <c r="AX599" s="3">
        <v>183348.81</v>
      </c>
      <c r="BB599" t="s">
        <v>84</v>
      </c>
      <c r="BD599" s="3">
        <v>2.12</v>
      </c>
      <c r="BE599" s="4">
        <v>1501</v>
      </c>
      <c r="BF599" s="1">
        <v>708</v>
      </c>
      <c r="BG599" s="1">
        <v>40</v>
      </c>
      <c r="BH599" s="1">
        <v>40</v>
      </c>
      <c r="BI599" s="1">
        <v>1</v>
      </c>
      <c r="BL599" t="s">
        <v>744</v>
      </c>
    </row>
    <row r="600" spans="1:67" x14ac:dyDescent="0.25">
      <c r="A600" t="s">
        <v>2878</v>
      </c>
      <c r="B600" t="s">
        <v>2879</v>
      </c>
      <c r="C600" s="4">
        <f>(AA600*(H600*0.9))*12</f>
        <v>8968320</v>
      </c>
      <c r="D600" s="4">
        <f>IF(C600=0,"",(H600*150*12)+C600)</f>
        <v>9832320</v>
      </c>
      <c r="E600" s="4">
        <f>IFERROR(D600*0.5,"")</f>
        <v>4916160</v>
      </c>
      <c r="F600" s="4">
        <f>IFERROR(E600/0.06,"")</f>
        <v>81936000</v>
      </c>
      <c r="G600" s="4">
        <f>IFERROR(F600/H600,"")</f>
        <v>170700</v>
      </c>
      <c r="H600" s="1">
        <v>480</v>
      </c>
      <c r="I600" s="1">
        <v>2000</v>
      </c>
      <c r="J600" t="s">
        <v>64</v>
      </c>
      <c r="K600" t="s">
        <v>800</v>
      </c>
      <c r="L600" t="s">
        <v>1532</v>
      </c>
      <c r="M600" t="s">
        <v>2880</v>
      </c>
      <c r="N600" t="s">
        <v>2881</v>
      </c>
      <c r="O600" t="s">
        <v>1532</v>
      </c>
      <c r="P600" s="1">
        <v>4</v>
      </c>
      <c r="Q600" t="s">
        <v>729</v>
      </c>
      <c r="R600" t="s">
        <v>70</v>
      </c>
      <c r="S600" t="s">
        <v>71</v>
      </c>
      <c r="U600" t="s">
        <v>72</v>
      </c>
      <c r="V600" t="s">
        <v>800</v>
      </c>
      <c r="W600" t="s">
        <v>74</v>
      </c>
      <c r="X600" t="s">
        <v>803</v>
      </c>
      <c r="Y600" s="2">
        <v>956</v>
      </c>
      <c r="Z600" s="3">
        <v>1.81</v>
      </c>
      <c r="AA600" s="4">
        <v>1730</v>
      </c>
      <c r="AK600" s="5">
        <v>6.0416999999999996</v>
      </c>
      <c r="AN600" s="1">
        <v>3</v>
      </c>
      <c r="AO600" t="s">
        <v>81</v>
      </c>
      <c r="AP600" t="s">
        <v>82</v>
      </c>
      <c r="AQ600" t="s">
        <v>83</v>
      </c>
      <c r="AR600" s="3">
        <v>1.67</v>
      </c>
      <c r="AS600" s="4">
        <v>1837</v>
      </c>
      <c r="AT600" s="1">
        <v>1102</v>
      </c>
      <c r="AU600" s="3">
        <v>1.82</v>
      </c>
      <c r="AV600" s="4">
        <v>2490</v>
      </c>
      <c r="AW600" s="1">
        <v>1367</v>
      </c>
      <c r="AX600" s="3">
        <v>532437.12</v>
      </c>
      <c r="BB600" t="s">
        <v>84</v>
      </c>
      <c r="BD600" s="3">
        <v>1.94</v>
      </c>
      <c r="BE600" s="4">
        <v>1553</v>
      </c>
      <c r="BF600" s="1">
        <v>802</v>
      </c>
      <c r="BG600" s="1">
        <v>264</v>
      </c>
      <c r="BH600" s="1">
        <v>180</v>
      </c>
      <c r="BI600" s="1">
        <v>36</v>
      </c>
    </row>
    <row r="601" spans="1:67" x14ac:dyDescent="0.25">
      <c r="A601" t="s">
        <v>3582</v>
      </c>
      <c r="B601" t="s">
        <v>3583</v>
      </c>
      <c r="C601" s="4">
        <f>(AA601*(H601*0.9))*12</f>
        <v>6172848</v>
      </c>
      <c r="D601" s="4">
        <f>IF(C601=0,"",(H601*150*12)+C601)</f>
        <v>6766848</v>
      </c>
      <c r="E601" s="4">
        <f>IFERROR(D601*0.5,"")</f>
        <v>3383424</v>
      </c>
      <c r="F601" s="4">
        <f>IFERROR(E601/0.06,"")</f>
        <v>56390400</v>
      </c>
      <c r="G601" s="4">
        <f>IFERROR(F601/H601,"")</f>
        <v>170880</v>
      </c>
      <c r="H601" s="1">
        <v>330</v>
      </c>
      <c r="I601" s="1">
        <v>1998</v>
      </c>
      <c r="J601" t="s">
        <v>64</v>
      </c>
      <c r="K601" t="s">
        <v>551</v>
      </c>
      <c r="L601" t="s">
        <v>1277</v>
      </c>
      <c r="M601" t="s">
        <v>3584</v>
      </c>
      <c r="N601" t="s">
        <v>3585</v>
      </c>
      <c r="O601" t="s">
        <v>1277</v>
      </c>
      <c r="P601" s="1">
        <v>4</v>
      </c>
      <c r="Q601" t="s">
        <v>729</v>
      </c>
      <c r="R601" t="s">
        <v>70</v>
      </c>
      <c r="S601" t="s">
        <v>71</v>
      </c>
      <c r="U601" t="s">
        <v>72</v>
      </c>
      <c r="V601" t="s">
        <v>140</v>
      </c>
      <c r="W601" t="s">
        <v>74</v>
      </c>
      <c r="X601" t="s">
        <v>3586</v>
      </c>
      <c r="Y601" s="2">
        <v>939</v>
      </c>
      <c r="Z601" s="3">
        <v>1.84</v>
      </c>
      <c r="AA601" s="4">
        <v>1732</v>
      </c>
      <c r="AK601" s="5">
        <v>6.0606</v>
      </c>
      <c r="AN601" s="1">
        <v>3</v>
      </c>
      <c r="AO601" t="s">
        <v>81</v>
      </c>
      <c r="AP601" t="s">
        <v>82</v>
      </c>
      <c r="AQ601" t="s">
        <v>83</v>
      </c>
      <c r="AR601" s="3">
        <v>1.79</v>
      </c>
      <c r="AS601" s="4">
        <v>1932</v>
      </c>
      <c r="AT601" s="1">
        <v>1078</v>
      </c>
      <c r="AU601" s="3">
        <v>1.66</v>
      </c>
      <c r="AV601" s="4">
        <v>2313</v>
      </c>
      <c r="AW601" s="1">
        <v>1391</v>
      </c>
      <c r="BB601" t="s">
        <v>84</v>
      </c>
      <c r="BD601" s="3">
        <v>1.92</v>
      </c>
      <c r="BE601" s="4">
        <v>1540</v>
      </c>
      <c r="BF601" s="1">
        <v>802</v>
      </c>
      <c r="BG601" s="1">
        <v>188</v>
      </c>
      <c r="BH601" s="1">
        <v>122</v>
      </c>
      <c r="BI601" s="1">
        <v>20</v>
      </c>
      <c r="BK601" t="s">
        <v>3587</v>
      </c>
    </row>
    <row r="602" spans="1:67" x14ac:dyDescent="0.25">
      <c r="A602" t="s">
        <v>2067</v>
      </c>
      <c r="B602" t="s">
        <v>2068</v>
      </c>
      <c r="C602" s="4">
        <f>(AA602*(H602*0.9))*12</f>
        <v>3537399.5999999996</v>
      </c>
      <c r="D602" s="4">
        <f>IF(C602=0,"",(H602*150*12)+C602)</f>
        <v>3877599.5999999996</v>
      </c>
      <c r="E602" s="4">
        <f>IFERROR(D602*0.5,"")</f>
        <v>1938799.7999999998</v>
      </c>
      <c r="F602" s="4">
        <f>IFERROR(E602/0.06,"")</f>
        <v>32313329.999999996</v>
      </c>
      <c r="G602" s="4">
        <f>IFERROR(F602/H602,"")</f>
        <v>170969.99999999997</v>
      </c>
      <c r="H602" s="1">
        <v>189</v>
      </c>
      <c r="I602" s="1">
        <v>1998</v>
      </c>
      <c r="J602" t="s">
        <v>64</v>
      </c>
      <c r="K602" t="s">
        <v>2069</v>
      </c>
      <c r="L602" t="s">
        <v>1976</v>
      </c>
      <c r="M602" t="s">
        <v>2070</v>
      </c>
      <c r="N602" t="s">
        <v>2071</v>
      </c>
      <c r="O602" t="s">
        <v>1976</v>
      </c>
      <c r="P602" s="1">
        <v>4</v>
      </c>
      <c r="Q602" t="s">
        <v>91</v>
      </c>
      <c r="R602" t="s">
        <v>70</v>
      </c>
      <c r="S602" t="s">
        <v>71</v>
      </c>
      <c r="U602" t="s">
        <v>72</v>
      </c>
      <c r="V602" t="s">
        <v>152</v>
      </c>
      <c r="W602" t="s">
        <v>74</v>
      </c>
      <c r="X602" t="s">
        <v>2072</v>
      </c>
      <c r="Y602" s="2">
        <v>1059</v>
      </c>
      <c r="Z602" s="3">
        <v>1.63</v>
      </c>
      <c r="AA602" s="4">
        <v>1733</v>
      </c>
      <c r="AK602" s="5">
        <v>5.8201000000000001</v>
      </c>
      <c r="AN602" s="1">
        <v>3</v>
      </c>
      <c r="AO602" t="s">
        <v>81</v>
      </c>
      <c r="AP602" t="s">
        <v>82</v>
      </c>
      <c r="AQ602" t="s">
        <v>83</v>
      </c>
      <c r="AR602" s="3">
        <v>1.55</v>
      </c>
      <c r="AS602" s="4">
        <v>1859</v>
      </c>
      <c r="AT602" s="1">
        <v>1199</v>
      </c>
      <c r="AU602" s="3">
        <v>1.42</v>
      </c>
      <c r="AV602" s="4">
        <v>2227</v>
      </c>
      <c r="AW602" s="1">
        <v>1565</v>
      </c>
      <c r="AX602" s="3">
        <v>845942.76</v>
      </c>
      <c r="BB602" t="s">
        <v>84</v>
      </c>
      <c r="BD602" s="3">
        <v>1.88</v>
      </c>
      <c r="BE602" s="4">
        <v>1482</v>
      </c>
      <c r="BF602" s="1">
        <v>790</v>
      </c>
      <c r="BG602" s="1">
        <v>75</v>
      </c>
      <c r="BH602" s="1">
        <v>102</v>
      </c>
      <c r="BI602" s="1">
        <v>12</v>
      </c>
      <c r="BL602" t="s">
        <v>131</v>
      </c>
    </row>
    <row r="603" spans="1:67" x14ac:dyDescent="0.25">
      <c r="A603" t="s">
        <v>2882</v>
      </c>
      <c r="B603" t="s">
        <v>2883</v>
      </c>
      <c r="C603" s="4">
        <f>(AA603*(H603*0.9))*12</f>
        <v>7341062.4000000004</v>
      </c>
      <c r="D603" s="4">
        <f>IF(C603=0,"",(H603*150*12)+C603)</f>
        <v>8046662.4000000004</v>
      </c>
      <c r="E603" s="4">
        <f>IFERROR(D603*0.5,"")</f>
        <v>4023331.2</v>
      </c>
      <c r="F603" s="4">
        <f>IFERROR(E603/0.06,"")</f>
        <v>67055520.000000007</v>
      </c>
      <c r="G603" s="4">
        <f>IFERROR(F603/H603,"")</f>
        <v>171060.00000000003</v>
      </c>
      <c r="H603" s="1">
        <v>392</v>
      </c>
      <c r="I603" s="1">
        <v>1999</v>
      </c>
      <c r="J603" t="s">
        <v>64</v>
      </c>
      <c r="K603" t="s">
        <v>800</v>
      </c>
      <c r="L603" t="s">
        <v>2884</v>
      </c>
      <c r="M603" t="s">
        <v>2885</v>
      </c>
      <c r="N603" t="s">
        <v>2886</v>
      </c>
      <c r="O603" t="s">
        <v>2884</v>
      </c>
      <c r="P603" s="1">
        <v>4</v>
      </c>
      <c r="Q603" t="s">
        <v>729</v>
      </c>
      <c r="R603" t="s">
        <v>70</v>
      </c>
      <c r="S603" t="s">
        <v>71</v>
      </c>
      <c r="U603" t="s">
        <v>72</v>
      </c>
      <c r="V603" t="s">
        <v>800</v>
      </c>
      <c r="W603" t="s">
        <v>74</v>
      </c>
      <c r="X603" t="s">
        <v>2887</v>
      </c>
      <c r="Y603" s="2">
        <v>909</v>
      </c>
      <c r="Z603" s="3">
        <v>1.91</v>
      </c>
      <c r="AA603" s="4">
        <v>1734</v>
      </c>
      <c r="AK603" s="5">
        <v>6.6326999999999998</v>
      </c>
      <c r="AN603" s="1">
        <v>2</v>
      </c>
      <c r="AO603" t="s">
        <v>81</v>
      </c>
      <c r="AP603" t="s">
        <v>82</v>
      </c>
      <c r="AQ603" t="s">
        <v>83</v>
      </c>
      <c r="AR603" s="3">
        <v>1.7</v>
      </c>
      <c r="AS603" s="4">
        <v>1867</v>
      </c>
      <c r="AT603" s="1">
        <v>1098</v>
      </c>
      <c r="BB603" t="s">
        <v>84</v>
      </c>
      <c r="BD603" s="3">
        <v>2.1</v>
      </c>
      <c r="BE603" s="4">
        <v>1658</v>
      </c>
      <c r="BF603" s="1">
        <v>790</v>
      </c>
      <c r="BG603" s="1">
        <v>240</v>
      </c>
      <c r="BH603" s="1">
        <v>152</v>
      </c>
    </row>
    <row r="604" spans="1:67" x14ac:dyDescent="0.25">
      <c r="A604" t="s">
        <v>3245</v>
      </c>
      <c r="B604" t="s">
        <v>3246</v>
      </c>
      <c r="C604" s="4">
        <f>(AA604*(H604*0.9))*12</f>
        <v>3520713.6000000006</v>
      </c>
      <c r="D604" s="4">
        <f>IF(C604=0,"",(H604*150*12)+C604)</f>
        <v>3859113.6000000006</v>
      </c>
      <c r="E604" s="4">
        <f>IFERROR(D604*0.5,"")</f>
        <v>1929556.8000000003</v>
      </c>
      <c r="F604" s="4">
        <f>IFERROR(E604/0.06,"")</f>
        <v>32159280.000000007</v>
      </c>
      <c r="G604" s="4">
        <f>IFERROR(F604/H604,"")</f>
        <v>171060.00000000003</v>
      </c>
      <c r="H604" s="1">
        <v>188</v>
      </c>
      <c r="I604" s="1">
        <v>1995</v>
      </c>
      <c r="J604" t="s">
        <v>64</v>
      </c>
      <c r="K604" t="s">
        <v>611</v>
      </c>
      <c r="L604" t="s">
        <v>3247</v>
      </c>
      <c r="M604" t="s">
        <v>3248</v>
      </c>
      <c r="N604" t="s">
        <v>3249</v>
      </c>
      <c r="O604" t="s">
        <v>3247</v>
      </c>
      <c r="P604" s="1">
        <v>4</v>
      </c>
      <c r="Q604" t="s">
        <v>729</v>
      </c>
      <c r="R604" t="s">
        <v>70</v>
      </c>
      <c r="S604" t="s">
        <v>71</v>
      </c>
      <c r="U604" t="s">
        <v>72</v>
      </c>
      <c r="V604" t="s">
        <v>611</v>
      </c>
      <c r="W604" t="s">
        <v>74</v>
      </c>
      <c r="X604" t="s">
        <v>3250</v>
      </c>
      <c r="Y604" s="2">
        <v>1054</v>
      </c>
      <c r="Z604" s="3">
        <v>1.65</v>
      </c>
      <c r="AA604" s="4">
        <v>1734</v>
      </c>
      <c r="AK604" s="5">
        <v>1.0638000000000001</v>
      </c>
      <c r="AN604" s="1">
        <v>2</v>
      </c>
      <c r="AO604" t="s">
        <v>81</v>
      </c>
      <c r="AP604" t="s">
        <v>82</v>
      </c>
      <c r="AQ604" t="s">
        <v>83</v>
      </c>
      <c r="AR604" s="3">
        <v>1.57</v>
      </c>
      <c r="AS604" s="4">
        <v>1783</v>
      </c>
      <c r="AT604" s="1">
        <v>1137</v>
      </c>
      <c r="AX604" s="3">
        <v>836930.74</v>
      </c>
      <c r="BB604" t="s">
        <v>84</v>
      </c>
      <c r="BD604" s="3">
        <v>1.97</v>
      </c>
      <c r="BE604" s="4">
        <v>1589</v>
      </c>
      <c r="BF604" s="1">
        <v>806</v>
      </c>
      <c r="BG604" s="1">
        <v>47</v>
      </c>
      <c r="BH604" s="1">
        <v>141</v>
      </c>
    </row>
    <row r="605" spans="1:67" x14ac:dyDescent="0.25">
      <c r="A605" t="s">
        <v>2456</v>
      </c>
      <c r="B605" t="s">
        <v>2457</v>
      </c>
      <c r="C605" s="4">
        <f>(AA605*(H605*0.9))*12</f>
        <v>4364755.2</v>
      </c>
      <c r="D605" s="4">
        <f>IF(C605=0,"",(H605*150*12)+C605)</f>
        <v>4782355.2</v>
      </c>
      <c r="E605" s="4">
        <f>IFERROR(D605*0.5,"")</f>
        <v>2391177.6</v>
      </c>
      <c r="F605" s="4">
        <f>IFERROR(E605/0.06,"")</f>
        <v>39852960</v>
      </c>
      <c r="G605" s="4">
        <f>IFERROR(F605/H605,"")</f>
        <v>171780</v>
      </c>
      <c r="H605" s="1">
        <v>232</v>
      </c>
      <c r="I605" s="1">
        <v>1997</v>
      </c>
      <c r="J605" t="s">
        <v>64</v>
      </c>
      <c r="K605" t="s">
        <v>140</v>
      </c>
      <c r="L605" t="s">
        <v>2458</v>
      </c>
      <c r="M605" t="s">
        <v>2459</v>
      </c>
      <c r="O605" t="s">
        <v>2458</v>
      </c>
      <c r="P605" s="1">
        <v>4</v>
      </c>
      <c r="Q605" t="s">
        <v>91</v>
      </c>
      <c r="R605" t="s">
        <v>70</v>
      </c>
      <c r="S605" t="s">
        <v>71</v>
      </c>
      <c r="U605" t="s">
        <v>72</v>
      </c>
      <c r="V605" t="s">
        <v>140</v>
      </c>
      <c r="W605" t="s">
        <v>74</v>
      </c>
      <c r="X605" t="s">
        <v>1351</v>
      </c>
      <c r="Y605" s="2">
        <v>998</v>
      </c>
      <c r="Z605" s="3">
        <v>1.74</v>
      </c>
      <c r="AA605" s="4">
        <v>1742</v>
      </c>
      <c r="AK605" s="5">
        <v>6.4654999999999996</v>
      </c>
      <c r="AN605" s="1">
        <v>2</v>
      </c>
      <c r="AO605" t="s">
        <v>81</v>
      </c>
      <c r="AP605" t="s">
        <v>82</v>
      </c>
      <c r="AQ605" t="s">
        <v>83</v>
      </c>
      <c r="AR605" s="3">
        <v>1.84</v>
      </c>
      <c r="AS605" s="4">
        <v>2032</v>
      </c>
      <c r="AT605" s="1">
        <v>1105</v>
      </c>
      <c r="AU605" s="3">
        <v>1.79</v>
      </c>
      <c r="AV605" s="4">
        <v>2618</v>
      </c>
      <c r="AW605" s="1">
        <v>1462</v>
      </c>
      <c r="AX605" s="3">
        <v>752682.07</v>
      </c>
      <c r="BB605" t="s">
        <v>84</v>
      </c>
      <c r="BD605" s="3">
        <v>1.61</v>
      </c>
      <c r="BE605" s="4">
        <v>1305</v>
      </c>
      <c r="BF605" s="1">
        <v>808</v>
      </c>
      <c r="BG605" s="1">
        <v>112</v>
      </c>
      <c r="BH605" s="1">
        <v>96</v>
      </c>
      <c r="BI605" s="1">
        <v>24</v>
      </c>
    </row>
    <row r="606" spans="1:67" x14ac:dyDescent="0.25">
      <c r="A606" t="s">
        <v>630</v>
      </c>
      <c r="B606" t="s">
        <v>631</v>
      </c>
      <c r="C606" s="4">
        <f>(AA606*(H606*0.9))*12</f>
        <v>2111961.5999999996</v>
      </c>
      <c r="D606" s="4">
        <f>IF(C606=0,"",(H606*150*12)+C606)</f>
        <v>2313561.5999999996</v>
      </c>
      <c r="E606" s="4">
        <f>IFERROR(D606*0.5,"")</f>
        <v>1156780.7999999998</v>
      </c>
      <c r="F606" s="4">
        <f>IFERROR(E606/0.06,"")</f>
        <v>19279679.999999996</v>
      </c>
      <c r="G606" s="4">
        <f>IFERROR(F606/H606,"")</f>
        <v>172139.99999999997</v>
      </c>
      <c r="H606" s="1">
        <v>112</v>
      </c>
      <c r="I606" s="1">
        <v>1989</v>
      </c>
      <c r="J606" t="s">
        <v>64</v>
      </c>
      <c r="K606" t="s">
        <v>545</v>
      </c>
      <c r="L606" t="s">
        <v>632</v>
      </c>
      <c r="M606" t="s">
        <v>633</v>
      </c>
      <c r="N606" t="s">
        <v>634</v>
      </c>
      <c r="O606" t="s">
        <v>632</v>
      </c>
      <c r="P606" s="1">
        <v>3</v>
      </c>
      <c r="Q606" t="s">
        <v>69</v>
      </c>
      <c r="R606" t="s">
        <v>70</v>
      </c>
      <c r="S606" t="s">
        <v>71</v>
      </c>
      <c r="T606" t="s">
        <v>118</v>
      </c>
      <c r="U606" t="s">
        <v>72</v>
      </c>
      <c r="V606" t="s">
        <v>73</v>
      </c>
      <c r="W606" t="s">
        <v>74</v>
      </c>
      <c r="X606" t="s">
        <v>419</v>
      </c>
      <c r="Y606" s="2">
        <v>893</v>
      </c>
      <c r="Z606" s="3">
        <v>1.95</v>
      </c>
      <c r="AA606" s="4">
        <v>1746</v>
      </c>
      <c r="AK606" s="5">
        <v>13.392899999999999</v>
      </c>
      <c r="AN606" s="1">
        <v>2</v>
      </c>
      <c r="AO606" t="s">
        <v>81</v>
      </c>
      <c r="AP606" t="s">
        <v>82</v>
      </c>
      <c r="AQ606" t="s">
        <v>83</v>
      </c>
      <c r="AR606" s="3">
        <v>1.82</v>
      </c>
      <c r="AS606" s="4">
        <v>1706</v>
      </c>
      <c r="AT606" s="1">
        <v>936</v>
      </c>
      <c r="AU606" s="3">
        <v>1.92</v>
      </c>
      <c r="AV606" s="4">
        <v>2035</v>
      </c>
      <c r="AW606" s="1">
        <v>1059</v>
      </c>
      <c r="AX606" s="3">
        <v>280047.65000000002</v>
      </c>
      <c r="BB606" t="s">
        <v>84</v>
      </c>
      <c r="BD606" s="3">
        <v>2.29</v>
      </c>
      <c r="BE606" s="4">
        <v>1516</v>
      </c>
      <c r="BF606" s="1">
        <v>663</v>
      </c>
      <c r="BG606" s="1">
        <v>32</v>
      </c>
      <c r="BH606" s="1">
        <v>48</v>
      </c>
      <c r="BI606" s="1">
        <v>32</v>
      </c>
      <c r="BK606" t="s">
        <v>635</v>
      </c>
      <c r="BL606" t="s">
        <v>131</v>
      </c>
    </row>
    <row r="607" spans="1:67" x14ac:dyDescent="0.25">
      <c r="A607" t="s">
        <v>3112</v>
      </c>
      <c r="B607" t="s">
        <v>3113</v>
      </c>
      <c r="C607" s="4">
        <f>(AA607*(H607*0.9))*12</f>
        <v>9051264</v>
      </c>
      <c r="D607" s="4">
        <f>IF(C607=0,"",(H607*150*12)+C607)</f>
        <v>9915264</v>
      </c>
      <c r="E607" s="4">
        <f>IFERROR(D607*0.5,"")</f>
        <v>4957632</v>
      </c>
      <c r="F607" s="4">
        <f>IFERROR(E607/0.06,"")</f>
        <v>82627200</v>
      </c>
      <c r="G607" s="4">
        <f>IFERROR(F607/H607,"")</f>
        <v>172140</v>
      </c>
      <c r="H607" s="1">
        <v>480</v>
      </c>
      <c r="I607" s="1">
        <v>1998</v>
      </c>
      <c r="J607" t="s">
        <v>64</v>
      </c>
      <c r="K607" t="s">
        <v>140</v>
      </c>
      <c r="L607" t="s">
        <v>3114</v>
      </c>
      <c r="M607" t="s">
        <v>3115</v>
      </c>
      <c r="N607" t="s">
        <v>3116</v>
      </c>
      <c r="O607" t="s">
        <v>3114</v>
      </c>
      <c r="P607" s="1">
        <v>4</v>
      </c>
      <c r="Q607" t="s">
        <v>729</v>
      </c>
      <c r="R607" t="s">
        <v>70</v>
      </c>
      <c r="S607" t="s">
        <v>71</v>
      </c>
      <c r="U607" t="s">
        <v>72</v>
      </c>
      <c r="V607" t="s">
        <v>140</v>
      </c>
      <c r="W607" t="s">
        <v>74</v>
      </c>
      <c r="X607" t="s">
        <v>144</v>
      </c>
      <c r="Y607" s="2">
        <v>1020</v>
      </c>
      <c r="Z607" s="3">
        <v>1.71</v>
      </c>
      <c r="AA607" s="4">
        <v>1746</v>
      </c>
      <c r="AK607" s="5">
        <v>8.125</v>
      </c>
      <c r="AN607" s="1">
        <v>2</v>
      </c>
      <c r="AO607" t="s">
        <v>81</v>
      </c>
      <c r="AP607" t="s">
        <v>82</v>
      </c>
      <c r="AQ607" t="s">
        <v>83</v>
      </c>
      <c r="AR607" s="3">
        <v>1.71</v>
      </c>
      <c r="AS607" s="4">
        <v>2010</v>
      </c>
      <c r="AT607" s="1">
        <v>1176</v>
      </c>
      <c r="AU607" s="3">
        <v>1.57</v>
      </c>
      <c r="AV607" s="4">
        <v>2404</v>
      </c>
      <c r="AW607" s="1">
        <v>1530</v>
      </c>
      <c r="AX607" s="3">
        <v>1513276.5</v>
      </c>
      <c r="BB607" t="s">
        <v>84</v>
      </c>
      <c r="BD607" s="3">
        <v>1.75</v>
      </c>
      <c r="BE607" s="4">
        <v>1476</v>
      </c>
      <c r="BF607" s="1">
        <v>846</v>
      </c>
      <c r="BG607" s="1">
        <v>264</v>
      </c>
      <c r="BH607" s="1">
        <v>180</v>
      </c>
      <c r="BI607" s="1">
        <v>36</v>
      </c>
      <c r="BL607" t="s">
        <v>131</v>
      </c>
    </row>
    <row r="608" spans="1:67" x14ac:dyDescent="0.25">
      <c r="A608" t="s">
        <v>407</v>
      </c>
      <c r="B608" t="s">
        <v>408</v>
      </c>
      <c r="C608" s="4">
        <f>(AA608*(H608*0.9))*12</f>
        <v>1229202</v>
      </c>
      <c r="D608" s="4">
        <f>IF(C608=0,"",(H608*150*12)+C608)</f>
        <v>1346202</v>
      </c>
      <c r="E608" s="4">
        <f>IFERROR(D608*0.5,"")</f>
        <v>673101</v>
      </c>
      <c r="F608" s="4">
        <f>IFERROR(E608/0.06,"")</f>
        <v>11218350</v>
      </c>
      <c r="G608" s="4">
        <f>IFERROR(F608/H608,"")</f>
        <v>172590</v>
      </c>
      <c r="H608" s="1">
        <v>65</v>
      </c>
      <c r="I608" s="1">
        <v>1985</v>
      </c>
      <c r="J608" t="s">
        <v>64</v>
      </c>
      <c r="K608" t="s">
        <v>409</v>
      </c>
      <c r="L608" t="s">
        <v>410</v>
      </c>
      <c r="M608" t="s">
        <v>408</v>
      </c>
      <c r="N608" t="s">
        <v>411</v>
      </c>
      <c r="O608" t="s">
        <v>410</v>
      </c>
      <c r="P608" s="1">
        <v>3</v>
      </c>
      <c r="Q608" t="s">
        <v>91</v>
      </c>
      <c r="R608" t="s">
        <v>70</v>
      </c>
      <c r="S608" t="s">
        <v>71</v>
      </c>
      <c r="T608" t="s">
        <v>118</v>
      </c>
      <c r="U608" t="s">
        <v>72</v>
      </c>
      <c r="V608" t="s">
        <v>110</v>
      </c>
      <c r="W608" t="s">
        <v>74</v>
      </c>
      <c r="X608" t="s">
        <v>412</v>
      </c>
      <c r="Y608" s="2">
        <v>1493</v>
      </c>
      <c r="Z608" s="3">
        <v>1.17</v>
      </c>
      <c r="AA608" s="4">
        <v>1751</v>
      </c>
      <c r="AK608" s="5">
        <v>4.6154000000000002</v>
      </c>
      <c r="AN608" s="1">
        <v>2</v>
      </c>
      <c r="AO608" t="s">
        <v>81</v>
      </c>
      <c r="AP608" t="s">
        <v>82</v>
      </c>
      <c r="AQ608" t="s">
        <v>83</v>
      </c>
      <c r="AR608" s="3">
        <v>1.38</v>
      </c>
      <c r="AS608" s="4">
        <v>1567</v>
      </c>
      <c r="AT608" s="1">
        <v>1139</v>
      </c>
      <c r="AU608" s="3">
        <v>1.1200000000000001</v>
      </c>
      <c r="AV608" s="4">
        <v>1819</v>
      </c>
      <c r="AW608" s="1">
        <v>1629</v>
      </c>
      <c r="AX608" s="3">
        <v>178318.4</v>
      </c>
      <c r="BB608" t="s">
        <v>84</v>
      </c>
      <c r="BD608" s="3">
        <v>1.56</v>
      </c>
      <c r="BE608" s="4">
        <v>1364</v>
      </c>
      <c r="BF608" s="1">
        <v>875</v>
      </c>
      <c r="BG608" s="1">
        <v>8</v>
      </c>
      <c r="BH608" s="1">
        <v>12</v>
      </c>
      <c r="BI608" s="1">
        <v>36</v>
      </c>
      <c r="BJ608" s="1">
        <v>8</v>
      </c>
      <c r="BK608" t="s">
        <v>413</v>
      </c>
      <c r="BL608" t="s">
        <v>104</v>
      </c>
      <c r="BM608" s="3">
        <v>1</v>
      </c>
      <c r="BN608" s="4">
        <v>2047</v>
      </c>
      <c r="BO608" s="1">
        <v>2038</v>
      </c>
    </row>
    <row r="609" spans="1:64" x14ac:dyDescent="0.25">
      <c r="A609" t="s">
        <v>4084</v>
      </c>
      <c r="B609" t="s">
        <v>4085</v>
      </c>
      <c r="C609" s="4">
        <f>(AA609*(H609*0.9))*12</f>
        <v>4841164.8000000007</v>
      </c>
      <c r="D609" s="4">
        <f>IF(C609=0,"",(H609*150*12)+C609)</f>
        <v>5301964.8000000007</v>
      </c>
      <c r="E609" s="4">
        <f>IFERROR(D609*0.5,"")</f>
        <v>2650982.4000000004</v>
      </c>
      <c r="F609" s="4">
        <f>IFERROR(E609/0.06,"")</f>
        <v>44183040.000000007</v>
      </c>
      <c r="G609" s="4">
        <f>IFERROR(F609/H609,"")</f>
        <v>172590.00000000003</v>
      </c>
      <c r="H609" s="1">
        <v>256</v>
      </c>
      <c r="I609" s="1">
        <v>1998</v>
      </c>
      <c r="J609" t="s">
        <v>64</v>
      </c>
      <c r="K609" t="s">
        <v>800</v>
      </c>
      <c r="L609" t="s">
        <v>4086</v>
      </c>
      <c r="M609" t="s">
        <v>4087</v>
      </c>
      <c r="N609" t="s">
        <v>4088</v>
      </c>
      <c r="O609" t="s">
        <v>4086</v>
      </c>
      <c r="P609" s="1">
        <v>4</v>
      </c>
      <c r="Q609" t="s">
        <v>729</v>
      </c>
      <c r="R609" t="s">
        <v>70</v>
      </c>
      <c r="S609" t="s">
        <v>71</v>
      </c>
      <c r="U609" t="s">
        <v>72</v>
      </c>
      <c r="V609" t="s">
        <v>800</v>
      </c>
      <c r="W609" t="s">
        <v>74</v>
      </c>
      <c r="X609" t="s">
        <v>803</v>
      </c>
      <c r="Y609" s="2">
        <v>902</v>
      </c>
      <c r="Z609" s="3">
        <v>1.94</v>
      </c>
      <c r="AA609" s="4">
        <v>1751</v>
      </c>
      <c r="AK609" s="5">
        <v>5.0781000000000001</v>
      </c>
      <c r="AN609" s="1">
        <v>2</v>
      </c>
      <c r="AO609" t="s">
        <v>81</v>
      </c>
      <c r="AP609" t="s">
        <v>82</v>
      </c>
      <c r="AQ609" t="s">
        <v>83</v>
      </c>
      <c r="AR609" s="3">
        <v>1.93</v>
      </c>
      <c r="AS609" s="4">
        <v>1883</v>
      </c>
      <c r="AT609" s="1">
        <v>975</v>
      </c>
      <c r="AU609" s="3">
        <v>1.94</v>
      </c>
      <c r="AV609" s="4">
        <v>2370</v>
      </c>
      <c r="AW609" s="1">
        <v>1219</v>
      </c>
      <c r="AX609" s="3">
        <v>266218.56</v>
      </c>
      <c r="BB609" t="s">
        <v>84</v>
      </c>
      <c r="BD609" s="3">
        <v>1.95</v>
      </c>
      <c r="BE609" s="4">
        <v>1509</v>
      </c>
      <c r="BF609" s="1">
        <v>775</v>
      </c>
      <c r="BG609" s="1">
        <v>112</v>
      </c>
      <c r="BH609" s="1">
        <v>128</v>
      </c>
      <c r="BI609" s="1">
        <v>16</v>
      </c>
      <c r="BL609" t="s">
        <v>131</v>
      </c>
    </row>
    <row r="610" spans="1:64" x14ac:dyDescent="0.25">
      <c r="A610" t="s">
        <v>3940</v>
      </c>
      <c r="B610" t="s">
        <v>3941</v>
      </c>
      <c r="C610" s="4">
        <f>(AA610*(H610*0.9))*12</f>
        <v>3048116.4000000004</v>
      </c>
      <c r="D610" s="4">
        <f>IF(C610=0,"",(H610*150*12)+C610)</f>
        <v>3337916.4000000004</v>
      </c>
      <c r="E610" s="4">
        <f>IFERROR(D610*0.5,"")</f>
        <v>1668958.2000000002</v>
      </c>
      <c r="F610" s="4">
        <f>IFERROR(E610/0.06,"")</f>
        <v>27815970.000000004</v>
      </c>
      <c r="G610" s="4">
        <f>IFERROR(F610/H610,"")</f>
        <v>172770.00000000003</v>
      </c>
      <c r="H610" s="1">
        <v>161</v>
      </c>
      <c r="I610" s="1">
        <v>2000</v>
      </c>
      <c r="J610" t="s">
        <v>64</v>
      </c>
      <c r="K610" t="s">
        <v>3597</v>
      </c>
      <c r="L610" t="s">
        <v>1038</v>
      </c>
      <c r="M610" t="s">
        <v>3942</v>
      </c>
      <c r="N610" t="s">
        <v>1038</v>
      </c>
      <c r="O610" t="s">
        <v>1038</v>
      </c>
      <c r="P610" s="1">
        <v>4</v>
      </c>
      <c r="Q610" t="s">
        <v>729</v>
      </c>
      <c r="R610" t="s">
        <v>70</v>
      </c>
      <c r="S610" t="s">
        <v>71</v>
      </c>
      <c r="U610" t="s">
        <v>72</v>
      </c>
      <c r="V610" t="s">
        <v>3597</v>
      </c>
      <c r="W610" t="s">
        <v>74</v>
      </c>
      <c r="X610" t="s">
        <v>3943</v>
      </c>
      <c r="Y610" s="2">
        <v>1045</v>
      </c>
      <c r="Z610" s="3">
        <v>1.68</v>
      </c>
      <c r="AA610" s="4">
        <v>1753</v>
      </c>
      <c r="AK610" s="5">
        <v>11.8012</v>
      </c>
      <c r="AN610" s="1">
        <v>4</v>
      </c>
      <c r="AO610" t="s">
        <v>81</v>
      </c>
      <c r="AP610" t="s">
        <v>82</v>
      </c>
      <c r="AQ610" t="s">
        <v>83</v>
      </c>
      <c r="AR610" s="3">
        <v>1.6</v>
      </c>
      <c r="AS610" s="4">
        <v>1925</v>
      </c>
      <c r="AT610" s="1">
        <v>1200</v>
      </c>
      <c r="AX610" s="3">
        <v>628359.48</v>
      </c>
      <c r="BB610" t="s">
        <v>84</v>
      </c>
      <c r="BD610" s="3">
        <v>1.76</v>
      </c>
      <c r="BE610" s="4">
        <v>1599</v>
      </c>
      <c r="BF610" s="1">
        <v>907</v>
      </c>
      <c r="BG610" s="1">
        <v>85</v>
      </c>
      <c r="BH610" s="1">
        <v>76</v>
      </c>
    </row>
    <row r="611" spans="1:64" x14ac:dyDescent="0.25">
      <c r="A611" t="s">
        <v>2612</v>
      </c>
      <c r="B611" t="s">
        <v>2613</v>
      </c>
      <c r="C611" s="4">
        <f>(AA611*(H611*0.9))*12</f>
        <v>4248115.1999999993</v>
      </c>
      <c r="D611" s="4">
        <f>IF(C611=0,"",(H611*150*12)+C611)</f>
        <v>4651315.1999999993</v>
      </c>
      <c r="E611" s="4">
        <f>IFERROR(D611*0.5,"")</f>
        <v>2325657.5999999996</v>
      </c>
      <c r="F611" s="4">
        <f>IFERROR(E611/0.06,"")</f>
        <v>38760959.999999993</v>
      </c>
      <c r="G611" s="4">
        <f>IFERROR(F611/H611,"")</f>
        <v>173039.99999999997</v>
      </c>
      <c r="H611" s="1">
        <v>224</v>
      </c>
      <c r="I611" s="1">
        <v>1996</v>
      </c>
      <c r="J611" t="s">
        <v>64</v>
      </c>
      <c r="K611" t="s">
        <v>734</v>
      </c>
      <c r="L611" t="s">
        <v>2614</v>
      </c>
      <c r="M611" t="s">
        <v>2615</v>
      </c>
      <c r="N611" t="s">
        <v>2616</v>
      </c>
      <c r="O611" t="s">
        <v>2614</v>
      </c>
      <c r="P611" s="1">
        <v>4</v>
      </c>
      <c r="Q611" t="s">
        <v>91</v>
      </c>
      <c r="R611" t="s">
        <v>70</v>
      </c>
      <c r="S611" t="s">
        <v>71</v>
      </c>
      <c r="U611" t="s">
        <v>72</v>
      </c>
      <c r="V611" t="s">
        <v>73</v>
      </c>
      <c r="W611" t="s">
        <v>74</v>
      </c>
      <c r="X611" t="s">
        <v>2617</v>
      </c>
      <c r="Y611" s="2">
        <v>962</v>
      </c>
      <c r="Z611" s="3">
        <v>1.82</v>
      </c>
      <c r="AA611" s="4">
        <v>1756</v>
      </c>
      <c r="AK611" s="5">
        <v>4.0179</v>
      </c>
      <c r="AN611" s="1">
        <v>2</v>
      </c>
      <c r="AO611" t="s">
        <v>81</v>
      </c>
      <c r="AP611" t="s">
        <v>82</v>
      </c>
      <c r="AQ611" t="s">
        <v>83</v>
      </c>
      <c r="AR611" s="3">
        <v>1.82</v>
      </c>
      <c r="AS611" s="4">
        <v>2055</v>
      </c>
      <c r="AT611" s="1">
        <v>1132</v>
      </c>
      <c r="AU611" s="3">
        <v>1.76</v>
      </c>
      <c r="AV611" s="4">
        <v>2268</v>
      </c>
      <c r="AW611" s="1">
        <v>1287</v>
      </c>
      <c r="AX611" s="3">
        <v>740275.67</v>
      </c>
      <c r="BB611" t="s">
        <v>84</v>
      </c>
      <c r="BD611" s="3">
        <v>1.83</v>
      </c>
      <c r="BE611" s="4">
        <v>1513</v>
      </c>
      <c r="BF611" s="1">
        <v>828</v>
      </c>
      <c r="BG611" s="1">
        <v>131</v>
      </c>
      <c r="BH611" s="1">
        <v>81</v>
      </c>
      <c r="BI611" s="1">
        <v>12</v>
      </c>
      <c r="BL611" t="s">
        <v>131</v>
      </c>
    </row>
    <row r="612" spans="1:64" x14ac:dyDescent="0.25">
      <c r="A612" t="s">
        <v>2229</v>
      </c>
      <c r="B612" t="s">
        <v>2230</v>
      </c>
      <c r="C612" s="4">
        <f>(AA612*(H612*0.9))*12</f>
        <v>11481361.200000001</v>
      </c>
      <c r="D612" s="4">
        <f>IF(C612=0,"",(H612*150*12)+C612)</f>
        <v>12566761.200000001</v>
      </c>
      <c r="E612" s="4">
        <f>IFERROR(D612*0.5,"")</f>
        <v>6283380.6000000006</v>
      </c>
      <c r="F612" s="4">
        <f>IFERROR(E612/0.06,"")</f>
        <v>104723010.00000001</v>
      </c>
      <c r="G612" s="4">
        <f>IFERROR(F612/H612,"")</f>
        <v>173670.00000000003</v>
      </c>
      <c r="H612" s="1">
        <v>603</v>
      </c>
      <c r="I612" s="1">
        <v>1999</v>
      </c>
      <c r="J612" t="s">
        <v>64</v>
      </c>
      <c r="K612" t="s">
        <v>1133</v>
      </c>
      <c r="L612" t="s">
        <v>2231</v>
      </c>
      <c r="M612" t="s">
        <v>2232</v>
      </c>
      <c r="N612" t="s">
        <v>2233</v>
      </c>
      <c r="O612" t="s">
        <v>2231</v>
      </c>
      <c r="P612" s="1">
        <v>4</v>
      </c>
      <c r="Q612" t="s">
        <v>91</v>
      </c>
      <c r="R612" t="s">
        <v>70</v>
      </c>
      <c r="S612" t="s">
        <v>71</v>
      </c>
      <c r="U612" t="s">
        <v>72</v>
      </c>
      <c r="V612" t="s">
        <v>814</v>
      </c>
      <c r="W612" t="s">
        <v>74</v>
      </c>
      <c r="X612" t="s">
        <v>2234</v>
      </c>
      <c r="Y612" s="2">
        <v>990</v>
      </c>
      <c r="Z612" s="3">
        <v>1.78</v>
      </c>
      <c r="AA612" s="4">
        <v>1763</v>
      </c>
      <c r="AK612" s="5">
        <v>9.2868999999999993</v>
      </c>
      <c r="AN612" s="1">
        <v>3</v>
      </c>
      <c r="AO612" t="s">
        <v>81</v>
      </c>
      <c r="AP612" t="s">
        <v>82</v>
      </c>
      <c r="AQ612" t="s">
        <v>83</v>
      </c>
      <c r="AR612" s="3">
        <v>1.75</v>
      </c>
      <c r="AS612" s="4">
        <v>1952</v>
      </c>
      <c r="AT612" s="1">
        <v>1117</v>
      </c>
      <c r="AU612" s="3">
        <v>1.56</v>
      </c>
      <c r="AV612" s="4">
        <v>2410</v>
      </c>
      <c r="AW612" s="1">
        <v>1543</v>
      </c>
      <c r="AX612" s="3">
        <v>2580861.6800000002</v>
      </c>
      <c r="BB612" t="s">
        <v>84</v>
      </c>
      <c r="BD612" s="3">
        <v>1.89</v>
      </c>
      <c r="BE612" s="4">
        <v>1506</v>
      </c>
      <c r="BF612" s="1">
        <v>796</v>
      </c>
      <c r="BG612" s="1">
        <v>316</v>
      </c>
      <c r="BH612" s="1">
        <v>228</v>
      </c>
      <c r="BI612" s="1">
        <v>59</v>
      </c>
      <c r="BK612" t="s">
        <v>2235</v>
      </c>
      <c r="BL612" t="s">
        <v>131</v>
      </c>
    </row>
    <row r="613" spans="1:64" x14ac:dyDescent="0.25">
      <c r="A613" t="s">
        <v>2184</v>
      </c>
      <c r="B613" t="s">
        <v>2185</v>
      </c>
      <c r="C613" s="4">
        <f>(AA613*(H613*0.9))*12</f>
        <v>4315334.4000000004</v>
      </c>
      <c r="D613" s="4">
        <f>IF(C613=0,"",(H613*150*12)+C613)</f>
        <v>4722134.4000000004</v>
      </c>
      <c r="E613" s="4">
        <f>IFERROR(D613*0.5,"")</f>
        <v>2361067.2000000002</v>
      </c>
      <c r="F613" s="4">
        <f>IFERROR(E613/0.06,"")</f>
        <v>39351120.000000007</v>
      </c>
      <c r="G613" s="4">
        <f>IFERROR(F613/H613,"")</f>
        <v>174120.00000000003</v>
      </c>
      <c r="H613" s="1">
        <v>226</v>
      </c>
      <c r="I613" s="1">
        <v>1998</v>
      </c>
      <c r="J613" t="s">
        <v>64</v>
      </c>
      <c r="K613" t="s">
        <v>177</v>
      </c>
      <c r="L613" t="s">
        <v>250</v>
      </c>
      <c r="M613" t="s">
        <v>2186</v>
      </c>
      <c r="N613" t="s">
        <v>2187</v>
      </c>
      <c r="O613" t="s">
        <v>250</v>
      </c>
      <c r="P613" s="1">
        <v>4</v>
      </c>
      <c r="Q613" t="s">
        <v>91</v>
      </c>
      <c r="R613" t="s">
        <v>70</v>
      </c>
      <c r="S613" t="s">
        <v>71</v>
      </c>
      <c r="U613" t="s">
        <v>72</v>
      </c>
      <c r="V613" t="s">
        <v>172</v>
      </c>
      <c r="W613" t="s">
        <v>74</v>
      </c>
      <c r="X613" t="s">
        <v>189</v>
      </c>
      <c r="Y613" s="2">
        <v>895</v>
      </c>
      <c r="Z613" s="3">
        <v>1.97</v>
      </c>
      <c r="AA613" s="4">
        <v>1768</v>
      </c>
      <c r="AK613" s="5">
        <v>7.9645999999999999</v>
      </c>
      <c r="AN613" s="1">
        <v>2</v>
      </c>
      <c r="AO613" t="s">
        <v>81</v>
      </c>
      <c r="AP613" t="s">
        <v>82</v>
      </c>
      <c r="AQ613" t="s">
        <v>83</v>
      </c>
      <c r="AR613" s="3">
        <v>1.85</v>
      </c>
      <c r="AS613" s="4">
        <v>2036</v>
      </c>
      <c r="AT613" s="1">
        <v>1100</v>
      </c>
      <c r="AX613" s="3">
        <v>380881.8</v>
      </c>
      <c r="BB613" t="s">
        <v>84</v>
      </c>
      <c r="BD613" s="3">
        <v>2.0699999999999998</v>
      </c>
      <c r="BE613" s="4">
        <v>1615</v>
      </c>
      <c r="BF613" s="1">
        <v>779</v>
      </c>
      <c r="BG613" s="1">
        <v>144</v>
      </c>
      <c r="BH613" s="1">
        <v>82</v>
      </c>
    </row>
    <row r="614" spans="1:64" x14ac:dyDescent="0.25">
      <c r="A614" t="s">
        <v>3694</v>
      </c>
      <c r="B614" t="s">
        <v>3695</v>
      </c>
      <c r="C614" s="4">
        <f>(AA614*(H614*0.9))*12</f>
        <v>5273035.2</v>
      </c>
      <c r="D614" s="4">
        <f>IF(C614=0,"",(H614*150*12)+C614)</f>
        <v>5769835.2000000002</v>
      </c>
      <c r="E614" s="4">
        <f>IFERROR(D614*0.5,"")</f>
        <v>2884917.6</v>
      </c>
      <c r="F614" s="4">
        <f>IFERROR(E614/0.06,"")</f>
        <v>48081960</v>
      </c>
      <c r="G614" s="4">
        <f>IFERROR(F614/H614,"")</f>
        <v>174210</v>
      </c>
      <c r="H614" s="1">
        <v>276</v>
      </c>
      <c r="I614" s="1">
        <v>1996</v>
      </c>
      <c r="J614" t="s">
        <v>64</v>
      </c>
      <c r="K614" t="s">
        <v>140</v>
      </c>
      <c r="L614" t="s">
        <v>2395</v>
      </c>
      <c r="M614" t="s">
        <v>3696</v>
      </c>
      <c r="N614" t="s">
        <v>3697</v>
      </c>
      <c r="O614" t="s">
        <v>2395</v>
      </c>
      <c r="P614" s="1">
        <v>3</v>
      </c>
      <c r="Q614" t="s">
        <v>91</v>
      </c>
      <c r="R614" t="s">
        <v>70</v>
      </c>
      <c r="S614" t="s">
        <v>71</v>
      </c>
      <c r="U614" t="s">
        <v>72</v>
      </c>
      <c r="V614" t="s">
        <v>140</v>
      </c>
      <c r="W614" t="s">
        <v>74</v>
      </c>
      <c r="X614" t="s">
        <v>1535</v>
      </c>
      <c r="Y614" s="2">
        <v>863</v>
      </c>
      <c r="Z614" s="3">
        <v>2.0499999999999998</v>
      </c>
      <c r="AA614" s="4">
        <v>1769</v>
      </c>
      <c r="AK614" s="5">
        <v>5.4348000000000001</v>
      </c>
      <c r="AN614" s="1">
        <v>2</v>
      </c>
      <c r="AO614" t="s">
        <v>81</v>
      </c>
      <c r="AP614" t="s">
        <v>82</v>
      </c>
      <c r="AQ614" t="s">
        <v>83</v>
      </c>
      <c r="AR614" s="3">
        <v>1.97</v>
      </c>
      <c r="AS614" s="4">
        <v>1987</v>
      </c>
      <c r="AT614" s="1">
        <v>1008</v>
      </c>
      <c r="AU614" s="3">
        <v>1.86</v>
      </c>
      <c r="AV614" s="4">
        <v>2546</v>
      </c>
      <c r="AW614" s="1">
        <v>1372</v>
      </c>
      <c r="AX614" s="3">
        <v>811762.7</v>
      </c>
      <c r="BB614" t="s">
        <v>84</v>
      </c>
      <c r="BD614" s="3">
        <v>2.14</v>
      </c>
      <c r="BE614" s="4">
        <v>1581</v>
      </c>
      <c r="BF614" s="1">
        <v>738</v>
      </c>
      <c r="BG614" s="1">
        <v>162</v>
      </c>
      <c r="BH614" s="1">
        <v>104</v>
      </c>
      <c r="BI614" s="1">
        <v>10</v>
      </c>
    </row>
    <row r="615" spans="1:64" x14ac:dyDescent="0.25">
      <c r="A615" t="s">
        <v>3451</v>
      </c>
      <c r="B615" t="s">
        <v>3452</v>
      </c>
      <c r="C615" s="4">
        <f>(AA615*(H615*0.9))*12</f>
        <v>5753916.0000000009</v>
      </c>
      <c r="D615" s="4">
        <f>IF(C615=0,"",(H615*150*12)+C615)</f>
        <v>6295716.0000000009</v>
      </c>
      <c r="E615" s="4">
        <f>IFERROR(D615*0.5,"")</f>
        <v>3147858.0000000005</v>
      </c>
      <c r="F615" s="4">
        <f>IFERROR(E615/0.06,"")</f>
        <v>52464300.000000007</v>
      </c>
      <c r="G615" s="4">
        <f>IFERROR(F615/H615,"")</f>
        <v>174300.00000000003</v>
      </c>
      <c r="H615" s="1">
        <v>301</v>
      </c>
      <c r="I615" s="1">
        <v>1997</v>
      </c>
      <c r="J615" t="s">
        <v>64</v>
      </c>
      <c r="K615" t="s">
        <v>3453</v>
      </c>
      <c r="L615" t="s">
        <v>3454</v>
      </c>
      <c r="M615" t="s">
        <v>3455</v>
      </c>
      <c r="N615" t="s">
        <v>3456</v>
      </c>
      <c r="O615" t="s">
        <v>3454</v>
      </c>
      <c r="P615" s="1">
        <v>4</v>
      </c>
      <c r="Q615" t="s">
        <v>729</v>
      </c>
      <c r="R615" t="s">
        <v>70</v>
      </c>
      <c r="S615" t="s">
        <v>71</v>
      </c>
      <c r="U615" t="s">
        <v>72</v>
      </c>
      <c r="V615" t="s">
        <v>73</v>
      </c>
      <c r="W615" t="s">
        <v>74</v>
      </c>
      <c r="X615" t="s">
        <v>2872</v>
      </c>
      <c r="Y615" s="2">
        <v>1076</v>
      </c>
      <c r="Z615" s="3">
        <v>1.64</v>
      </c>
      <c r="AA615" s="4">
        <v>1770</v>
      </c>
      <c r="AK615" s="5">
        <v>13.6213</v>
      </c>
      <c r="AN615" s="1">
        <v>3</v>
      </c>
      <c r="AO615" t="s">
        <v>81</v>
      </c>
      <c r="AP615" t="s">
        <v>82</v>
      </c>
      <c r="AQ615" t="s">
        <v>83</v>
      </c>
      <c r="AR615" s="3">
        <v>1.66</v>
      </c>
      <c r="AS615" s="4">
        <v>2082</v>
      </c>
      <c r="AT615" s="1">
        <v>1253</v>
      </c>
      <c r="AU615" s="3">
        <v>1.57</v>
      </c>
      <c r="AV615" s="4">
        <v>2432</v>
      </c>
      <c r="AW615" s="1">
        <v>1553</v>
      </c>
      <c r="AX615" s="3">
        <v>1387841.89</v>
      </c>
      <c r="BB615" t="s">
        <v>84</v>
      </c>
      <c r="BD615" s="3">
        <v>1.68</v>
      </c>
      <c r="BE615" s="4">
        <v>1394</v>
      </c>
      <c r="BF615" s="1">
        <v>829</v>
      </c>
      <c r="BG615" s="1">
        <v>165</v>
      </c>
      <c r="BH615" s="1">
        <v>80</v>
      </c>
      <c r="BI615" s="1">
        <v>56</v>
      </c>
      <c r="BK615" t="s">
        <v>650</v>
      </c>
      <c r="BL615" t="s">
        <v>104</v>
      </c>
    </row>
    <row r="616" spans="1:64" x14ac:dyDescent="0.25">
      <c r="A616" t="s">
        <v>2904</v>
      </c>
      <c r="B616" t="s">
        <v>2905</v>
      </c>
      <c r="C616" s="4">
        <f>(AA616*(H616*0.9))*12</f>
        <v>3467815.2</v>
      </c>
      <c r="D616" s="4">
        <f>IF(C616=0,"",(H616*150*12)+C616)</f>
        <v>3793615.2</v>
      </c>
      <c r="E616" s="4">
        <f>IFERROR(D616*0.5,"")</f>
        <v>1896807.6</v>
      </c>
      <c r="F616" s="4">
        <f>IFERROR(E616/0.06,"")</f>
        <v>31613460.000000004</v>
      </c>
      <c r="G616" s="4">
        <f>IFERROR(F616/H616,"")</f>
        <v>174660.00000000003</v>
      </c>
      <c r="H616" s="1">
        <v>181</v>
      </c>
      <c r="I616" s="1">
        <v>1998</v>
      </c>
      <c r="J616" t="s">
        <v>64</v>
      </c>
      <c r="K616" t="s">
        <v>87</v>
      </c>
      <c r="L616" t="s">
        <v>801</v>
      </c>
      <c r="M616" t="s">
        <v>2906</v>
      </c>
      <c r="N616" t="s">
        <v>2907</v>
      </c>
      <c r="O616" t="s">
        <v>801</v>
      </c>
      <c r="P616" s="1">
        <v>4</v>
      </c>
      <c r="Q616" t="s">
        <v>91</v>
      </c>
      <c r="R616" t="s">
        <v>70</v>
      </c>
      <c r="S616" t="s">
        <v>71</v>
      </c>
      <c r="U616" t="s">
        <v>72</v>
      </c>
      <c r="V616" t="s">
        <v>73</v>
      </c>
      <c r="W616" t="s">
        <v>74</v>
      </c>
      <c r="X616" t="s">
        <v>92</v>
      </c>
      <c r="Y616" s="2">
        <v>834</v>
      </c>
      <c r="Z616" s="3">
        <v>2.12</v>
      </c>
      <c r="AA616" s="4">
        <v>1774</v>
      </c>
      <c r="AK616" s="5">
        <v>8.8398000000000003</v>
      </c>
      <c r="AN616" s="1">
        <v>4</v>
      </c>
      <c r="AO616" t="s">
        <v>81</v>
      </c>
      <c r="AP616" t="s">
        <v>82</v>
      </c>
      <c r="AQ616" t="s">
        <v>83</v>
      </c>
      <c r="AR616" s="3">
        <v>1.94</v>
      </c>
      <c r="AS616" s="4">
        <v>2124</v>
      </c>
      <c r="AT616" s="1">
        <v>1096</v>
      </c>
      <c r="AU616" s="3">
        <v>1.66</v>
      </c>
      <c r="AV616" s="4">
        <v>2544</v>
      </c>
      <c r="AW616" s="1">
        <v>1531</v>
      </c>
      <c r="AX616" s="3">
        <v>897191.8</v>
      </c>
      <c r="AY616" s="3">
        <v>2.4500000000000002</v>
      </c>
      <c r="AZ616" s="4">
        <v>1438</v>
      </c>
      <c r="BA616" s="6">
        <v>586</v>
      </c>
      <c r="BB616" t="s">
        <v>84</v>
      </c>
      <c r="BD616" s="3">
        <v>2.15</v>
      </c>
      <c r="BE616" s="4">
        <v>1828</v>
      </c>
      <c r="BF616" s="1">
        <v>851</v>
      </c>
      <c r="BG616" s="1">
        <v>78</v>
      </c>
      <c r="BH616" s="1">
        <v>20</v>
      </c>
      <c r="BI616" s="1">
        <v>15</v>
      </c>
    </row>
    <row r="617" spans="1:64" x14ac:dyDescent="0.25">
      <c r="A617" t="s">
        <v>3791</v>
      </c>
      <c r="B617" t="s">
        <v>3792</v>
      </c>
      <c r="C617" s="4">
        <f>(AA617*(H617*0.9))*12</f>
        <v>8243100</v>
      </c>
      <c r="D617" s="4">
        <f>IF(C617=0,"",(H617*150*12)+C617)</f>
        <v>9017100</v>
      </c>
      <c r="E617" s="4">
        <f>IFERROR(D617*0.5,"")</f>
        <v>4508550</v>
      </c>
      <c r="F617" s="4">
        <f>IFERROR(E617/0.06,"")</f>
        <v>75142500</v>
      </c>
      <c r="G617" s="4">
        <f>IFERROR(F617/H617,"")</f>
        <v>174750</v>
      </c>
      <c r="H617" s="1">
        <v>430</v>
      </c>
      <c r="I617" s="1">
        <v>1999</v>
      </c>
      <c r="J617" t="s">
        <v>64</v>
      </c>
      <c r="K617" t="s">
        <v>841</v>
      </c>
      <c r="L617" t="s">
        <v>697</v>
      </c>
      <c r="M617" t="s">
        <v>3793</v>
      </c>
      <c r="N617" t="s">
        <v>3794</v>
      </c>
      <c r="O617" t="s">
        <v>697</v>
      </c>
      <c r="P617" s="1">
        <v>3</v>
      </c>
      <c r="Q617" t="s">
        <v>91</v>
      </c>
      <c r="R617" t="s">
        <v>70</v>
      </c>
      <c r="S617" t="s">
        <v>71</v>
      </c>
      <c r="U617" t="s">
        <v>72</v>
      </c>
      <c r="V617" t="s">
        <v>841</v>
      </c>
      <c r="W617" t="s">
        <v>74</v>
      </c>
      <c r="X617" t="s">
        <v>3183</v>
      </c>
      <c r="Y617" s="2">
        <v>915</v>
      </c>
      <c r="Z617" s="3">
        <v>1.94</v>
      </c>
      <c r="AA617" s="4">
        <v>1775</v>
      </c>
      <c r="AK617" s="5">
        <v>5.8140000000000001</v>
      </c>
      <c r="AN617" s="1">
        <v>3</v>
      </c>
      <c r="AO617" t="s">
        <v>81</v>
      </c>
      <c r="AP617" t="s">
        <v>82</v>
      </c>
      <c r="AQ617" t="s">
        <v>83</v>
      </c>
      <c r="AR617" s="3">
        <v>1.83</v>
      </c>
      <c r="AS617" s="4">
        <v>2007</v>
      </c>
      <c r="AT617" s="1">
        <v>1095</v>
      </c>
      <c r="AU617" s="3">
        <v>1.72</v>
      </c>
      <c r="AV617" s="4">
        <v>2393</v>
      </c>
      <c r="AW617" s="1">
        <v>1388</v>
      </c>
      <c r="AX617" s="3">
        <v>1154405.72</v>
      </c>
      <c r="BB617" t="s">
        <v>84</v>
      </c>
      <c r="BD617" s="3">
        <v>2.0499999999999998</v>
      </c>
      <c r="BE617" s="4">
        <v>1595</v>
      </c>
      <c r="BF617" s="1">
        <v>778</v>
      </c>
      <c r="BG617" s="1">
        <v>280</v>
      </c>
      <c r="BH617" s="1">
        <v>110</v>
      </c>
      <c r="BI617" s="1">
        <v>40</v>
      </c>
      <c r="BK617" t="s">
        <v>3795</v>
      </c>
      <c r="BL617" t="s">
        <v>643</v>
      </c>
    </row>
    <row r="618" spans="1:64" x14ac:dyDescent="0.25">
      <c r="A618" t="s">
        <v>3918</v>
      </c>
      <c r="B618" t="s">
        <v>3919</v>
      </c>
      <c r="C618" s="4">
        <f>(AA618*(H618*0.9))*12</f>
        <v>3989606.4000000004</v>
      </c>
      <c r="D618" s="4">
        <f>IF(C618=0,"",(H618*150*12)+C618)</f>
        <v>4364006.4000000004</v>
      </c>
      <c r="E618" s="4">
        <f>IFERROR(D618*0.5,"")</f>
        <v>2182003.2000000002</v>
      </c>
      <c r="F618" s="4">
        <f>IFERROR(E618/0.06,"")</f>
        <v>36366720.000000007</v>
      </c>
      <c r="G618" s="4">
        <f>IFERROR(F618/H618,"")</f>
        <v>174840.00000000003</v>
      </c>
      <c r="H618" s="1">
        <v>208</v>
      </c>
      <c r="I618" s="1">
        <v>1999</v>
      </c>
      <c r="J618" t="s">
        <v>64</v>
      </c>
      <c r="K618" t="s">
        <v>140</v>
      </c>
      <c r="L618" t="s">
        <v>2057</v>
      </c>
      <c r="M618" t="s">
        <v>3920</v>
      </c>
      <c r="N618" t="s">
        <v>3921</v>
      </c>
      <c r="O618" t="s">
        <v>2057</v>
      </c>
      <c r="P618" s="1">
        <v>4</v>
      </c>
      <c r="Q618" t="s">
        <v>91</v>
      </c>
      <c r="R618" t="s">
        <v>70</v>
      </c>
      <c r="S618" t="s">
        <v>71</v>
      </c>
      <c r="U618" t="s">
        <v>72</v>
      </c>
      <c r="V618" t="s">
        <v>140</v>
      </c>
      <c r="W618" t="s">
        <v>74</v>
      </c>
      <c r="X618" t="s">
        <v>565</v>
      </c>
      <c r="Y618" s="2">
        <v>1194</v>
      </c>
      <c r="Z618" s="3">
        <v>1.49</v>
      </c>
      <c r="AA618" s="4">
        <v>1776</v>
      </c>
      <c r="AK618" s="5">
        <v>7.6923000000000004</v>
      </c>
      <c r="AN618" s="1">
        <v>2</v>
      </c>
      <c r="AO618" t="s">
        <v>81</v>
      </c>
      <c r="AP618" t="s">
        <v>82</v>
      </c>
      <c r="AQ618" t="s">
        <v>83</v>
      </c>
      <c r="AR618" s="3">
        <v>1.5</v>
      </c>
      <c r="AS618" s="4">
        <v>1873</v>
      </c>
      <c r="AT618" s="1">
        <v>1247</v>
      </c>
      <c r="AU618" s="3">
        <v>1.47</v>
      </c>
      <c r="AV618" s="4">
        <v>2294</v>
      </c>
      <c r="AW618" s="1">
        <v>1557</v>
      </c>
      <c r="AX618" s="3">
        <v>667653.69999999995</v>
      </c>
      <c r="BB618" t="s">
        <v>84</v>
      </c>
      <c r="BD618" s="3">
        <v>1.47</v>
      </c>
      <c r="BE618" s="4">
        <v>1358</v>
      </c>
      <c r="BF618" s="1">
        <v>923</v>
      </c>
      <c r="BG618" s="1">
        <v>72</v>
      </c>
      <c r="BH618" s="1">
        <v>96</v>
      </c>
      <c r="BI618" s="1">
        <v>40</v>
      </c>
      <c r="BK618" t="s">
        <v>3617</v>
      </c>
      <c r="BL618" t="s">
        <v>104</v>
      </c>
    </row>
    <row r="619" spans="1:64" x14ac:dyDescent="0.25">
      <c r="A619" t="s">
        <v>1491</v>
      </c>
      <c r="B619" t="s">
        <v>1492</v>
      </c>
      <c r="C619" s="4">
        <f>(AA619*(H619*0.9))*12</f>
        <v>1899968.4000000001</v>
      </c>
      <c r="D619" s="4">
        <f>IF(C619=0,"",(H619*150*12)+C619)</f>
        <v>2078168.4000000001</v>
      </c>
      <c r="E619" s="4">
        <f>IFERROR(D619*0.5,"")</f>
        <v>1039084.2000000001</v>
      </c>
      <c r="F619" s="4">
        <f>IFERROR(E619/0.06,"")</f>
        <v>17318070</v>
      </c>
      <c r="G619" s="4">
        <f>IFERROR(F619/H619,"")</f>
        <v>174930</v>
      </c>
      <c r="H619" s="1">
        <v>99</v>
      </c>
      <c r="I619" s="1">
        <v>1987</v>
      </c>
      <c r="J619" t="s">
        <v>64</v>
      </c>
      <c r="K619" t="s">
        <v>477</v>
      </c>
      <c r="L619" t="s">
        <v>1493</v>
      </c>
      <c r="M619" t="s">
        <v>1494</v>
      </c>
      <c r="N619" t="s">
        <v>1495</v>
      </c>
      <c r="O619" t="s">
        <v>1493</v>
      </c>
      <c r="P619" s="1">
        <v>2</v>
      </c>
      <c r="Q619" t="s">
        <v>69</v>
      </c>
      <c r="R619" t="s">
        <v>70</v>
      </c>
      <c r="S619" t="s">
        <v>71</v>
      </c>
      <c r="U619" t="s">
        <v>72</v>
      </c>
      <c r="V619" t="s">
        <v>110</v>
      </c>
      <c r="W619" t="s">
        <v>74</v>
      </c>
      <c r="X619" t="s">
        <v>480</v>
      </c>
      <c r="Y619" s="2">
        <v>514</v>
      </c>
      <c r="Z619" s="3">
        <v>3.45</v>
      </c>
      <c r="AA619" s="4">
        <v>1777</v>
      </c>
      <c r="AK619" s="5">
        <v>19.1919</v>
      </c>
      <c r="AN619" s="1">
        <v>2</v>
      </c>
      <c r="AO619" t="s">
        <v>81</v>
      </c>
      <c r="AP619" t="s">
        <v>82</v>
      </c>
      <c r="AQ619" t="s">
        <v>83</v>
      </c>
      <c r="AR619" s="3">
        <v>3.28</v>
      </c>
      <c r="AS619" s="4">
        <v>2627</v>
      </c>
      <c r="AT619" s="1">
        <v>800</v>
      </c>
      <c r="AX619" s="3">
        <v>174846.4</v>
      </c>
      <c r="AY619" s="3">
        <v>3.4</v>
      </c>
      <c r="AZ619" s="4">
        <v>1617</v>
      </c>
      <c r="BA619" s="6">
        <v>475</v>
      </c>
      <c r="BB619" t="s">
        <v>84</v>
      </c>
      <c r="BD619" s="3">
        <v>4.04</v>
      </c>
      <c r="BE619" s="4">
        <v>2194</v>
      </c>
      <c r="BF619" s="1">
        <v>543</v>
      </c>
      <c r="BG619" s="1">
        <v>10</v>
      </c>
      <c r="BH619" s="1">
        <v>10</v>
      </c>
    </row>
    <row r="620" spans="1:64" x14ac:dyDescent="0.25">
      <c r="A620" t="s">
        <v>3281</v>
      </c>
      <c r="B620" t="s">
        <v>3282</v>
      </c>
      <c r="C620" s="4">
        <f>(AA620*(H620*0.9))*12</f>
        <v>7599873.6000000006</v>
      </c>
      <c r="D620" s="4">
        <f>IF(C620=0,"",(H620*150*12)+C620)</f>
        <v>8312673.6000000006</v>
      </c>
      <c r="E620" s="4">
        <f>IFERROR(D620*0.5,"")</f>
        <v>4156336.8000000003</v>
      </c>
      <c r="F620" s="4">
        <f>IFERROR(E620/0.06,"")</f>
        <v>69272280</v>
      </c>
      <c r="G620" s="4">
        <f>IFERROR(F620/H620,"")</f>
        <v>174930</v>
      </c>
      <c r="H620" s="1">
        <v>396</v>
      </c>
      <c r="I620" s="1">
        <v>1997</v>
      </c>
      <c r="J620" t="s">
        <v>64</v>
      </c>
      <c r="K620" t="s">
        <v>1133</v>
      </c>
      <c r="L620" t="s">
        <v>801</v>
      </c>
      <c r="M620" t="s">
        <v>3283</v>
      </c>
      <c r="N620" t="s">
        <v>3284</v>
      </c>
      <c r="O620" t="s">
        <v>801</v>
      </c>
      <c r="P620" s="1">
        <v>3</v>
      </c>
      <c r="Q620" t="s">
        <v>91</v>
      </c>
      <c r="R620" t="s">
        <v>70</v>
      </c>
      <c r="S620" t="s">
        <v>71</v>
      </c>
      <c r="U620" t="s">
        <v>72</v>
      </c>
      <c r="V620" t="s">
        <v>264</v>
      </c>
      <c r="W620" t="s">
        <v>74</v>
      </c>
      <c r="X620" t="s">
        <v>1594</v>
      </c>
      <c r="Y620" s="2">
        <v>1160</v>
      </c>
      <c r="Z620" s="3">
        <v>1.53</v>
      </c>
      <c r="AA620" s="4">
        <v>1777</v>
      </c>
      <c r="AK620" s="5">
        <v>5.5556000000000001</v>
      </c>
      <c r="AN620" s="1">
        <v>3</v>
      </c>
      <c r="AO620" t="s">
        <v>81</v>
      </c>
      <c r="AP620" t="s">
        <v>82</v>
      </c>
      <c r="AQ620" t="s">
        <v>83</v>
      </c>
      <c r="AR620" s="3">
        <v>1.48</v>
      </c>
      <c r="AS620" s="4">
        <v>1880</v>
      </c>
      <c r="AT620" s="1">
        <v>1272</v>
      </c>
      <c r="AU620" s="3">
        <v>1.51</v>
      </c>
      <c r="AV620" s="4">
        <v>2446</v>
      </c>
      <c r="AW620" s="1">
        <v>1624</v>
      </c>
      <c r="AX620" s="3">
        <v>1979365.5</v>
      </c>
      <c r="BB620" t="s">
        <v>84</v>
      </c>
      <c r="BD620" s="3">
        <v>1.61</v>
      </c>
      <c r="BE620" s="4">
        <v>1540</v>
      </c>
      <c r="BF620" s="1">
        <v>955</v>
      </c>
      <c r="BG620" s="1">
        <v>180</v>
      </c>
      <c r="BH620" s="1">
        <v>180</v>
      </c>
      <c r="BI620" s="1">
        <v>36</v>
      </c>
    </row>
    <row r="621" spans="1:64" x14ac:dyDescent="0.25">
      <c r="A621" t="s">
        <v>3999</v>
      </c>
      <c r="B621" t="s">
        <v>4000</v>
      </c>
      <c r="C621" s="4">
        <f>(AA621*(H621*0.9))*12</f>
        <v>7625534.4000000004</v>
      </c>
      <c r="D621" s="4">
        <f>IF(C621=0,"",(H621*150*12)+C621)</f>
        <v>8338334.4000000004</v>
      </c>
      <c r="E621" s="4">
        <f>IFERROR(D621*0.5,"")</f>
        <v>4169167.2</v>
      </c>
      <c r="F621" s="4">
        <f>IFERROR(E621/0.06,"")</f>
        <v>69486120</v>
      </c>
      <c r="G621" s="4">
        <f>IFERROR(F621/H621,"")</f>
        <v>175470</v>
      </c>
      <c r="H621" s="1">
        <v>396</v>
      </c>
      <c r="I621" s="1">
        <v>1999</v>
      </c>
      <c r="J621" t="s">
        <v>64</v>
      </c>
      <c r="K621" t="s">
        <v>140</v>
      </c>
      <c r="L621" t="s">
        <v>757</v>
      </c>
      <c r="M621" t="s">
        <v>4001</v>
      </c>
      <c r="N621" t="s">
        <v>4002</v>
      </c>
      <c r="O621" t="s">
        <v>757</v>
      </c>
      <c r="P621" s="1">
        <v>4</v>
      </c>
      <c r="Q621" t="s">
        <v>729</v>
      </c>
      <c r="R621" t="s">
        <v>70</v>
      </c>
      <c r="S621" t="s">
        <v>71</v>
      </c>
      <c r="U621" t="s">
        <v>72</v>
      </c>
      <c r="V621" t="s">
        <v>140</v>
      </c>
      <c r="W621" t="s">
        <v>74</v>
      </c>
      <c r="X621" t="s">
        <v>4003</v>
      </c>
      <c r="Y621" s="2">
        <v>963</v>
      </c>
      <c r="Z621" s="3">
        <v>1.85</v>
      </c>
      <c r="AA621" s="4">
        <v>1783</v>
      </c>
      <c r="AK621" s="5">
        <v>6.0606</v>
      </c>
      <c r="AN621" s="1">
        <v>2</v>
      </c>
      <c r="AO621" t="s">
        <v>81</v>
      </c>
      <c r="AP621" t="s">
        <v>82</v>
      </c>
      <c r="AQ621" t="s">
        <v>83</v>
      </c>
      <c r="AR621" s="3">
        <v>1.92</v>
      </c>
      <c r="AS621" s="4">
        <v>2021</v>
      </c>
      <c r="AT621" s="1">
        <v>1053</v>
      </c>
      <c r="AU621" s="3">
        <v>1.67</v>
      </c>
      <c r="AV621" s="4">
        <v>2389</v>
      </c>
      <c r="AW621" s="1">
        <v>1430</v>
      </c>
      <c r="AX621" s="3">
        <v>555447.46</v>
      </c>
      <c r="BB621" t="s">
        <v>84</v>
      </c>
      <c r="BD621" s="3">
        <v>1.86</v>
      </c>
      <c r="BE621" s="4">
        <v>1532</v>
      </c>
      <c r="BF621" s="1">
        <v>823</v>
      </c>
      <c r="BG621" s="1">
        <v>226</v>
      </c>
      <c r="BH621" s="1">
        <v>126</v>
      </c>
      <c r="BI621" s="1">
        <v>44</v>
      </c>
    </row>
    <row r="622" spans="1:64" x14ac:dyDescent="0.25">
      <c r="A622" t="s">
        <v>2314</v>
      </c>
      <c r="B622" t="s">
        <v>2315</v>
      </c>
      <c r="C622" s="4">
        <f>(AA622*(H622*0.9))*12</f>
        <v>2007158.4000000001</v>
      </c>
      <c r="D622" s="4">
        <f>IF(C622=0,"",(H622*150*12)+C622)</f>
        <v>2194358.4000000004</v>
      </c>
      <c r="E622" s="4">
        <f>IFERROR(D622*0.5,"")</f>
        <v>1097179.2000000002</v>
      </c>
      <c r="F622" s="4">
        <f>IFERROR(E622/0.06,"")</f>
        <v>18286320.000000004</v>
      </c>
      <c r="G622" s="4">
        <f>IFERROR(F622/H622,"")</f>
        <v>175830.00000000003</v>
      </c>
      <c r="H622" s="1">
        <v>104</v>
      </c>
      <c r="I622" s="1">
        <v>1999</v>
      </c>
      <c r="J622" t="s">
        <v>64</v>
      </c>
      <c r="K622" t="s">
        <v>653</v>
      </c>
      <c r="L622" t="s">
        <v>2316</v>
      </c>
      <c r="M622" t="s">
        <v>2317</v>
      </c>
      <c r="N622" t="s">
        <v>2318</v>
      </c>
      <c r="O622" t="s">
        <v>2316</v>
      </c>
      <c r="P622" s="1">
        <v>3</v>
      </c>
      <c r="Q622" t="s">
        <v>91</v>
      </c>
      <c r="R622" t="s">
        <v>70</v>
      </c>
      <c r="S622" t="s">
        <v>71</v>
      </c>
      <c r="U622" t="s">
        <v>72</v>
      </c>
      <c r="V622" t="s">
        <v>152</v>
      </c>
      <c r="W622" t="s">
        <v>74</v>
      </c>
      <c r="X622" t="s">
        <v>1070</v>
      </c>
      <c r="Y622" s="2">
        <v>1224</v>
      </c>
      <c r="Z622" s="3">
        <v>1.46</v>
      </c>
      <c r="AA622" s="4">
        <v>1787</v>
      </c>
      <c r="AK622" s="5">
        <v>11.538500000000001</v>
      </c>
      <c r="AM622" s="1">
        <v>2020</v>
      </c>
      <c r="AN622" s="1">
        <v>2</v>
      </c>
      <c r="AO622" t="s">
        <v>81</v>
      </c>
      <c r="AP622" t="s">
        <v>82</v>
      </c>
      <c r="AQ622" t="s">
        <v>83</v>
      </c>
      <c r="AR622" s="3">
        <v>1.44</v>
      </c>
      <c r="AS622" s="4">
        <v>1879</v>
      </c>
      <c r="AT622" s="1">
        <v>1307</v>
      </c>
      <c r="AU622" s="3">
        <v>1.54</v>
      </c>
      <c r="AV622" s="4">
        <v>2295</v>
      </c>
      <c r="AW622" s="1">
        <v>1494</v>
      </c>
      <c r="AX622" s="3">
        <v>446532.12</v>
      </c>
      <c r="BB622" t="s">
        <v>84</v>
      </c>
      <c r="BD622" s="3">
        <v>1.45</v>
      </c>
      <c r="BE622" s="4">
        <v>1484</v>
      </c>
      <c r="BF622" s="1">
        <v>1024</v>
      </c>
      <c r="BG622" s="1">
        <v>41</v>
      </c>
      <c r="BH622" s="1">
        <v>47</v>
      </c>
      <c r="BI622" s="1">
        <v>16</v>
      </c>
      <c r="BK622" t="s">
        <v>650</v>
      </c>
      <c r="BL622" t="s">
        <v>104</v>
      </c>
    </row>
    <row r="623" spans="1:64" x14ac:dyDescent="0.25">
      <c r="A623" t="s">
        <v>3241</v>
      </c>
      <c r="B623" t="s">
        <v>3242</v>
      </c>
      <c r="C623" s="4">
        <f>(AA623*(H623*0.9))*12</f>
        <v>4788979.2</v>
      </c>
      <c r="D623" s="4">
        <f>IF(C623=0,"",(H623*150*12)+C623)</f>
        <v>5235379.2</v>
      </c>
      <c r="E623" s="4">
        <f>IFERROR(D623*0.5,"")</f>
        <v>2617689.6</v>
      </c>
      <c r="F623" s="4">
        <f>IFERROR(E623/0.06,"")</f>
        <v>43628160</v>
      </c>
      <c r="G623" s="4">
        <f>IFERROR(F623/H623,"")</f>
        <v>175920</v>
      </c>
      <c r="H623" s="1">
        <v>248</v>
      </c>
      <c r="I623" s="1">
        <v>1999</v>
      </c>
      <c r="J623" t="s">
        <v>64</v>
      </c>
      <c r="K623" t="s">
        <v>123</v>
      </c>
      <c r="L623" t="s">
        <v>1532</v>
      </c>
      <c r="M623" t="s">
        <v>3243</v>
      </c>
      <c r="N623" t="s">
        <v>3244</v>
      </c>
      <c r="O623" t="s">
        <v>1532</v>
      </c>
      <c r="P623" s="1">
        <v>4</v>
      </c>
      <c r="Q623" t="s">
        <v>729</v>
      </c>
      <c r="R623" t="s">
        <v>70</v>
      </c>
      <c r="S623" t="s">
        <v>71</v>
      </c>
      <c r="U623" t="s">
        <v>72</v>
      </c>
      <c r="V623" t="s">
        <v>2038</v>
      </c>
      <c r="W623" t="s">
        <v>74</v>
      </c>
      <c r="X623" t="s">
        <v>3213</v>
      </c>
      <c r="Y623" s="2">
        <v>980</v>
      </c>
      <c r="Z623" s="3">
        <v>1.82</v>
      </c>
      <c r="AA623" s="4">
        <v>1788</v>
      </c>
      <c r="AK623" s="5">
        <v>7.2580999999999998</v>
      </c>
      <c r="AN623" s="1">
        <v>2</v>
      </c>
      <c r="AO623" t="s">
        <v>81</v>
      </c>
      <c r="AP623" t="s">
        <v>82</v>
      </c>
      <c r="AQ623" t="s">
        <v>83</v>
      </c>
      <c r="AR623" s="3">
        <v>1.74</v>
      </c>
      <c r="AS623" s="4">
        <v>1939</v>
      </c>
      <c r="AT623" s="1">
        <v>1114</v>
      </c>
      <c r="AU623" s="3">
        <v>1.8</v>
      </c>
      <c r="AV623" s="4">
        <v>2382</v>
      </c>
      <c r="AW623" s="1">
        <v>1321</v>
      </c>
      <c r="AX623" s="3">
        <v>838008.76</v>
      </c>
      <c r="BB623" t="s">
        <v>84</v>
      </c>
      <c r="BD623" s="3">
        <v>1.95</v>
      </c>
      <c r="BE623" s="4">
        <v>1494</v>
      </c>
      <c r="BF623" s="1">
        <v>768</v>
      </c>
      <c r="BG623" s="1">
        <v>120</v>
      </c>
      <c r="BH623" s="1">
        <v>88</v>
      </c>
      <c r="BI623" s="1">
        <v>40</v>
      </c>
      <c r="BL623" t="s">
        <v>131</v>
      </c>
    </row>
    <row r="624" spans="1:64" x14ac:dyDescent="0.25">
      <c r="A624" t="s">
        <v>2104</v>
      </c>
      <c r="B624" t="s">
        <v>2105</v>
      </c>
      <c r="C624" s="4">
        <f>(AA624*(H624*0.9))*12</f>
        <v>9576684</v>
      </c>
      <c r="D624" s="4">
        <f>IF(C624=0,"",(H624*150*12)+C624)</f>
        <v>10465884</v>
      </c>
      <c r="E624" s="4">
        <f>IFERROR(D624*0.5,"")</f>
        <v>5232942</v>
      </c>
      <c r="F624" s="4">
        <f>IFERROR(E624/0.06,"")</f>
        <v>87215700</v>
      </c>
      <c r="G624" s="4">
        <f>IFERROR(F624/H624,"")</f>
        <v>176550</v>
      </c>
      <c r="H624" s="1">
        <v>494</v>
      </c>
      <c r="I624" s="1">
        <v>1996</v>
      </c>
      <c r="J624" t="s">
        <v>64</v>
      </c>
      <c r="K624" t="s">
        <v>87</v>
      </c>
      <c r="L624" t="s">
        <v>801</v>
      </c>
      <c r="M624" t="s">
        <v>2106</v>
      </c>
      <c r="N624" t="s">
        <v>2099</v>
      </c>
      <c r="O624" t="s">
        <v>801</v>
      </c>
      <c r="P624" s="1">
        <v>4</v>
      </c>
      <c r="Q624" t="s">
        <v>91</v>
      </c>
      <c r="R624" t="s">
        <v>70</v>
      </c>
      <c r="S624" t="s">
        <v>71</v>
      </c>
      <c r="U624" t="s">
        <v>72</v>
      </c>
      <c r="V624" t="s">
        <v>73</v>
      </c>
      <c r="W624" t="s">
        <v>74</v>
      </c>
      <c r="X624" t="s">
        <v>92</v>
      </c>
      <c r="Y624" s="2">
        <v>801</v>
      </c>
      <c r="Z624" s="3">
        <v>2.2400000000000002</v>
      </c>
      <c r="AA624" s="4">
        <v>1795</v>
      </c>
      <c r="AK624" s="5">
        <v>5.0606999999999998</v>
      </c>
      <c r="AN624" s="1">
        <v>4</v>
      </c>
      <c r="AO624" t="s">
        <v>81</v>
      </c>
      <c r="AP624" t="s">
        <v>82</v>
      </c>
      <c r="AQ624" t="s">
        <v>83</v>
      </c>
      <c r="AR624" s="3">
        <v>2.06</v>
      </c>
      <c r="AS624" s="4">
        <v>2244</v>
      </c>
      <c r="AT624" s="1">
        <v>1090</v>
      </c>
      <c r="AX624" s="3">
        <v>2441912.12</v>
      </c>
      <c r="AY624" s="3">
        <v>2.17</v>
      </c>
      <c r="AZ624" s="4">
        <v>1599</v>
      </c>
      <c r="BA624" s="6">
        <v>737</v>
      </c>
      <c r="BB624" t="s">
        <v>84</v>
      </c>
      <c r="BD624" s="3">
        <v>2.35</v>
      </c>
      <c r="BE624" s="4">
        <v>1665</v>
      </c>
      <c r="BF624" s="1">
        <v>709</v>
      </c>
      <c r="BG624" s="1">
        <v>337</v>
      </c>
      <c r="BH624" s="1">
        <v>116</v>
      </c>
    </row>
    <row r="625" spans="1:67" x14ac:dyDescent="0.25">
      <c r="A625" t="s">
        <v>2309</v>
      </c>
      <c r="B625" t="s">
        <v>2310</v>
      </c>
      <c r="C625" s="4">
        <f>(AA625*(H625*0.9))*12</f>
        <v>4893436.8000000007</v>
      </c>
      <c r="D625" s="4">
        <f>IF(C625=0,"",(H625*150*12)+C625)</f>
        <v>5347036.8000000007</v>
      </c>
      <c r="E625" s="4">
        <f>IFERROR(D625*0.5,"")</f>
        <v>2673518.4000000004</v>
      </c>
      <c r="F625" s="4">
        <f>IFERROR(E625/0.06,"")</f>
        <v>44558640.000000007</v>
      </c>
      <c r="G625" s="4">
        <f>IFERROR(F625/H625,"")</f>
        <v>176820.00000000003</v>
      </c>
      <c r="H625" s="1">
        <v>252</v>
      </c>
      <c r="I625" s="1">
        <v>1998</v>
      </c>
      <c r="J625" t="s">
        <v>64</v>
      </c>
      <c r="K625" t="s">
        <v>308</v>
      </c>
      <c r="L625" t="s">
        <v>2311</v>
      </c>
      <c r="M625" t="s">
        <v>2312</v>
      </c>
      <c r="N625" t="s">
        <v>2313</v>
      </c>
      <c r="O625" t="s">
        <v>2311</v>
      </c>
      <c r="P625" s="1">
        <v>3</v>
      </c>
      <c r="Q625" t="s">
        <v>69</v>
      </c>
      <c r="R625" t="s">
        <v>70</v>
      </c>
      <c r="S625" t="s">
        <v>71</v>
      </c>
      <c r="U625" t="s">
        <v>72</v>
      </c>
      <c r="V625" t="s">
        <v>393</v>
      </c>
      <c r="W625" t="s">
        <v>74</v>
      </c>
      <c r="X625" t="s">
        <v>766</v>
      </c>
      <c r="Y625" s="2">
        <v>1137</v>
      </c>
      <c r="Z625" s="3">
        <v>1.58</v>
      </c>
      <c r="AA625" s="4">
        <v>1798</v>
      </c>
      <c r="AK625" s="5">
        <v>3.9683000000000002</v>
      </c>
      <c r="AM625" s="1">
        <v>2017</v>
      </c>
      <c r="AN625" s="1">
        <v>2</v>
      </c>
      <c r="AO625" t="s">
        <v>81</v>
      </c>
      <c r="AP625" t="s">
        <v>82</v>
      </c>
      <c r="AQ625" t="s">
        <v>83</v>
      </c>
      <c r="AR625" s="3">
        <v>1.55</v>
      </c>
      <c r="AS625" s="4">
        <v>1670</v>
      </c>
      <c r="AT625" s="1">
        <v>1080</v>
      </c>
      <c r="AU625" s="3">
        <v>1.64</v>
      </c>
      <c r="AV625" s="4">
        <v>1964</v>
      </c>
      <c r="AW625" s="1">
        <v>1198</v>
      </c>
      <c r="AX625" s="3">
        <v>1039415.15</v>
      </c>
      <c r="BB625" t="s">
        <v>84</v>
      </c>
      <c r="BH625" s="1">
        <v>168</v>
      </c>
      <c r="BI625" s="1">
        <v>60</v>
      </c>
      <c r="BJ625" s="1">
        <v>24</v>
      </c>
      <c r="BK625" t="s">
        <v>261</v>
      </c>
      <c r="BL625" t="s">
        <v>104</v>
      </c>
      <c r="BM625" s="3">
        <v>1.64</v>
      </c>
      <c r="BN625" s="4">
        <v>2280</v>
      </c>
      <c r="BO625" s="1">
        <v>1391</v>
      </c>
    </row>
    <row r="626" spans="1:67" x14ac:dyDescent="0.25">
      <c r="A626" t="s">
        <v>2657</v>
      </c>
      <c r="B626" t="s">
        <v>2658</v>
      </c>
      <c r="C626" s="4">
        <f>(AA626*(H626*0.9))*12</f>
        <v>6687360</v>
      </c>
      <c r="D626" s="4">
        <f>IF(C626=0,"",(H626*150*12)+C626)</f>
        <v>7306560</v>
      </c>
      <c r="E626" s="4">
        <f>IFERROR(D626*0.5,"")</f>
        <v>3653280</v>
      </c>
      <c r="F626" s="4">
        <f>IFERROR(E626/0.06,"")</f>
        <v>60888000</v>
      </c>
      <c r="G626" s="4">
        <f>IFERROR(F626/H626,"")</f>
        <v>177000</v>
      </c>
      <c r="H626" s="1">
        <v>344</v>
      </c>
      <c r="I626" s="1">
        <v>2000</v>
      </c>
      <c r="J626" t="s">
        <v>64</v>
      </c>
      <c r="K626" t="s">
        <v>800</v>
      </c>
      <c r="L626" t="s">
        <v>2659</v>
      </c>
      <c r="M626" t="s">
        <v>2660</v>
      </c>
      <c r="N626" t="s">
        <v>2661</v>
      </c>
      <c r="O626" t="s">
        <v>2659</v>
      </c>
      <c r="P626" s="1">
        <v>4</v>
      </c>
      <c r="Q626" t="s">
        <v>729</v>
      </c>
      <c r="R626" t="s">
        <v>70</v>
      </c>
      <c r="S626" t="s">
        <v>71</v>
      </c>
      <c r="U626" t="s">
        <v>72</v>
      </c>
      <c r="V626" t="s">
        <v>800</v>
      </c>
      <c r="W626" t="s">
        <v>74</v>
      </c>
      <c r="X626" t="s">
        <v>2662</v>
      </c>
      <c r="Y626" s="2">
        <v>951</v>
      </c>
      <c r="Z626" s="3">
        <v>1.89</v>
      </c>
      <c r="AA626" s="4">
        <v>1800</v>
      </c>
      <c r="AK626" s="5">
        <v>7.8487999999999998</v>
      </c>
      <c r="AN626" s="1">
        <v>2</v>
      </c>
      <c r="AO626" t="s">
        <v>81</v>
      </c>
      <c r="AP626" t="s">
        <v>82</v>
      </c>
      <c r="AQ626" t="s">
        <v>83</v>
      </c>
      <c r="AR626" s="3">
        <v>1.81</v>
      </c>
      <c r="AS626" s="4">
        <v>2010</v>
      </c>
      <c r="AT626" s="1">
        <v>1110</v>
      </c>
      <c r="AU626" s="3">
        <v>1.97</v>
      </c>
      <c r="AV626" s="4">
        <v>2680</v>
      </c>
      <c r="AW626" s="1">
        <v>1364</v>
      </c>
      <c r="AX626" s="3">
        <v>373767</v>
      </c>
      <c r="BB626" t="s">
        <v>84</v>
      </c>
      <c r="BD626" s="3">
        <v>1.96</v>
      </c>
      <c r="BE626" s="4">
        <v>1541</v>
      </c>
      <c r="BF626" s="1">
        <v>787</v>
      </c>
      <c r="BG626" s="1">
        <v>188</v>
      </c>
      <c r="BH626" s="1">
        <v>132</v>
      </c>
      <c r="BI626" s="1">
        <v>24</v>
      </c>
      <c r="BK626" t="s">
        <v>2663</v>
      </c>
      <c r="BL626" t="s">
        <v>131</v>
      </c>
    </row>
    <row r="627" spans="1:67" x14ac:dyDescent="0.25">
      <c r="A627" t="s">
        <v>3831</v>
      </c>
      <c r="B627" t="s">
        <v>3832</v>
      </c>
      <c r="C627" s="4">
        <f>(AA627*(H627*0.9))*12</f>
        <v>9253440.0000000019</v>
      </c>
      <c r="D627" s="4">
        <f>IF(C627=0,"",(H627*150*12)+C627)</f>
        <v>10110240.000000002</v>
      </c>
      <c r="E627" s="4">
        <f>IFERROR(D627*0.5,"")</f>
        <v>5055120.0000000009</v>
      </c>
      <c r="F627" s="4">
        <f>IFERROR(E627/0.06,"")</f>
        <v>84252000.000000015</v>
      </c>
      <c r="G627" s="4">
        <f>IFERROR(F627/H627,"")</f>
        <v>177000.00000000003</v>
      </c>
      <c r="H627" s="1">
        <v>476</v>
      </c>
      <c r="I627" s="1">
        <v>1991</v>
      </c>
      <c r="J627" t="s">
        <v>64</v>
      </c>
      <c r="K627" t="s">
        <v>514</v>
      </c>
      <c r="L627" t="s">
        <v>1976</v>
      </c>
      <c r="M627" t="s">
        <v>3833</v>
      </c>
      <c r="O627" t="s">
        <v>1976</v>
      </c>
      <c r="P627" s="1">
        <v>4</v>
      </c>
      <c r="Q627" t="s">
        <v>91</v>
      </c>
      <c r="R627" t="s">
        <v>70</v>
      </c>
      <c r="S627" t="s">
        <v>71</v>
      </c>
      <c r="U627" t="s">
        <v>72</v>
      </c>
      <c r="V627" t="s">
        <v>264</v>
      </c>
      <c r="W627" t="s">
        <v>74</v>
      </c>
      <c r="X627" t="s">
        <v>1594</v>
      </c>
      <c r="Y627" s="2">
        <v>966</v>
      </c>
      <c r="Z627" s="3">
        <v>1.86</v>
      </c>
      <c r="AA627" s="4">
        <v>1800</v>
      </c>
      <c r="AK627" s="5">
        <v>5.0419999999999998</v>
      </c>
      <c r="AN627" s="1">
        <v>3</v>
      </c>
      <c r="AO627" t="s">
        <v>81</v>
      </c>
      <c r="AP627" t="s">
        <v>82</v>
      </c>
      <c r="AQ627" t="s">
        <v>83</v>
      </c>
      <c r="AR627" s="3">
        <v>1.9</v>
      </c>
      <c r="AS627" s="4">
        <v>2127</v>
      </c>
      <c r="AT627" s="1">
        <v>1118</v>
      </c>
      <c r="AU627" s="3">
        <v>1.97</v>
      </c>
      <c r="AV627" s="4">
        <v>2394</v>
      </c>
      <c r="AW627" s="1">
        <v>1215</v>
      </c>
      <c r="AX627" s="3">
        <v>1880160.63</v>
      </c>
      <c r="BB627" t="s">
        <v>84</v>
      </c>
      <c r="BD627" s="3">
        <v>1.78</v>
      </c>
      <c r="BE627" s="4">
        <v>1393</v>
      </c>
      <c r="BF627" s="1">
        <v>782</v>
      </c>
      <c r="BG627" s="1">
        <v>228</v>
      </c>
      <c r="BH627" s="1">
        <v>204</v>
      </c>
      <c r="BI627" s="1">
        <v>44</v>
      </c>
      <c r="BL627" t="s">
        <v>131</v>
      </c>
    </row>
    <row r="628" spans="1:67" x14ac:dyDescent="0.25">
      <c r="A628" t="s">
        <v>3285</v>
      </c>
      <c r="B628" t="s">
        <v>3286</v>
      </c>
      <c r="C628" s="4">
        <f>(AA628*(H628*0.9))*12</f>
        <v>4102812</v>
      </c>
      <c r="D628" s="4">
        <f>IF(C628=0,"",(H628*150*12)+C628)</f>
        <v>4480812</v>
      </c>
      <c r="E628" s="4">
        <f>IFERROR(D628*0.5,"")</f>
        <v>2240406</v>
      </c>
      <c r="F628" s="4">
        <f>IFERROR(E628/0.06,"")</f>
        <v>37340100</v>
      </c>
      <c r="G628" s="4">
        <f>IFERROR(F628/H628,"")</f>
        <v>177810</v>
      </c>
      <c r="H628" s="1">
        <v>210</v>
      </c>
      <c r="I628" s="1">
        <v>1998</v>
      </c>
      <c r="J628" t="s">
        <v>64</v>
      </c>
      <c r="K628" t="s">
        <v>1133</v>
      </c>
      <c r="L628" t="s">
        <v>1277</v>
      </c>
      <c r="M628" t="s">
        <v>3287</v>
      </c>
      <c r="N628" t="s">
        <v>3288</v>
      </c>
      <c r="O628" t="s">
        <v>1277</v>
      </c>
      <c r="P628" s="1">
        <v>3</v>
      </c>
      <c r="Q628" t="s">
        <v>91</v>
      </c>
      <c r="R628" t="s">
        <v>70</v>
      </c>
      <c r="S628" t="s">
        <v>71</v>
      </c>
      <c r="U628" t="s">
        <v>72</v>
      </c>
      <c r="V628" t="s">
        <v>264</v>
      </c>
      <c r="W628" t="s">
        <v>74</v>
      </c>
      <c r="X628" t="s">
        <v>3289</v>
      </c>
      <c r="Y628" s="2">
        <v>991</v>
      </c>
      <c r="Z628" s="3">
        <v>1.82</v>
      </c>
      <c r="AA628" s="4">
        <v>1809</v>
      </c>
      <c r="AK628" s="5">
        <v>8.0952000000000002</v>
      </c>
      <c r="AN628" s="1">
        <v>3</v>
      </c>
      <c r="AO628" t="s">
        <v>81</v>
      </c>
      <c r="AP628" t="s">
        <v>82</v>
      </c>
      <c r="AQ628" t="s">
        <v>83</v>
      </c>
      <c r="AR628" s="3">
        <v>1.75</v>
      </c>
      <c r="AS628" s="4">
        <v>2036</v>
      </c>
      <c r="AT628" s="1">
        <v>1163</v>
      </c>
      <c r="AU628" s="3">
        <v>1.81</v>
      </c>
      <c r="AV628" s="4">
        <v>2491</v>
      </c>
      <c r="AW628" s="1">
        <v>1374</v>
      </c>
      <c r="AX628" s="3">
        <v>945696.85</v>
      </c>
      <c r="BB628" t="s">
        <v>84</v>
      </c>
      <c r="BD628" s="3">
        <v>1.89</v>
      </c>
      <c r="BE628" s="4">
        <v>1577</v>
      </c>
      <c r="BF628" s="1">
        <v>836</v>
      </c>
      <c r="BG628" s="1">
        <v>122</v>
      </c>
      <c r="BH628" s="1">
        <v>70</v>
      </c>
      <c r="BI628" s="1">
        <v>18</v>
      </c>
      <c r="BL628" t="s">
        <v>131</v>
      </c>
    </row>
    <row r="629" spans="1:67" x14ac:dyDescent="0.25">
      <c r="A629" t="s">
        <v>3174</v>
      </c>
      <c r="B629" t="s">
        <v>3175</v>
      </c>
      <c r="C629" s="4">
        <f>(AA629*(H629*0.9))*12</f>
        <v>4596976.8</v>
      </c>
      <c r="D629" s="4">
        <f>IF(C629=0,"",(H629*150*12)+C629)</f>
        <v>5018176.8</v>
      </c>
      <c r="E629" s="4">
        <f>IFERROR(D629*0.5,"")</f>
        <v>2509088.4</v>
      </c>
      <c r="F629" s="4">
        <f>IFERROR(E629/0.06,"")</f>
        <v>41818140</v>
      </c>
      <c r="G629" s="4">
        <f>IFERROR(F629/H629,"")</f>
        <v>178710</v>
      </c>
      <c r="H629" s="1">
        <v>234</v>
      </c>
      <c r="I629" s="1">
        <v>1998</v>
      </c>
      <c r="J629" t="s">
        <v>64</v>
      </c>
      <c r="K629" t="s">
        <v>841</v>
      </c>
      <c r="L629" t="s">
        <v>3176</v>
      </c>
      <c r="M629" t="s">
        <v>3177</v>
      </c>
      <c r="N629" t="s">
        <v>3178</v>
      </c>
      <c r="O629" t="s">
        <v>3176</v>
      </c>
      <c r="P629" s="1">
        <v>4</v>
      </c>
      <c r="Q629" t="s">
        <v>91</v>
      </c>
      <c r="R629" t="s">
        <v>70</v>
      </c>
      <c r="S629" t="s">
        <v>71</v>
      </c>
      <c r="U629" t="s">
        <v>72</v>
      </c>
      <c r="V629" t="s">
        <v>841</v>
      </c>
      <c r="W629" t="s">
        <v>74</v>
      </c>
      <c r="X629" t="s">
        <v>845</v>
      </c>
      <c r="Y629" s="2">
        <v>1025</v>
      </c>
      <c r="Z629" s="3">
        <v>1.77</v>
      </c>
      <c r="AA629" s="4">
        <v>1819</v>
      </c>
      <c r="AK629" s="5">
        <v>6.8376000000000001</v>
      </c>
      <c r="AN629" s="1">
        <v>2</v>
      </c>
      <c r="AO629" t="s">
        <v>81</v>
      </c>
      <c r="AP629" t="s">
        <v>82</v>
      </c>
      <c r="AQ629" t="s">
        <v>83</v>
      </c>
      <c r="AR629" s="3">
        <v>1.63</v>
      </c>
      <c r="AS629" s="4">
        <v>1887</v>
      </c>
      <c r="AT629" s="1">
        <v>1161</v>
      </c>
      <c r="AU629" s="3">
        <v>1.71</v>
      </c>
      <c r="AV629" s="4">
        <v>2452</v>
      </c>
      <c r="AW629" s="1">
        <v>1434</v>
      </c>
      <c r="AX629" s="3">
        <v>760006.86</v>
      </c>
      <c r="BB629" t="s">
        <v>84</v>
      </c>
      <c r="BD629" s="3">
        <v>2.0499999999999998</v>
      </c>
      <c r="BE629" s="4">
        <v>1580</v>
      </c>
      <c r="BF629" s="1">
        <v>771</v>
      </c>
      <c r="BG629" s="1">
        <v>98</v>
      </c>
      <c r="BH629" s="1">
        <v>112</v>
      </c>
      <c r="BI629" s="1">
        <v>24</v>
      </c>
    </row>
    <row r="630" spans="1:67" x14ac:dyDescent="0.25">
      <c r="A630" t="s">
        <v>2577</v>
      </c>
      <c r="B630" t="s">
        <v>2578</v>
      </c>
      <c r="C630" s="4">
        <f>(AA630*(H630*0.9))*12</f>
        <v>5268337.2</v>
      </c>
      <c r="D630" s="4">
        <f>IF(C630=0,"",(H630*150*12)+C630)</f>
        <v>5748937.2000000002</v>
      </c>
      <c r="E630" s="4">
        <f>IFERROR(D630*0.5,"")</f>
        <v>2874468.6</v>
      </c>
      <c r="F630" s="4">
        <f>IFERROR(E630/0.06,"")</f>
        <v>47907810</v>
      </c>
      <c r="G630" s="4">
        <f>IFERROR(F630/H630,"")</f>
        <v>179430</v>
      </c>
      <c r="H630" s="1">
        <v>267</v>
      </c>
      <c r="I630" s="1">
        <v>2000</v>
      </c>
      <c r="J630" t="s">
        <v>64</v>
      </c>
      <c r="K630" t="s">
        <v>1133</v>
      </c>
      <c r="L630" t="s">
        <v>687</v>
      </c>
      <c r="M630" t="s">
        <v>2579</v>
      </c>
      <c r="N630" t="s">
        <v>2580</v>
      </c>
      <c r="O630" t="s">
        <v>687</v>
      </c>
      <c r="P630" s="1">
        <v>4</v>
      </c>
      <c r="Q630" t="s">
        <v>729</v>
      </c>
      <c r="R630" t="s">
        <v>70</v>
      </c>
      <c r="S630" t="s">
        <v>71</v>
      </c>
      <c r="U630" t="s">
        <v>72</v>
      </c>
      <c r="V630" t="s">
        <v>264</v>
      </c>
      <c r="W630" t="s">
        <v>74</v>
      </c>
      <c r="X630" t="s">
        <v>2581</v>
      </c>
      <c r="Y630" s="2">
        <v>1017</v>
      </c>
      <c r="Z630" s="3">
        <v>1.8</v>
      </c>
      <c r="AA630" s="4">
        <v>1827</v>
      </c>
      <c r="AK630" s="5">
        <v>2.9963000000000002</v>
      </c>
      <c r="AN630" s="1">
        <v>3</v>
      </c>
      <c r="AO630" t="s">
        <v>81</v>
      </c>
      <c r="AP630" t="s">
        <v>82</v>
      </c>
      <c r="AQ630" t="s">
        <v>83</v>
      </c>
      <c r="AR630" s="3">
        <v>1.83</v>
      </c>
      <c r="AS630" s="4">
        <v>2032</v>
      </c>
      <c r="AT630" s="1">
        <v>1111</v>
      </c>
      <c r="AU630" s="3">
        <v>1.8</v>
      </c>
      <c r="AV630" s="4">
        <v>2599</v>
      </c>
      <c r="AW630" s="1">
        <v>1440</v>
      </c>
      <c r="AX630" s="3">
        <v>1189885.2</v>
      </c>
      <c r="BB630" t="s">
        <v>84</v>
      </c>
      <c r="BD630" s="3">
        <v>1.75</v>
      </c>
      <c r="BE630" s="4">
        <v>1454</v>
      </c>
      <c r="BF630" s="1">
        <v>832</v>
      </c>
      <c r="BG630" s="1">
        <v>122</v>
      </c>
      <c r="BH630" s="1">
        <v>117</v>
      </c>
      <c r="BI630" s="1">
        <v>28</v>
      </c>
      <c r="BK630" t="s">
        <v>2203</v>
      </c>
      <c r="BL630" t="s">
        <v>104</v>
      </c>
    </row>
    <row r="631" spans="1:67" x14ac:dyDescent="0.25">
      <c r="A631" t="s">
        <v>1702</v>
      </c>
      <c r="B631" t="s">
        <v>1703</v>
      </c>
      <c r="C631" s="4">
        <f>(AA631*(H631*0.9))*12</f>
        <v>1896307.2000000002</v>
      </c>
      <c r="D631" s="4">
        <f>IF(C631=0,"",(H631*150*12)+C631)</f>
        <v>2069107.2000000002</v>
      </c>
      <c r="E631" s="4">
        <f>IFERROR(D631*0.5,"")</f>
        <v>1034553.6000000001</v>
      </c>
      <c r="F631" s="4">
        <f>IFERROR(E631/0.06,"")</f>
        <v>17242560.000000004</v>
      </c>
      <c r="G631" s="4">
        <f>IFERROR(F631/H631,"")</f>
        <v>179610.00000000003</v>
      </c>
      <c r="H631" s="1">
        <v>96</v>
      </c>
      <c r="I631" s="1">
        <v>1985</v>
      </c>
      <c r="J631" t="s">
        <v>64</v>
      </c>
      <c r="K631" t="s">
        <v>800</v>
      </c>
      <c r="L631" t="s">
        <v>1704</v>
      </c>
      <c r="M631" t="s">
        <v>1705</v>
      </c>
      <c r="N631" t="s">
        <v>1706</v>
      </c>
      <c r="O631" t="s">
        <v>1704</v>
      </c>
      <c r="P631" s="1">
        <v>2</v>
      </c>
      <c r="Q631" t="s">
        <v>69</v>
      </c>
      <c r="R631" t="s">
        <v>70</v>
      </c>
      <c r="S631" t="s">
        <v>71</v>
      </c>
      <c r="U631" t="s">
        <v>72</v>
      </c>
      <c r="V631" t="s">
        <v>800</v>
      </c>
      <c r="W631" t="s">
        <v>74</v>
      </c>
      <c r="X631" t="s">
        <v>1707</v>
      </c>
      <c r="Y631" s="2">
        <v>1351</v>
      </c>
      <c r="Z631" s="3">
        <v>1.35</v>
      </c>
      <c r="AA631" s="4">
        <v>1829</v>
      </c>
      <c r="AK631" s="5">
        <v>4.1666999999999996</v>
      </c>
      <c r="AN631" s="1">
        <v>2</v>
      </c>
      <c r="AO631" t="s">
        <v>81</v>
      </c>
      <c r="AP631" t="s">
        <v>82</v>
      </c>
      <c r="AQ631" t="s">
        <v>83</v>
      </c>
      <c r="AR631" s="3">
        <v>1.33</v>
      </c>
      <c r="AS631" s="4">
        <v>1700</v>
      </c>
      <c r="AT631" s="1">
        <v>1280</v>
      </c>
      <c r="AU631" s="3">
        <v>1.38</v>
      </c>
      <c r="AV631" s="4">
        <v>1995</v>
      </c>
      <c r="AW631" s="1">
        <v>1443</v>
      </c>
      <c r="AX631" s="3">
        <v>76682.52</v>
      </c>
      <c r="BB631" t="s">
        <v>84</v>
      </c>
      <c r="BH631" s="1">
        <v>54</v>
      </c>
      <c r="BI631" s="1">
        <v>42</v>
      </c>
      <c r="BK631" t="s">
        <v>1708</v>
      </c>
      <c r="BL631" t="s">
        <v>131</v>
      </c>
    </row>
    <row r="632" spans="1:67" x14ac:dyDescent="0.25">
      <c r="A632" t="s">
        <v>3149</v>
      </c>
      <c r="B632" t="s">
        <v>3150</v>
      </c>
      <c r="C632" s="4">
        <f>(AA632*(H632*0.9))*12</f>
        <v>4370230.8000000007</v>
      </c>
      <c r="D632" s="4">
        <f>IF(C632=0,"",(H632*150*12)+C632)</f>
        <v>4768030.8000000007</v>
      </c>
      <c r="E632" s="4">
        <f>IFERROR(D632*0.5,"")</f>
        <v>2384015.4000000004</v>
      </c>
      <c r="F632" s="4">
        <f>IFERROR(E632/0.06,"")</f>
        <v>39733590.000000007</v>
      </c>
      <c r="G632" s="4">
        <f>IFERROR(F632/H632,"")</f>
        <v>179790.00000000003</v>
      </c>
      <c r="H632" s="1">
        <v>221</v>
      </c>
      <c r="I632" s="1">
        <v>1997</v>
      </c>
      <c r="J632" t="s">
        <v>64</v>
      </c>
      <c r="K632" t="s">
        <v>123</v>
      </c>
      <c r="L632" t="s">
        <v>3151</v>
      </c>
      <c r="M632" t="s">
        <v>3152</v>
      </c>
      <c r="N632" t="s">
        <v>3153</v>
      </c>
      <c r="O632" t="s">
        <v>3151</v>
      </c>
      <c r="P632" s="1">
        <v>3</v>
      </c>
      <c r="Q632" t="s">
        <v>91</v>
      </c>
      <c r="R632" t="s">
        <v>70</v>
      </c>
      <c r="S632" t="s">
        <v>71</v>
      </c>
      <c r="U632" t="s">
        <v>72</v>
      </c>
      <c r="V632" t="s">
        <v>129</v>
      </c>
      <c r="W632" t="s">
        <v>74</v>
      </c>
      <c r="X632" t="s">
        <v>2570</v>
      </c>
      <c r="Y632" s="2">
        <v>1041</v>
      </c>
      <c r="Z632" s="3">
        <v>1.76</v>
      </c>
      <c r="AA632" s="4">
        <v>1831</v>
      </c>
      <c r="AK632" s="5">
        <v>5.4298999999999999</v>
      </c>
      <c r="AM632" s="1">
        <v>2002</v>
      </c>
      <c r="AN632" s="1">
        <v>2</v>
      </c>
      <c r="AO632" t="s">
        <v>81</v>
      </c>
      <c r="AP632" t="s">
        <v>82</v>
      </c>
      <c r="AQ632" t="s">
        <v>83</v>
      </c>
      <c r="AR632" s="3">
        <v>1.65</v>
      </c>
      <c r="AS632" s="4">
        <v>1951</v>
      </c>
      <c r="AT632" s="1">
        <v>1184</v>
      </c>
      <c r="AU632" s="3">
        <v>1.65</v>
      </c>
      <c r="AV632" s="4">
        <v>2354</v>
      </c>
      <c r="AW632" s="1">
        <v>1428</v>
      </c>
      <c r="AX632" s="3">
        <v>618661.23</v>
      </c>
      <c r="BB632" t="s">
        <v>84</v>
      </c>
      <c r="BD632" s="3">
        <v>2.0099999999999998</v>
      </c>
      <c r="BE632" s="4">
        <v>1584</v>
      </c>
      <c r="BF632" s="1">
        <v>788</v>
      </c>
      <c r="BG632" s="1">
        <v>88</v>
      </c>
      <c r="BH632" s="1">
        <v>119</v>
      </c>
      <c r="BI632" s="1">
        <v>14</v>
      </c>
      <c r="BL632" t="s">
        <v>131</v>
      </c>
    </row>
    <row r="633" spans="1:67" x14ac:dyDescent="0.25">
      <c r="A633" t="s">
        <v>3179</v>
      </c>
      <c r="B633" t="s">
        <v>3180</v>
      </c>
      <c r="C633" s="4">
        <f>(AA633*(H633*0.9))*12</f>
        <v>6861855.6000000006</v>
      </c>
      <c r="D633" s="4">
        <f>IF(C633=0,"",(H633*150*12)+C633)</f>
        <v>7486455.6000000006</v>
      </c>
      <c r="E633" s="4">
        <f>IFERROR(D633*0.5,"")</f>
        <v>3743227.8000000003</v>
      </c>
      <c r="F633" s="4">
        <f>IFERROR(E633/0.06,"")</f>
        <v>62387130.000000007</v>
      </c>
      <c r="G633" s="4">
        <f>IFERROR(F633/H633,"")</f>
        <v>179790.00000000003</v>
      </c>
      <c r="H633" s="1">
        <v>347</v>
      </c>
      <c r="I633" s="1">
        <v>1998</v>
      </c>
      <c r="J633" t="s">
        <v>64</v>
      </c>
      <c r="K633" t="s">
        <v>841</v>
      </c>
      <c r="L633" t="s">
        <v>1532</v>
      </c>
      <c r="M633" t="s">
        <v>3181</v>
      </c>
      <c r="N633" t="s">
        <v>3182</v>
      </c>
      <c r="O633" t="s">
        <v>1532</v>
      </c>
      <c r="P633" s="1">
        <v>4</v>
      </c>
      <c r="Q633" t="s">
        <v>91</v>
      </c>
      <c r="R633" t="s">
        <v>70</v>
      </c>
      <c r="S633" t="s">
        <v>71</v>
      </c>
      <c r="U633" t="s">
        <v>72</v>
      </c>
      <c r="V633" t="s">
        <v>841</v>
      </c>
      <c r="W633" t="s">
        <v>74</v>
      </c>
      <c r="X633" t="s">
        <v>3183</v>
      </c>
      <c r="Y633" s="2">
        <v>1007</v>
      </c>
      <c r="Z633" s="3">
        <v>1.82</v>
      </c>
      <c r="AA633" s="4">
        <v>1831</v>
      </c>
      <c r="AK633" s="5">
        <v>7.2046000000000001</v>
      </c>
      <c r="AM633" s="1">
        <v>2017</v>
      </c>
      <c r="AN633" s="1">
        <v>2</v>
      </c>
      <c r="AO633" t="s">
        <v>81</v>
      </c>
      <c r="AP633" t="s">
        <v>82</v>
      </c>
      <c r="AQ633" t="s">
        <v>83</v>
      </c>
      <c r="AR633" s="3">
        <v>1.94</v>
      </c>
      <c r="AS633" s="4">
        <v>2152</v>
      </c>
      <c r="AT633" s="1">
        <v>1110</v>
      </c>
      <c r="AU633" s="3">
        <v>1.63</v>
      </c>
      <c r="AV633" s="4">
        <v>2307</v>
      </c>
      <c r="AW633" s="1">
        <v>1413</v>
      </c>
      <c r="AX633" s="3">
        <v>1090448.43</v>
      </c>
      <c r="BB633" t="s">
        <v>84</v>
      </c>
      <c r="BD633" s="3">
        <v>1.89</v>
      </c>
      <c r="BE633" s="4">
        <v>1504</v>
      </c>
      <c r="BF633" s="1">
        <v>794</v>
      </c>
      <c r="BG633" s="1">
        <v>191</v>
      </c>
      <c r="BH633" s="1">
        <v>74</v>
      </c>
      <c r="BI633" s="1">
        <v>82</v>
      </c>
      <c r="BK633" t="s">
        <v>679</v>
      </c>
      <c r="BL633" t="s">
        <v>104</v>
      </c>
    </row>
    <row r="634" spans="1:67" x14ac:dyDescent="0.25">
      <c r="A634" t="s">
        <v>4135</v>
      </c>
      <c r="B634" t="s">
        <v>4136</v>
      </c>
      <c r="C634" s="4">
        <f>(AA634*(H634*0.9))*12</f>
        <v>6480518.4000000004</v>
      </c>
      <c r="D634" s="4">
        <f>IF(C634=0,"",(H634*150*12)+C634)</f>
        <v>7063718.4000000004</v>
      </c>
      <c r="E634" s="4">
        <f>IFERROR(D634*0.5,"")</f>
        <v>3531859.2</v>
      </c>
      <c r="F634" s="4">
        <f>IFERROR(E634/0.06,"")</f>
        <v>58864320.000000007</v>
      </c>
      <c r="G634" s="4">
        <f>IFERROR(F634/H634,"")</f>
        <v>181680.00000000003</v>
      </c>
      <c r="H634" s="1">
        <v>324</v>
      </c>
      <c r="I634" s="1">
        <v>1998</v>
      </c>
      <c r="J634" t="s">
        <v>64</v>
      </c>
      <c r="K634" t="s">
        <v>140</v>
      </c>
      <c r="L634" t="s">
        <v>2279</v>
      </c>
      <c r="M634" t="s">
        <v>4137</v>
      </c>
      <c r="N634" t="s">
        <v>4138</v>
      </c>
      <c r="O634" t="s">
        <v>2279</v>
      </c>
      <c r="P634" s="1">
        <v>4</v>
      </c>
      <c r="Q634" t="s">
        <v>91</v>
      </c>
      <c r="R634" t="s">
        <v>70</v>
      </c>
      <c r="S634" t="s">
        <v>71</v>
      </c>
      <c r="U634" t="s">
        <v>72</v>
      </c>
      <c r="V634" t="s">
        <v>140</v>
      </c>
      <c r="W634" t="s">
        <v>74</v>
      </c>
      <c r="X634" t="s">
        <v>1351</v>
      </c>
      <c r="Y634" s="2">
        <v>1012</v>
      </c>
      <c r="Z634" s="3">
        <v>1.83</v>
      </c>
      <c r="AA634" s="4">
        <v>1852</v>
      </c>
      <c r="AK634" s="5">
        <v>1.8519000000000001</v>
      </c>
      <c r="AN634" s="1">
        <v>3</v>
      </c>
      <c r="AO634" t="s">
        <v>81</v>
      </c>
      <c r="AP634" t="s">
        <v>82</v>
      </c>
      <c r="AQ634" t="s">
        <v>83</v>
      </c>
      <c r="AR634" s="3">
        <v>1.72</v>
      </c>
      <c r="AS634" s="4">
        <v>2205</v>
      </c>
      <c r="AT634" s="1">
        <v>1278</v>
      </c>
      <c r="AU634" s="3">
        <v>1.57</v>
      </c>
      <c r="AV634" s="4">
        <v>2390</v>
      </c>
      <c r="AW634" s="1">
        <v>1526</v>
      </c>
      <c r="AX634" s="3">
        <v>923417.62</v>
      </c>
      <c r="BB634" t="s">
        <v>84</v>
      </c>
      <c r="BD634" s="3">
        <v>1.96</v>
      </c>
      <c r="BE634" s="4">
        <v>1606</v>
      </c>
      <c r="BF634" s="1">
        <v>818</v>
      </c>
      <c r="BG634" s="1">
        <v>196</v>
      </c>
      <c r="BH634" s="1">
        <v>112</v>
      </c>
      <c r="BI634" s="1">
        <v>16</v>
      </c>
      <c r="BK634" t="s">
        <v>566</v>
      </c>
      <c r="BL634" t="s">
        <v>104</v>
      </c>
    </row>
    <row r="635" spans="1:67" x14ac:dyDescent="0.25">
      <c r="A635" t="s">
        <v>2199</v>
      </c>
      <c r="B635" t="s">
        <v>2200</v>
      </c>
      <c r="C635" s="4">
        <f>(AA635*(H635*0.9))*12</f>
        <v>6337569.6000000006</v>
      </c>
      <c r="D635" s="4">
        <f>IF(C635=0,"",(H635*150*12)+C635)</f>
        <v>6906369.6000000006</v>
      </c>
      <c r="E635" s="4">
        <f>IFERROR(D635*0.5,"")</f>
        <v>3453184.8000000003</v>
      </c>
      <c r="F635" s="4">
        <f>IFERROR(E635/0.06,"")</f>
        <v>57553080.000000007</v>
      </c>
      <c r="G635" s="4">
        <f>IFERROR(F635/H635,"")</f>
        <v>182130.00000000003</v>
      </c>
      <c r="H635" s="1">
        <v>316</v>
      </c>
      <c r="I635" s="1">
        <v>1996</v>
      </c>
      <c r="J635" t="s">
        <v>64</v>
      </c>
      <c r="K635" t="s">
        <v>256</v>
      </c>
      <c r="L635" t="s">
        <v>1532</v>
      </c>
      <c r="M635" t="s">
        <v>2201</v>
      </c>
      <c r="N635" t="s">
        <v>2202</v>
      </c>
      <c r="O635" t="s">
        <v>1532</v>
      </c>
      <c r="P635" s="1">
        <v>4</v>
      </c>
      <c r="Q635" t="s">
        <v>91</v>
      </c>
      <c r="R635" t="s">
        <v>70</v>
      </c>
      <c r="S635" t="s">
        <v>71</v>
      </c>
      <c r="U635" t="s">
        <v>72</v>
      </c>
      <c r="V635" t="s">
        <v>152</v>
      </c>
      <c r="W635" t="s">
        <v>74</v>
      </c>
      <c r="X635" t="s">
        <v>260</v>
      </c>
      <c r="Y635" s="2">
        <v>981</v>
      </c>
      <c r="Z635" s="3">
        <v>1.89</v>
      </c>
      <c r="AA635" s="4">
        <v>1857</v>
      </c>
      <c r="AK635" s="5">
        <v>4.4303999999999997</v>
      </c>
      <c r="AN635" s="1">
        <v>3</v>
      </c>
      <c r="AO635" t="s">
        <v>81</v>
      </c>
      <c r="AP635" t="s">
        <v>82</v>
      </c>
      <c r="AQ635" t="s">
        <v>83</v>
      </c>
      <c r="AR635" s="3">
        <v>1.77</v>
      </c>
      <c r="AS635" s="4">
        <v>1925</v>
      </c>
      <c r="AT635" s="1">
        <v>1085</v>
      </c>
      <c r="AU635" s="3">
        <v>1.93</v>
      </c>
      <c r="AV635" s="4">
        <v>2790</v>
      </c>
      <c r="AW635" s="1">
        <v>1447</v>
      </c>
      <c r="AX635" s="3">
        <v>1611105.84</v>
      </c>
      <c r="BB635" t="s">
        <v>84</v>
      </c>
      <c r="BD635" s="3">
        <v>2.0099999999999998</v>
      </c>
      <c r="BE635" s="4">
        <v>1640</v>
      </c>
      <c r="BF635" s="1">
        <v>815</v>
      </c>
      <c r="BG635" s="1">
        <v>164</v>
      </c>
      <c r="BH635" s="1">
        <v>120</v>
      </c>
      <c r="BI635" s="1">
        <v>32</v>
      </c>
      <c r="BK635" t="s">
        <v>2203</v>
      </c>
      <c r="BL635" t="s">
        <v>104</v>
      </c>
    </row>
    <row r="636" spans="1:67" x14ac:dyDescent="0.25">
      <c r="A636" t="s">
        <v>3208</v>
      </c>
      <c r="B636" t="s">
        <v>3209</v>
      </c>
      <c r="C636" s="4">
        <f>(AA636*(H636*0.9))*12</f>
        <v>4459536</v>
      </c>
      <c r="D636" s="4">
        <f>IF(C636=0,"",(H636*150*12)+C636)</f>
        <v>4859136</v>
      </c>
      <c r="E636" s="4">
        <f>IFERROR(D636*0.5,"")</f>
        <v>2429568</v>
      </c>
      <c r="F636" s="4">
        <f>IFERROR(E636/0.06,"")</f>
        <v>40492800</v>
      </c>
      <c r="G636" s="4">
        <f>IFERROR(F636/H636,"")</f>
        <v>182400</v>
      </c>
      <c r="H636" s="1">
        <v>222</v>
      </c>
      <c r="I636" s="1">
        <v>1998</v>
      </c>
      <c r="J636" t="s">
        <v>64</v>
      </c>
      <c r="K636" t="s">
        <v>123</v>
      </c>
      <c r="L636" t="s">
        <v>3210</v>
      </c>
      <c r="M636" t="s">
        <v>3211</v>
      </c>
      <c r="N636" t="s">
        <v>3212</v>
      </c>
      <c r="O636" t="s">
        <v>3210</v>
      </c>
      <c r="P636" s="1">
        <v>3</v>
      </c>
      <c r="Q636" t="s">
        <v>91</v>
      </c>
      <c r="R636" t="s">
        <v>70</v>
      </c>
      <c r="S636" t="s">
        <v>71</v>
      </c>
      <c r="U636" t="s">
        <v>72</v>
      </c>
      <c r="V636" t="s">
        <v>2038</v>
      </c>
      <c r="W636" t="s">
        <v>74</v>
      </c>
      <c r="X636" t="s">
        <v>3213</v>
      </c>
      <c r="Y636" s="2">
        <v>983</v>
      </c>
      <c r="Z636" s="3">
        <v>1.89</v>
      </c>
      <c r="AA636" s="4">
        <v>1860</v>
      </c>
      <c r="AK636" s="5">
        <v>6.7568000000000001</v>
      </c>
      <c r="AN636" s="1">
        <v>3</v>
      </c>
      <c r="AO636" t="s">
        <v>81</v>
      </c>
      <c r="AP636" t="s">
        <v>82</v>
      </c>
      <c r="AQ636" t="s">
        <v>83</v>
      </c>
      <c r="AR636" s="3">
        <v>1.77</v>
      </c>
      <c r="AS636" s="4">
        <v>1939</v>
      </c>
      <c r="AT636" s="1">
        <v>1094</v>
      </c>
      <c r="AU636" s="3">
        <v>1.96</v>
      </c>
      <c r="AV636" s="4">
        <v>2595</v>
      </c>
      <c r="AW636" s="1">
        <v>1325</v>
      </c>
      <c r="AX636" s="3">
        <v>795685.09</v>
      </c>
      <c r="BB636" t="s">
        <v>84</v>
      </c>
      <c r="BD636" s="3">
        <v>2.12</v>
      </c>
      <c r="BE636" s="4">
        <v>1535</v>
      </c>
      <c r="BF636" s="1">
        <v>725</v>
      </c>
      <c r="BG636" s="1">
        <v>81</v>
      </c>
      <c r="BH636" s="1">
        <v>118</v>
      </c>
      <c r="BI636" s="1">
        <v>23</v>
      </c>
      <c r="BL636" t="s">
        <v>365</v>
      </c>
    </row>
    <row r="637" spans="1:67" x14ac:dyDescent="0.25">
      <c r="A637" t="s">
        <v>3117</v>
      </c>
      <c r="B637" t="s">
        <v>3118</v>
      </c>
      <c r="C637" s="4">
        <f>(AA637*(H637*0.9))*12</f>
        <v>5673952.8000000007</v>
      </c>
      <c r="D637" s="4">
        <f>IF(C637=0,"",(H637*150*12)+C637)</f>
        <v>6181552.8000000007</v>
      </c>
      <c r="E637" s="4">
        <f>IFERROR(D637*0.5,"")</f>
        <v>3090776.4000000004</v>
      </c>
      <c r="F637" s="4">
        <f>IFERROR(E637/0.06,"")</f>
        <v>51512940.000000007</v>
      </c>
      <c r="G637" s="4">
        <f>IFERROR(F637/H637,"")</f>
        <v>182670.00000000003</v>
      </c>
      <c r="H637" s="1">
        <v>282</v>
      </c>
      <c r="I637" s="1">
        <v>1992</v>
      </c>
      <c r="J637" t="s">
        <v>64</v>
      </c>
      <c r="K637" t="s">
        <v>269</v>
      </c>
      <c r="L637" t="s">
        <v>2786</v>
      </c>
      <c r="M637" t="s">
        <v>3119</v>
      </c>
      <c r="N637" t="s">
        <v>3120</v>
      </c>
      <c r="O637" t="s">
        <v>2786</v>
      </c>
      <c r="P637" s="1">
        <v>4</v>
      </c>
      <c r="Q637" t="s">
        <v>729</v>
      </c>
      <c r="R637" t="s">
        <v>70</v>
      </c>
      <c r="S637" t="s">
        <v>71</v>
      </c>
      <c r="U637" t="s">
        <v>72</v>
      </c>
      <c r="V637" t="s">
        <v>73</v>
      </c>
      <c r="W637" t="s">
        <v>74</v>
      </c>
      <c r="X637" t="s">
        <v>3121</v>
      </c>
      <c r="Y637" s="2">
        <v>966</v>
      </c>
      <c r="Z637" s="3">
        <v>1.93</v>
      </c>
      <c r="AA637" s="4">
        <v>1863</v>
      </c>
      <c r="AK637" s="5">
        <v>1.7729999999999999</v>
      </c>
      <c r="AN637" s="1">
        <v>2</v>
      </c>
      <c r="AO637" t="s">
        <v>81</v>
      </c>
      <c r="AP637" t="s">
        <v>82</v>
      </c>
      <c r="AQ637" t="s">
        <v>83</v>
      </c>
      <c r="AR637" s="3">
        <v>1.78</v>
      </c>
      <c r="AS637" s="4">
        <v>1974</v>
      </c>
      <c r="AT637" s="1">
        <v>1108</v>
      </c>
      <c r="AU637" s="3">
        <v>1.84</v>
      </c>
      <c r="AV637" s="4">
        <v>2502</v>
      </c>
      <c r="AW637" s="1">
        <v>1361</v>
      </c>
      <c r="AX637" s="3">
        <v>1206916.2</v>
      </c>
      <c r="BB637" t="s">
        <v>84</v>
      </c>
      <c r="BD637" s="3">
        <v>2.1800000000000002</v>
      </c>
      <c r="BE637" s="4">
        <v>1700</v>
      </c>
      <c r="BF637" s="1">
        <v>778</v>
      </c>
      <c r="BG637" s="1">
        <v>126</v>
      </c>
      <c r="BH637" s="1">
        <v>150</v>
      </c>
      <c r="BI637" s="1">
        <v>6</v>
      </c>
      <c r="BL637" t="s">
        <v>131</v>
      </c>
    </row>
    <row r="638" spans="1:67" x14ac:dyDescent="0.25">
      <c r="A638" t="s">
        <v>2582</v>
      </c>
      <c r="B638" t="s">
        <v>2583</v>
      </c>
      <c r="C638" s="4">
        <f>(AA638*(H638*0.9))*12</f>
        <v>4652802</v>
      </c>
      <c r="D638" s="4">
        <f>IF(C638=0,"",(H638*150*12)+C638)</f>
        <v>5068602</v>
      </c>
      <c r="E638" s="4">
        <f>IFERROR(D638*0.5,"")</f>
        <v>2534301</v>
      </c>
      <c r="F638" s="4">
        <f>IFERROR(E638/0.06,"")</f>
        <v>42238350</v>
      </c>
      <c r="G638" s="4">
        <f>IFERROR(F638/H638,"")</f>
        <v>182850</v>
      </c>
      <c r="H638" s="1">
        <v>231</v>
      </c>
      <c r="I638" s="1">
        <v>1995</v>
      </c>
      <c r="J638" t="s">
        <v>64</v>
      </c>
      <c r="K638" t="s">
        <v>1133</v>
      </c>
      <c r="L638" t="s">
        <v>1205</v>
      </c>
      <c r="M638" t="s">
        <v>2584</v>
      </c>
      <c r="N638" t="s">
        <v>2585</v>
      </c>
      <c r="O638" t="s">
        <v>1205</v>
      </c>
      <c r="P638" s="1">
        <v>4</v>
      </c>
      <c r="Q638" t="s">
        <v>729</v>
      </c>
      <c r="R638" t="s">
        <v>70</v>
      </c>
      <c r="S638" t="s">
        <v>71</v>
      </c>
      <c r="U638" t="s">
        <v>72</v>
      </c>
      <c r="V638" t="s">
        <v>264</v>
      </c>
      <c r="W638" t="s">
        <v>74</v>
      </c>
      <c r="X638" t="s">
        <v>2586</v>
      </c>
      <c r="Y638" s="2">
        <v>1035</v>
      </c>
      <c r="Z638" s="3">
        <v>1.8</v>
      </c>
      <c r="AA638" s="4">
        <v>1865</v>
      </c>
      <c r="AK638" s="5">
        <v>5.6276999999999999</v>
      </c>
      <c r="AN638" s="1">
        <v>2</v>
      </c>
      <c r="AO638" t="s">
        <v>81</v>
      </c>
      <c r="AP638" t="s">
        <v>82</v>
      </c>
      <c r="AQ638" t="s">
        <v>83</v>
      </c>
      <c r="AR638" s="3">
        <v>1.78</v>
      </c>
      <c r="AS638" s="4">
        <v>1983</v>
      </c>
      <c r="AT638" s="1">
        <v>1114</v>
      </c>
      <c r="AU638" s="3">
        <v>1.71</v>
      </c>
      <c r="AV638" s="4">
        <v>2388</v>
      </c>
      <c r="AW638" s="1">
        <v>1395</v>
      </c>
      <c r="AX638" s="3">
        <v>950845.76</v>
      </c>
      <c r="BB638" t="s">
        <v>84</v>
      </c>
      <c r="BD638" s="3">
        <v>1.9</v>
      </c>
      <c r="BE638" s="4">
        <v>1514</v>
      </c>
      <c r="BF638" s="1">
        <v>798</v>
      </c>
      <c r="BG638" s="1">
        <v>79</v>
      </c>
      <c r="BH638" s="1">
        <v>128</v>
      </c>
      <c r="BI638" s="1">
        <v>24</v>
      </c>
    </row>
    <row r="639" spans="1:67" x14ac:dyDescent="0.25">
      <c r="A639" t="s">
        <v>2087</v>
      </c>
      <c r="B639" t="s">
        <v>2088</v>
      </c>
      <c r="C639" s="4">
        <f>(AA639*(H639*0.9))*12</f>
        <v>5326041.5999999996</v>
      </c>
      <c r="D639" s="4">
        <f>IF(C639=0,"",(H639*150*12)+C639)</f>
        <v>5801241.5999999996</v>
      </c>
      <c r="E639" s="4">
        <f>IFERROR(D639*0.5,"")</f>
        <v>2900620.8</v>
      </c>
      <c r="F639" s="4">
        <f>IFERROR(E639/0.06,"")</f>
        <v>48343680</v>
      </c>
      <c r="G639" s="4">
        <f>IFERROR(F639/H639,"")</f>
        <v>183120</v>
      </c>
      <c r="H639" s="1">
        <v>264</v>
      </c>
      <c r="I639" s="1">
        <v>1997</v>
      </c>
      <c r="J639" t="s">
        <v>64</v>
      </c>
      <c r="K639" t="s">
        <v>734</v>
      </c>
      <c r="L639" t="s">
        <v>1894</v>
      </c>
      <c r="M639" t="s">
        <v>2089</v>
      </c>
      <c r="N639" t="s">
        <v>2090</v>
      </c>
      <c r="O639" t="s">
        <v>1894</v>
      </c>
      <c r="P639" s="1">
        <v>4</v>
      </c>
      <c r="Q639" t="s">
        <v>729</v>
      </c>
      <c r="R639" t="s">
        <v>70</v>
      </c>
      <c r="S639" t="s">
        <v>71</v>
      </c>
      <c r="U639" t="s">
        <v>72</v>
      </c>
      <c r="V639" t="s">
        <v>73</v>
      </c>
      <c r="W639" t="s">
        <v>74</v>
      </c>
      <c r="X639" t="s">
        <v>730</v>
      </c>
      <c r="Y639" s="2">
        <v>920</v>
      </c>
      <c r="Z639" s="3">
        <v>2.0299999999999998</v>
      </c>
      <c r="AA639" s="4">
        <v>1868</v>
      </c>
      <c r="AK639" s="5">
        <v>12.8788</v>
      </c>
      <c r="AM639" s="1">
        <v>2005</v>
      </c>
      <c r="AN639" s="1">
        <v>2</v>
      </c>
      <c r="AO639" t="s">
        <v>81</v>
      </c>
      <c r="AP639" t="s">
        <v>82</v>
      </c>
      <c r="AQ639" t="s">
        <v>83</v>
      </c>
      <c r="AR639" s="3">
        <v>1.97</v>
      </c>
      <c r="AS639" s="4">
        <v>2112</v>
      </c>
      <c r="AT639" s="1">
        <v>1076</v>
      </c>
      <c r="AX639" s="3">
        <v>724074.72</v>
      </c>
      <c r="BB639" t="s">
        <v>84</v>
      </c>
      <c r="BD639" s="3">
        <v>2.1</v>
      </c>
      <c r="BE639" s="4">
        <v>1664</v>
      </c>
      <c r="BF639" s="1">
        <v>794</v>
      </c>
      <c r="BG639" s="1">
        <v>144</v>
      </c>
      <c r="BH639" s="1">
        <v>120</v>
      </c>
      <c r="BK639" t="s">
        <v>2091</v>
      </c>
      <c r="BL639" t="s">
        <v>104</v>
      </c>
    </row>
    <row r="640" spans="1:67" x14ac:dyDescent="0.25">
      <c r="A640" t="s">
        <v>4057</v>
      </c>
      <c r="B640" t="s">
        <v>4058</v>
      </c>
      <c r="C640" s="4">
        <f>(AA640*(H640*0.9))*12</f>
        <v>15522418.800000001</v>
      </c>
      <c r="D640" s="4">
        <f>IF(C640=0,"",(H640*150*12)+C640)</f>
        <v>16906618.800000001</v>
      </c>
      <c r="E640" s="4">
        <f>IFERROR(D640*0.5,"")</f>
        <v>8453309.4000000004</v>
      </c>
      <c r="F640" s="4">
        <f>IFERROR(E640/0.06,"")</f>
        <v>140888490</v>
      </c>
      <c r="G640" s="4">
        <f>IFERROR(F640/H640,"")</f>
        <v>183210</v>
      </c>
      <c r="H640" s="1">
        <v>769</v>
      </c>
      <c r="I640" s="1">
        <v>1998</v>
      </c>
      <c r="J640" t="s">
        <v>64</v>
      </c>
      <c r="K640" t="s">
        <v>140</v>
      </c>
      <c r="L640" t="s">
        <v>1277</v>
      </c>
      <c r="M640" t="s">
        <v>4059</v>
      </c>
      <c r="N640" t="s">
        <v>4060</v>
      </c>
      <c r="O640" t="s">
        <v>1277</v>
      </c>
      <c r="P640" s="1">
        <v>3</v>
      </c>
      <c r="Q640" t="s">
        <v>91</v>
      </c>
      <c r="R640" t="s">
        <v>70</v>
      </c>
      <c r="S640" t="s">
        <v>71</v>
      </c>
      <c r="U640" t="s">
        <v>72</v>
      </c>
      <c r="V640" t="s">
        <v>140</v>
      </c>
      <c r="W640" t="s">
        <v>74</v>
      </c>
      <c r="X640" t="s">
        <v>1535</v>
      </c>
      <c r="Y640" s="2">
        <v>944</v>
      </c>
      <c r="Z640" s="3">
        <v>1.98</v>
      </c>
      <c r="AA640" s="4">
        <v>1869</v>
      </c>
      <c r="AK640" s="5">
        <v>6.2419000000000002</v>
      </c>
      <c r="AL640" s="1">
        <v>1</v>
      </c>
      <c r="AM640" s="1">
        <v>2008</v>
      </c>
      <c r="AN640" s="1">
        <v>3</v>
      </c>
      <c r="AO640" t="s">
        <v>81</v>
      </c>
      <c r="AP640" t="s">
        <v>82</v>
      </c>
      <c r="AQ640" t="s">
        <v>83</v>
      </c>
      <c r="AR640" s="3">
        <v>2.04</v>
      </c>
      <c r="AS640" s="4">
        <v>2205</v>
      </c>
      <c r="AT640" s="1">
        <v>1083</v>
      </c>
      <c r="AU640" s="3">
        <v>1.91</v>
      </c>
      <c r="AV640" s="4">
        <v>2692</v>
      </c>
      <c r="AW640" s="1">
        <v>1409</v>
      </c>
      <c r="AX640" s="3">
        <v>1870471.05</v>
      </c>
      <c r="BB640" t="s">
        <v>84</v>
      </c>
      <c r="BD640" s="3">
        <v>1.94</v>
      </c>
      <c r="BE640" s="4">
        <v>1522</v>
      </c>
      <c r="BF640" s="1">
        <v>786</v>
      </c>
      <c r="BG640" s="1">
        <v>415</v>
      </c>
      <c r="BH640" s="1">
        <v>302</v>
      </c>
      <c r="BI640" s="1">
        <v>52</v>
      </c>
      <c r="BL640" t="s">
        <v>744</v>
      </c>
    </row>
    <row r="641" spans="1:67" x14ac:dyDescent="0.25">
      <c r="A641" t="s">
        <v>2107</v>
      </c>
      <c r="B641" t="s">
        <v>2108</v>
      </c>
      <c r="C641" s="4">
        <f>(AA641*(H641*0.9))*12</f>
        <v>9401011.2000000011</v>
      </c>
      <c r="D641" s="4">
        <f>IF(C641=0,"",(H641*150*12)+C641)</f>
        <v>10236211.200000001</v>
      </c>
      <c r="E641" s="4">
        <f>IFERROR(D641*0.5,"")</f>
        <v>5118105.6000000006</v>
      </c>
      <c r="F641" s="4">
        <f>IFERROR(E641/0.06,"")</f>
        <v>85301760.000000015</v>
      </c>
      <c r="G641" s="4">
        <f>IFERROR(F641/H641,"")</f>
        <v>183840.00000000003</v>
      </c>
      <c r="H641" s="1">
        <v>464</v>
      </c>
      <c r="I641" s="1">
        <v>1998</v>
      </c>
      <c r="J641" t="s">
        <v>64</v>
      </c>
      <c r="K641" t="s">
        <v>140</v>
      </c>
      <c r="L641" t="s">
        <v>1277</v>
      </c>
      <c r="M641" t="s">
        <v>2109</v>
      </c>
      <c r="N641" t="s">
        <v>2110</v>
      </c>
      <c r="O641" t="s">
        <v>1277</v>
      </c>
      <c r="P641" s="1">
        <v>4</v>
      </c>
      <c r="Q641" t="s">
        <v>91</v>
      </c>
      <c r="R641" t="s">
        <v>70</v>
      </c>
      <c r="S641" t="s">
        <v>71</v>
      </c>
      <c r="U641" t="s">
        <v>72</v>
      </c>
      <c r="V641" t="s">
        <v>134</v>
      </c>
      <c r="W641" t="s">
        <v>74</v>
      </c>
      <c r="X641" t="s">
        <v>2111</v>
      </c>
      <c r="Y641" s="2">
        <v>1000</v>
      </c>
      <c r="Z641" s="3">
        <v>1.88</v>
      </c>
      <c r="AA641" s="4">
        <v>1876</v>
      </c>
      <c r="AK641" s="5">
        <v>7.9741</v>
      </c>
      <c r="AN641" s="1">
        <v>2</v>
      </c>
      <c r="AO641" t="s">
        <v>81</v>
      </c>
      <c r="AP641" t="s">
        <v>82</v>
      </c>
      <c r="AQ641" t="s">
        <v>83</v>
      </c>
      <c r="AR641" s="3">
        <v>1.84</v>
      </c>
      <c r="AS641" s="4">
        <v>2022</v>
      </c>
      <c r="AT641" s="1">
        <v>1096</v>
      </c>
      <c r="AU641" s="3">
        <v>1.72</v>
      </c>
      <c r="AV641" s="4">
        <v>2495</v>
      </c>
      <c r="AW641" s="1">
        <v>1454</v>
      </c>
      <c r="AX641" s="3">
        <v>1438977.35</v>
      </c>
      <c r="BB641" t="s">
        <v>84</v>
      </c>
      <c r="BD641" s="3">
        <v>1.99</v>
      </c>
      <c r="BE641" s="4">
        <v>1581</v>
      </c>
      <c r="BF641" s="1">
        <v>795</v>
      </c>
      <c r="BG641" s="1">
        <v>211</v>
      </c>
      <c r="BH641" s="1">
        <v>200</v>
      </c>
      <c r="BI641" s="1">
        <v>53</v>
      </c>
    </row>
    <row r="642" spans="1:67" x14ac:dyDescent="0.25">
      <c r="A642" t="s">
        <v>3954</v>
      </c>
      <c r="B642" t="s">
        <v>3955</v>
      </c>
      <c r="C642" s="4">
        <f>(AA642*(H642*0.9))*12</f>
        <v>7447604.4000000004</v>
      </c>
      <c r="D642" s="4">
        <f>IF(C642=0,"",(H642*150*12)+C642)</f>
        <v>8108204.4000000004</v>
      </c>
      <c r="E642" s="4">
        <f>IFERROR(D642*0.5,"")</f>
        <v>4054102.2</v>
      </c>
      <c r="F642" s="4">
        <f>IFERROR(E642/0.06,"")</f>
        <v>67568370</v>
      </c>
      <c r="G642" s="4">
        <f>IFERROR(F642/H642,"")</f>
        <v>184110</v>
      </c>
      <c r="H642" s="1">
        <v>367</v>
      </c>
      <c r="I642" s="1">
        <v>1998</v>
      </c>
      <c r="J642" t="s">
        <v>64</v>
      </c>
      <c r="K642" t="s">
        <v>87</v>
      </c>
      <c r="L642" t="s">
        <v>801</v>
      </c>
      <c r="M642" t="s">
        <v>3956</v>
      </c>
      <c r="N642" t="s">
        <v>3957</v>
      </c>
      <c r="O642" t="s">
        <v>801</v>
      </c>
      <c r="P642" s="1">
        <v>4</v>
      </c>
      <c r="Q642" t="s">
        <v>91</v>
      </c>
      <c r="R642" t="s">
        <v>70</v>
      </c>
      <c r="S642" t="s">
        <v>71</v>
      </c>
      <c r="U642" t="s">
        <v>72</v>
      </c>
      <c r="V642" t="s">
        <v>73</v>
      </c>
      <c r="W642" t="s">
        <v>74</v>
      </c>
      <c r="X642" t="s">
        <v>3958</v>
      </c>
      <c r="Y642" s="2">
        <v>861</v>
      </c>
      <c r="Z642" s="3">
        <v>2.1800000000000002</v>
      </c>
      <c r="AA642" s="4">
        <v>1879</v>
      </c>
      <c r="AK642" s="5">
        <v>2.4523000000000001</v>
      </c>
      <c r="AM642" s="1">
        <v>2009</v>
      </c>
      <c r="AN642" s="1">
        <v>4</v>
      </c>
      <c r="AO642" t="s">
        <v>81</v>
      </c>
      <c r="AP642" t="s">
        <v>82</v>
      </c>
      <c r="AQ642" t="s">
        <v>83</v>
      </c>
      <c r="AR642" s="3">
        <v>2.33</v>
      </c>
      <c r="AS642" s="4">
        <v>2564</v>
      </c>
      <c r="AT642" s="1">
        <v>1100</v>
      </c>
      <c r="AX642" s="3">
        <v>1007293.54</v>
      </c>
      <c r="AY642" s="3">
        <v>2.0299999999999998</v>
      </c>
      <c r="AZ642" s="4">
        <v>1603</v>
      </c>
      <c r="BA642" s="6">
        <v>790</v>
      </c>
      <c r="BB642" t="s">
        <v>84</v>
      </c>
      <c r="BD642" s="3">
        <v>2.2000000000000002</v>
      </c>
      <c r="BE642" s="4">
        <v>1813</v>
      </c>
      <c r="BF642" s="1">
        <v>823</v>
      </c>
      <c r="BG642" s="1">
        <v>186</v>
      </c>
      <c r="BH642" s="1">
        <v>65</v>
      </c>
    </row>
    <row r="643" spans="1:67" x14ac:dyDescent="0.25">
      <c r="A643" t="s">
        <v>3690</v>
      </c>
      <c r="B643" t="s">
        <v>3691</v>
      </c>
      <c r="C643" s="4">
        <f>(AA643*(H643*0.9))*12</f>
        <v>5423846.4000000004</v>
      </c>
      <c r="D643" s="4">
        <f>IF(C643=0,"",(H643*150*12)+C643)</f>
        <v>5902646.4000000004</v>
      </c>
      <c r="E643" s="4">
        <f>IFERROR(D643*0.5,"")</f>
        <v>2951323.2</v>
      </c>
      <c r="F643" s="4">
        <f>IFERROR(E643/0.06,"")</f>
        <v>49188720.000000007</v>
      </c>
      <c r="G643" s="4">
        <f>IFERROR(F643/H643,"")</f>
        <v>184920.00000000003</v>
      </c>
      <c r="H643" s="1">
        <v>266</v>
      </c>
      <c r="I643" s="1">
        <v>1997</v>
      </c>
      <c r="J643" t="s">
        <v>64</v>
      </c>
      <c r="K643" t="s">
        <v>140</v>
      </c>
      <c r="L643" t="s">
        <v>478</v>
      </c>
      <c r="M643" t="s">
        <v>3692</v>
      </c>
      <c r="N643" t="s">
        <v>3693</v>
      </c>
      <c r="O643" t="s">
        <v>478</v>
      </c>
      <c r="P643" s="1">
        <v>3</v>
      </c>
      <c r="Q643" t="s">
        <v>91</v>
      </c>
      <c r="R643" t="s">
        <v>70</v>
      </c>
      <c r="S643" t="s">
        <v>71</v>
      </c>
      <c r="U643" t="s">
        <v>72</v>
      </c>
      <c r="V643" t="s">
        <v>140</v>
      </c>
      <c r="W643" t="s">
        <v>74</v>
      </c>
      <c r="X643" t="s">
        <v>1351</v>
      </c>
      <c r="Y643" s="2">
        <v>1098</v>
      </c>
      <c r="Z643" s="3">
        <v>1.72</v>
      </c>
      <c r="AA643" s="4">
        <v>1888</v>
      </c>
      <c r="AK643" s="5">
        <v>6.7668999999999997</v>
      </c>
      <c r="AN643" s="1">
        <v>2</v>
      </c>
      <c r="AO643" t="s">
        <v>81</v>
      </c>
      <c r="AP643" t="s">
        <v>82</v>
      </c>
      <c r="AQ643" t="s">
        <v>83</v>
      </c>
      <c r="AR643" s="3">
        <v>1.63</v>
      </c>
      <c r="AS643" s="4">
        <v>2084</v>
      </c>
      <c r="AT643" s="1">
        <v>1283</v>
      </c>
      <c r="AX643" s="3">
        <v>870933.63</v>
      </c>
      <c r="BB643" t="s">
        <v>84</v>
      </c>
      <c r="BD643" s="3">
        <v>1.88</v>
      </c>
      <c r="BE643" s="4">
        <v>1653</v>
      </c>
      <c r="BF643" s="1">
        <v>878</v>
      </c>
      <c r="BG643" s="1">
        <v>121</v>
      </c>
      <c r="BH643" s="1">
        <v>145</v>
      </c>
    </row>
    <row r="644" spans="1:67" x14ac:dyDescent="0.25">
      <c r="A644" t="s">
        <v>3050</v>
      </c>
      <c r="B644" t="s">
        <v>3051</v>
      </c>
      <c r="C644" s="4">
        <f>(AA644*(H644*0.9))*12</f>
        <v>6648480</v>
      </c>
      <c r="D644" s="4">
        <f>IF(C644=0,"",(H644*150*12)+C644)</f>
        <v>7231680</v>
      </c>
      <c r="E644" s="4">
        <f>IFERROR(D644*0.5,"")</f>
        <v>3615840</v>
      </c>
      <c r="F644" s="4">
        <f>IFERROR(E644/0.06,"")</f>
        <v>60264000</v>
      </c>
      <c r="G644" s="4">
        <f>IFERROR(F644/H644,"")</f>
        <v>186000</v>
      </c>
      <c r="H644" s="1">
        <v>324</v>
      </c>
      <c r="I644" s="1">
        <v>2000</v>
      </c>
      <c r="J644" t="s">
        <v>64</v>
      </c>
      <c r="K644" t="s">
        <v>140</v>
      </c>
      <c r="L644" t="s">
        <v>3052</v>
      </c>
      <c r="M644" t="s">
        <v>3053</v>
      </c>
      <c r="N644" t="s">
        <v>3054</v>
      </c>
      <c r="O644" t="s">
        <v>3052</v>
      </c>
      <c r="P644" s="1">
        <v>3</v>
      </c>
      <c r="Q644" t="s">
        <v>91</v>
      </c>
      <c r="R644" t="s">
        <v>70</v>
      </c>
      <c r="S644" t="s">
        <v>71</v>
      </c>
      <c r="U644" t="s">
        <v>72</v>
      </c>
      <c r="V644" t="s">
        <v>140</v>
      </c>
      <c r="W644" t="s">
        <v>74</v>
      </c>
      <c r="X644" t="s">
        <v>144</v>
      </c>
      <c r="Y644" s="2">
        <v>1205</v>
      </c>
      <c r="Z644" s="3">
        <v>1.58</v>
      </c>
      <c r="AA644" s="4">
        <v>1900</v>
      </c>
      <c r="AK644" s="5">
        <v>6.1727999999999996</v>
      </c>
      <c r="AM644" s="1">
        <v>2017</v>
      </c>
      <c r="AN644" s="1">
        <v>2</v>
      </c>
      <c r="AO644" t="s">
        <v>81</v>
      </c>
      <c r="AP644" t="s">
        <v>82</v>
      </c>
      <c r="AQ644" t="s">
        <v>83</v>
      </c>
      <c r="AR644" s="3">
        <v>1.58</v>
      </c>
      <c r="AS644" s="4">
        <v>1995</v>
      </c>
      <c r="AT644" s="1">
        <v>1262</v>
      </c>
      <c r="AU644" s="3">
        <v>1.58</v>
      </c>
      <c r="AV644" s="4">
        <v>2499</v>
      </c>
      <c r="AW644" s="1">
        <v>1585</v>
      </c>
      <c r="AX644" s="3">
        <v>977508.88</v>
      </c>
      <c r="BB644" t="s">
        <v>84</v>
      </c>
      <c r="BD644" s="3">
        <v>1.56</v>
      </c>
      <c r="BE644" s="4">
        <v>1404</v>
      </c>
      <c r="BF644" s="1">
        <v>901</v>
      </c>
      <c r="BG644" s="1">
        <v>95</v>
      </c>
      <c r="BH644" s="1">
        <v>179</v>
      </c>
      <c r="BI644" s="1">
        <v>50</v>
      </c>
      <c r="BL644" t="s">
        <v>131</v>
      </c>
    </row>
    <row r="645" spans="1:67" x14ac:dyDescent="0.25">
      <c r="A645" t="s">
        <v>4107</v>
      </c>
      <c r="B645" t="s">
        <v>4108</v>
      </c>
      <c r="C645" s="4">
        <f>(AA645*(H645*0.9))*12</f>
        <v>3720816</v>
      </c>
      <c r="D645" s="4">
        <f>IF(C645=0,"",(H645*150*12)+C645)</f>
        <v>4044816</v>
      </c>
      <c r="E645" s="4">
        <f>IFERROR(D645*0.5,"")</f>
        <v>2022408</v>
      </c>
      <c r="F645" s="4">
        <f>IFERROR(E645/0.06,"")</f>
        <v>33706800</v>
      </c>
      <c r="G645" s="4">
        <f>IFERROR(F645/H645,"")</f>
        <v>187260</v>
      </c>
      <c r="H645" s="1">
        <v>180</v>
      </c>
      <c r="I645" s="1">
        <v>1992</v>
      </c>
      <c r="J645" t="s">
        <v>64</v>
      </c>
      <c r="K645" t="s">
        <v>1761</v>
      </c>
      <c r="L645" t="s">
        <v>4109</v>
      </c>
      <c r="M645" t="s">
        <v>4110</v>
      </c>
      <c r="N645" t="s">
        <v>4111</v>
      </c>
      <c r="O645" t="s">
        <v>4109</v>
      </c>
      <c r="P645" s="1">
        <v>3</v>
      </c>
      <c r="Q645" t="s">
        <v>91</v>
      </c>
      <c r="R645" t="s">
        <v>70</v>
      </c>
      <c r="S645" t="s">
        <v>71</v>
      </c>
      <c r="U645" t="s">
        <v>72</v>
      </c>
      <c r="V645" t="s">
        <v>73</v>
      </c>
      <c r="W645" t="s">
        <v>74</v>
      </c>
      <c r="X645" t="s">
        <v>75</v>
      </c>
      <c r="Y645" s="2">
        <v>973</v>
      </c>
      <c r="Z645" s="3">
        <v>1.97</v>
      </c>
      <c r="AA645" s="4">
        <v>1914</v>
      </c>
      <c r="AK645" s="5">
        <v>7.7778</v>
      </c>
      <c r="AN645" s="1">
        <v>3</v>
      </c>
      <c r="AO645" t="s">
        <v>81</v>
      </c>
      <c r="AP645" t="s">
        <v>82</v>
      </c>
      <c r="AQ645" t="s">
        <v>83</v>
      </c>
      <c r="AR645" s="3">
        <v>1.83</v>
      </c>
      <c r="AS645" s="4">
        <v>2064</v>
      </c>
      <c r="AT645" s="1">
        <v>1126</v>
      </c>
      <c r="AX645" s="3">
        <v>871661.7</v>
      </c>
      <c r="BB645" t="s">
        <v>84</v>
      </c>
      <c r="BD645" s="3">
        <v>2.19</v>
      </c>
      <c r="BE645" s="4">
        <v>1734</v>
      </c>
      <c r="BF645" s="1">
        <v>790</v>
      </c>
      <c r="BG645" s="1">
        <v>82</v>
      </c>
      <c r="BH645" s="1">
        <v>98</v>
      </c>
      <c r="BL645" t="s">
        <v>94</v>
      </c>
    </row>
    <row r="646" spans="1:67" x14ac:dyDescent="0.25">
      <c r="A646" t="s">
        <v>3932</v>
      </c>
      <c r="B646" t="s">
        <v>3933</v>
      </c>
      <c r="C646" s="4">
        <f>(AA646*(H646*0.9))*12</f>
        <v>6797865.5999999996</v>
      </c>
      <c r="D646" s="4">
        <f>IF(C646=0,"",(H646*150*12)+C646)</f>
        <v>7388265.5999999996</v>
      </c>
      <c r="E646" s="4">
        <f>IFERROR(D646*0.5,"")</f>
        <v>3694132.8</v>
      </c>
      <c r="F646" s="4">
        <f>IFERROR(E646/0.06,"")</f>
        <v>61568880</v>
      </c>
      <c r="G646" s="4">
        <f>IFERROR(F646/H646,"")</f>
        <v>187710</v>
      </c>
      <c r="H646" s="1">
        <v>328</v>
      </c>
      <c r="I646" s="1">
        <v>1999</v>
      </c>
      <c r="J646" t="s">
        <v>64</v>
      </c>
      <c r="K646" t="s">
        <v>140</v>
      </c>
      <c r="L646" t="s">
        <v>1290</v>
      </c>
      <c r="M646" t="s">
        <v>3934</v>
      </c>
      <c r="N646" t="s">
        <v>3935</v>
      </c>
      <c r="O646" t="s">
        <v>1290</v>
      </c>
      <c r="P646" s="1">
        <v>3</v>
      </c>
      <c r="Q646" t="s">
        <v>69</v>
      </c>
      <c r="R646" t="s">
        <v>70</v>
      </c>
      <c r="S646" t="s">
        <v>71</v>
      </c>
      <c r="U646" t="s">
        <v>72</v>
      </c>
      <c r="V646" t="s">
        <v>140</v>
      </c>
      <c r="W646" t="s">
        <v>74</v>
      </c>
      <c r="X646" t="s">
        <v>1535</v>
      </c>
      <c r="Y646" s="2">
        <v>1033</v>
      </c>
      <c r="Z646" s="3">
        <v>1.86</v>
      </c>
      <c r="AA646" s="4">
        <v>1919</v>
      </c>
      <c r="AK646" s="5">
        <v>4.2683</v>
      </c>
      <c r="AN646" s="1">
        <v>3</v>
      </c>
      <c r="AO646" t="s">
        <v>81</v>
      </c>
      <c r="AP646" t="s">
        <v>82</v>
      </c>
      <c r="AQ646" t="s">
        <v>83</v>
      </c>
      <c r="AR646" s="3">
        <v>1.88</v>
      </c>
      <c r="AS646" s="4">
        <v>2182</v>
      </c>
      <c r="AT646" s="1">
        <v>1163</v>
      </c>
      <c r="AU646" s="3">
        <v>1.58</v>
      </c>
      <c r="AV646" s="4">
        <v>2406</v>
      </c>
      <c r="AW646" s="1">
        <v>1520</v>
      </c>
      <c r="AX646" s="3">
        <v>990473.54</v>
      </c>
      <c r="BB646" t="s">
        <v>84</v>
      </c>
      <c r="BD646" s="3">
        <v>1.94</v>
      </c>
      <c r="BE646" s="4">
        <v>1592</v>
      </c>
      <c r="BF646" s="1">
        <v>820</v>
      </c>
      <c r="BG646" s="1">
        <v>159</v>
      </c>
      <c r="BH646" s="1">
        <v>135</v>
      </c>
      <c r="BI646" s="1">
        <v>34</v>
      </c>
      <c r="BK646" t="s">
        <v>731</v>
      </c>
      <c r="BL646" t="s">
        <v>744</v>
      </c>
    </row>
    <row r="647" spans="1:67" x14ac:dyDescent="0.25">
      <c r="A647" t="s">
        <v>2096</v>
      </c>
      <c r="B647" t="s">
        <v>2097</v>
      </c>
      <c r="C647" s="4">
        <f>(AA647*(H647*0.9))*12</f>
        <v>2760760.8</v>
      </c>
      <c r="D647" s="4">
        <f>IF(C647=0,"",(H647*150*12)+C647)</f>
        <v>3000160.8</v>
      </c>
      <c r="E647" s="4">
        <f>IFERROR(D647*0.5,"")</f>
        <v>1500080.4</v>
      </c>
      <c r="F647" s="4">
        <f>IFERROR(E647/0.06,"")</f>
        <v>25001340</v>
      </c>
      <c r="G647" s="4">
        <f>IFERROR(F647/H647,"")</f>
        <v>187980</v>
      </c>
      <c r="H647" s="1">
        <v>133</v>
      </c>
      <c r="I647" s="1">
        <v>1991</v>
      </c>
      <c r="J647" t="s">
        <v>64</v>
      </c>
      <c r="K647" t="s">
        <v>87</v>
      </c>
      <c r="L647" t="s">
        <v>801</v>
      </c>
      <c r="M647" t="s">
        <v>2098</v>
      </c>
      <c r="N647" t="s">
        <v>2099</v>
      </c>
      <c r="O647" t="s">
        <v>801</v>
      </c>
      <c r="P647" s="1">
        <v>3</v>
      </c>
      <c r="Q647" t="s">
        <v>91</v>
      </c>
      <c r="R647" t="s">
        <v>70</v>
      </c>
      <c r="S647" t="s">
        <v>71</v>
      </c>
      <c r="U647" t="s">
        <v>72</v>
      </c>
      <c r="V647" t="s">
        <v>73</v>
      </c>
      <c r="W647" t="s">
        <v>74</v>
      </c>
      <c r="X647" t="s">
        <v>92</v>
      </c>
      <c r="Y647" s="2">
        <v>769</v>
      </c>
      <c r="Z647" s="3">
        <v>2.5</v>
      </c>
      <c r="AA647" s="4">
        <v>1922</v>
      </c>
      <c r="AK647" s="5">
        <v>3.7593999999999999</v>
      </c>
      <c r="AN647" s="1">
        <v>4</v>
      </c>
      <c r="AO647" t="s">
        <v>81</v>
      </c>
      <c r="AP647" t="s">
        <v>82</v>
      </c>
      <c r="AQ647" t="s">
        <v>83</v>
      </c>
      <c r="AR647" s="3">
        <v>2.35</v>
      </c>
      <c r="AS647" s="4">
        <v>2305</v>
      </c>
      <c r="AT647" s="1">
        <v>981</v>
      </c>
      <c r="AX647" s="3">
        <v>706809.3</v>
      </c>
      <c r="AY647" s="3">
        <v>3.18</v>
      </c>
      <c r="AZ647" s="4">
        <v>1547</v>
      </c>
      <c r="BA647" s="6">
        <v>486</v>
      </c>
      <c r="BB647" t="s">
        <v>84</v>
      </c>
      <c r="BD647" s="3">
        <v>2.5499999999999998</v>
      </c>
      <c r="BE647" s="4">
        <v>1804</v>
      </c>
      <c r="BF647" s="1">
        <v>708</v>
      </c>
      <c r="BG647" s="1">
        <v>94</v>
      </c>
      <c r="BH647" s="1">
        <v>34</v>
      </c>
    </row>
    <row r="648" spans="1:67" x14ac:dyDescent="0.25">
      <c r="A648" t="s">
        <v>1759</v>
      </c>
      <c r="B648" t="s">
        <v>1760</v>
      </c>
      <c r="C648" s="4">
        <f>(AA648*(H648*0.9))*12</f>
        <v>10301126.4</v>
      </c>
      <c r="D648" s="4">
        <f>IF(C648=0,"",(H648*150*12)+C648)</f>
        <v>11193926.4</v>
      </c>
      <c r="E648" s="4">
        <f>IFERROR(D648*0.5,"")</f>
        <v>5596963.2000000002</v>
      </c>
      <c r="F648" s="4">
        <f>IFERROR(E648/0.06,"")</f>
        <v>93282720</v>
      </c>
      <c r="G648" s="4">
        <f>IFERROR(F648/H648,"")</f>
        <v>188070</v>
      </c>
      <c r="H648" s="1">
        <v>496</v>
      </c>
      <c r="I648" s="1">
        <v>1985</v>
      </c>
      <c r="J648" t="s">
        <v>64</v>
      </c>
      <c r="K648" t="s">
        <v>1761</v>
      </c>
      <c r="L648" t="s">
        <v>1762</v>
      </c>
      <c r="M648" t="s">
        <v>1763</v>
      </c>
      <c r="N648" t="s">
        <v>1764</v>
      </c>
      <c r="O648" t="s">
        <v>1762</v>
      </c>
      <c r="P648" s="1">
        <v>3</v>
      </c>
      <c r="Q648" t="s">
        <v>91</v>
      </c>
      <c r="R648" t="s">
        <v>70</v>
      </c>
      <c r="S648" t="s">
        <v>71</v>
      </c>
      <c r="U648" t="s">
        <v>72</v>
      </c>
      <c r="V648" t="s">
        <v>73</v>
      </c>
      <c r="W648" t="s">
        <v>74</v>
      </c>
      <c r="X648" t="s">
        <v>75</v>
      </c>
      <c r="Y648" s="2">
        <v>900</v>
      </c>
      <c r="Z648" s="3">
        <v>2.14</v>
      </c>
      <c r="AA648" s="4">
        <v>1923</v>
      </c>
      <c r="AK648" s="5">
        <v>5.6452</v>
      </c>
      <c r="AN648" s="1">
        <v>3</v>
      </c>
      <c r="AO648" t="s">
        <v>81</v>
      </c>
      <c r="AP648" t="s">
        <v>82</v>
      </c>
      <c r="AQ648" t="s">
        <v>83</v>
      </c>
      <c r="AR648" s="3">
        <v>2.0499999999999998</v>
      </c>
      <c r="AS648" s="4">
        <v>2017</v>
      </c>
      <c r="AT648" s="1">
        <v>985</v>
      </c>
      <c r="AX648" s="3">
        <v>1297996.1200000001</v>
      </c>
      <c r="BB648" t="s">
        <v>84</v>
      </c>
      <c r="BD648" s="3">
        <v>2.25</v>
      </c>
      <c r="BE648" s="4">
        <v>1822</v>
      </c>
      <c r="BF648" s="1">
        <v>809</v>
      </c>
      <c r="BG648" s="1">
        <v>239</v>
      </c>
      <c r="BH648" s="1">
        <v>257</v>
      </c>
      <c r="BK648" t="s">
        <v>386</v>
      </c>
      <c r="BL648" t="s">
        <v>131</v>
      </c>
    </row>
    <row r="649" spans="1:67" x14ac:dyDescent="0.25">
      <c r="A649" t="s">
        <v>2608</v>
      </c>
      <c r="B649" t="s">
        <v>2609</v>
      </c>
      <c r="C649" s="4">
        <f>(AA649*(H649*0.9))*12</f>
        <v>3341952</v>
      </c>
      <c r="D649" s="4">
        <f>IF(C649=0,"",(H649*150*12)+C649)</f>
        <v>3629952</v>
      </c>
      <c r="E649" s="4">
        <f>IFERROR(D649*0.5,"")</f>
        <v>1814976</v>
      </c>
      <c r="F649" s="4">
        <f>IFERROR(E649/0.06,"")</f>
        <v>30249600</v>
      </c>
      <c r="G649" s="4">
        <f>IFERROR(F649/H649,"")</f>
        <v>189060</v>
      </c>
      <c r="H649" s="1">
        <v>160</v>
      </c>
      <c r="I649" s="1">
        <v>1999</v>
      </c>
      <c r="J649" t="s">
        <v>64</v>
      </c>
      <c r="K649" t="s">
        <v>531</v>
      </c>
      <c r="L649" t="s">
        <v>2610</v>
      </c>
      <c r="M649" t="s">
        <v>2611</v>
      </c>
      <c r="N649" t="s">
        <v>2610</v>
      </c>
      <c r="P649" s="1">
        <v>3</v>
      </c>
      <c r="Q649" t="s">
        <v>91</v>
      </c>
      <c r="R649" t="s">
        <v>70</v>
      </c>
      <c r="S649" t="s">
        <v>71</v>
      </c>
      <c r="T649" t="s">
        <v>118</v>
      </c>
      <c r="U649" t="s">
        <v>72</v>
      </c>
      <c r="V649" t="s">
        <v>531</v>
      </c>
      <c r="W649" t="s">
        <v>74</v>
      </c>
      <c r="X649" t="s">
        <v>2034</v>
      </c>
      <c r="Y649" s="2">
        <v>1273</v>
      </c>
      <c r="Z649" s="3">
        <v>1.52</v>
      </c>
      <c r="AA649" s="4">
        <v>1934</v>
      </c>
      <c r="AK649" s="5">
        <v>5.625</v>
      </c>
      <c r="AN649" s="1">
        <v>2</v>
      </c>
      <c r="AO649" t="s">
        <v>81</v>
      </c>
      <c r="AP649" t="s">
        <v>82</v>
      </c>
      <c r="AQ649" t="s">
        <v>83</v>
      </c>
      <c r="AU649" s="3">
        <v>1.58</v>
      </c>
      <c r="AV649" s="4">
        <v>1847</v>
      </c>
      <c r="AW649" s="1">
        <v>1167</v>
      </c>
      <c r="AX649" s="3">
        <v>337619.25</v>
      </c>
      <c r="BB649" t="s">
        <v>84</v>
      </c>
      <c r="BI649" s="1">
        <v>56</v>
      </c>
      <c r="BJ649" s="1">
        <v>104</v>
      </c>
      <c r="BL649" t="s">
        <v>131</v>
      </c>
      <c r="BM649" s="3">
        <v>1.49</v>
      </c>
      <c r="BN649" s="4">
        <v>1981</v>
      </c>
      <c r="BO649" s="1">
        <v>1331</v>
      </c>
    </row>
    <row r="650" spans="1:67" x14ac:dyDescent="0.25">
      <c r="A650" t="s">
        <v>4247</v>
      </c>
      <c r="B650" t="s">
        <v>4248</v>
      </c>
      <c r="C650" s="4">
        <f>(AA650*(H650*0.9))*12</f>
        <v>32642676</v>
      </c>
      <c r="D650" s="4">
        <f>IF(C650=0,"",(H650*150*12)+C650)</f>
        <v>35454276</v>
      </c>
      <c r="E650" s="4">
        <f>IFERROR(D650*0.5,"")</f>
        <v>17727138</v>
      </c>
      <c r="F650" s="4">
        <f>IFERROR(E650/0.06,"")</f>
        <v>295452300</v>
      </c>
      <c r="G650" s="4">
        <f>IFERROR(F650/H650,"")</f>
        <v>189150</v>
      </c>
      <c r="H650" s="1">
        <v>1562</v>
      </c>
      <c r="I650" s="1">
        <v>1999</v>
      </c>
      <c r="J650" t="s">
        <v>64</v>
      </c>
      <c r="K650" t="s">
        <v>551</v>
      </c>
      <c r="L650" t="s">
        <v>2383</v>
      </c>
      <c r="M650" t="s">
        <v>4249</v>
      </c>
      <c r="N650" t="s">
        <v>4250</v>
      </c>
      <c r="O650" t="s">
        <v>2383</v>
      </c>
      <c r="P650" s="1">
        <v>4</v>
      </c>
      <c r="Q650" t="s">
        <v>91</v>
      </c>
      <c r="R650" t="s">
        <v>70</v>
      </c>
      <c r="S650" t="s">
        <v>71</v>
      </c>
      <c r="U650" t="s">
        <v>72</v>
      </c>
      <c r="V650" t="s">
        <v>3413</v>
      </c>
      <c r="W650" t="s">
        <v>74</v>
      </c>
      <c r="X650" t="s">
        <v>3416</v>
      </c>
      <c r="Y650" s="2">
        <v>1046</v>
      </c>
      <c r="Z650" s="3">
        <v>1.85</v>
      </c>
      <c r="AA650" s="4">
        <v>1935</v>
      </c>
      <c r="AK650" s="5">
        <v>7.8745000000000003</v>
      </c>
      <c r="AN650" s="1">
        <v>4</v>
      </c>
      <c r="AO650" t="s">
        <v>81</v>
      </c>
      <c r="AP650" t="s">
        <v>82</v>
      </c>
      <c r="AQ650" t="s">
        <v>83</v>
      </c>
      <c r="AR650" s="3">
        <v>1.77</v>
      </c>
      <c r="AS650" s="4">
        <v>2352</v>
      </c>
      <c r="AT650" s="1">
        <v>1332</v>
      </c>
      <c r="AU650" s="3">
        <v>1.83</v>
      </c>
      <c r="AV650" s="4">
        <v>3167</v>
      </c>
      <c r="AW650" s="1">
        <v>1730</v>
      </c>
      <c r="AX650" s="3">
        <v>1637016.45</v>
      </c>
      <c r="AY650" s="3">
        <v>2.29</v>
      </c>
      <c r="AZ650" s="4">
        <v>1587</v>
      </c>
      <c r="BA650" s="6">
        <v>692</v>
      </c>
      <c r="BB650" t="s">
        <v>84</v>
      </c>
      <c r="BD650" s="3">
        <v>1.94</v>
      </c>
      <c r="BE650" s="4">
        <v>1591</v>
      </c>
      <c r="BF650" s="1">
        <v>821</v>
      </c>
      <c r="BG650" s="1">
        <v>932</v>
      </c>
      <c r="BH650" s="1">
        <v>540</v>
      </c>
      <c r="BI650" s="1">
        <v>84</v>
      </c>
    </row>
    <row r="651" spans="1:67" x14ac:dyDescent="0.25">
      <c r="A651" t="s">
        <v>3527</v>
      </c>
      <c r="B651" t="s">
        <v>3528</v>
      </c>
      <c r="C651" s="4">
        <f>(AA651*(H651*0.9))*12</f>
        <v>2616300</v>
      </c>
      <c r="D651" s="4">
        <f>IF(C651=0,"",(H651*150*12)+C651)</f>
        <v>2841300</v>
      </c>
      <c r="E651" s="4">
        <f>IFERROR(D651*0.5,"")</f>
        <v>1420650</v>
      </c>
      <c r="F651" s="4">
        <f>IFERROR(E651/0.06,"")</f>
        <v>23677500</v>
      </c>
      <c r="G651" s="4">
        <f>IFERROR(F651/H651,"")</f>
        <v>189420</v>
      </c>
      <c r="H651" s="1">
        <v>125</v>
      </c>
      <c r="I651" s="1">
        <v>1998</v>
      </c>
      <c r="J651" t="s">
        <v>64</v>
      </c>
      <c r="K651" t="s">
        <v>551</v>
      </c>
      <c r="L651" t="s">
        <v>3529</v>
      </c>
      <c r="M651" t="s">
        <v>3530</v>
      </c>
      <c r="N651" t="s">
        <v>3531</v>
      </c>
      <c r="O651" t="s">
        <v>3529</v>
      </c>
      <c r="P651" s="1">
        <v>3</v>
      </c>
      <c r="Q651" t="s">
        <v>91</v>
      </c>
      <c r="R651" t="s">
        <v>70</v>
      </c>
      <c r="S651" t="s">
        <v>71</v>
      </c>
      <c r="U651" t="s">
        <v>72</v>
      </c>
      <c r="V651" t="s">
        <v>551</v>
      </c>
      <c r="W651" t="s">
        <v>74</v>
      </c>
      <c r="X651" t="s">
        <v>3532</v>
      </c>
      <c r="Y651" s="2">
        <v>464</v>
      </c>
      <c r="Z651" s="3">
        <v>4.17</v>
      </c>
      <c r="AA651" s="4">
        <v>1938</v>
      </c>
      <c r="AK651" s="5">
        <v>0.8</v>
      </c>
      <c r="AN651" s="1">
        <v>2</v>
      </c>
      <c r="AO651" t="s">
        <v>81</v>
      </c>
      <c r="AP651" t="s">
        <v>82</v>
      </c>
      <c r="AQ651" t="s">
        <v>83</v>
      </c>
      <c r="AR651" s="3">
        <v>3.58</v>
      </c>
      <c r="AS651" s="4">
        <v>2328</v>
      </c>
      <c r="AT651" s="1">
        <v>650</v>
      </c>
      <c r="AX651" s="3">
        <v>133824.64000000001</v>
      </c>
      <c r="AY651" s="3">
        <v>5.21</v>
      </c>
      <c r="AZ651" s="4">
        <v>1746</v>
      </c>
      <c r="BA651" s="6">
        <v>335</v>
      </c>
      <c r="BB651" t="s">
        <v>84</v>
      </c>
      <c r="BD651" s="3">
        <v>4.0599999999999996</v>
      </c>
      <c r="BE651" s="4">
        <v>1825</v>
      </c>
      <c r="BF651" s="1">
        <v>450</v>
      </c>
      <c r="BG651" s="1">
        <v>45</v>
      </c>
      <c r="BH651" s="1">
        <v>35</v>
      </c>
      <c r="BL651" t="s">
        <v>94</v>
      </c>
    </row>
    <row r="652" spans="1:67" x14ac:dyDescent="0.25">
      <c r="A652" t="s">
        <v>3029</v>
      </c>
      <c r="B652" t="s">
        <v>3030</v>
      </c>
      <c r="C652" s="4">
        <f>(AA652*(H652*0.9))*12</f>
        <v>2898828</v>
      </c>
      <c r="D652" s="4">
        <f>IF(C652=0,"",(H652*150*12)+C652)</f>
        <v>3147228</v>
      </c>
      <c r="E652" s="4">
        <f>IFERROR(D652*0.5,"")</f>
        <v>1573614</v>
      </c>
      <c r="F652" s="4">
        <f>IFERROR(E652/0.06,"")</f>
        <v>26226900</v>
      </c>
      <c r="G652" s="4">
        <f>IFERROR(F652/H652,"")</f>
        <v>190050</v>
      </c>
      <c r="H652" s="1">
        <v>138</v>
      </c>
      <c r="I652" s="1">
        <v>1996</v>
      </c>
      <c r="J652" t="s">
        <v>64</v>
      </c>
      <c r="K652" t="s">
        <v>256</v>
      </c>
      <c r="L652" t="s">
        <v>882</v>
      </c>
      <c r="M652" t="s">
        <v>3031</v>
      </c>
      <c r="N652" t="s">
        <v>3032</v>
      </c>
      <c r="O652" t="s">
        <v>882</v>
      </c>
      <c r="P652" s="1">
        <v>4</v>
      </c>
      <c r="Q652" t="s">
        <v>729</v>
      </c>
      <c r="R652" t="s">
        <v>70</v>
      </c>
      <c r="S652" t="s">
        <v>71</v>
      </c>
      <c r="U652" t="s">
        <v>72</v>
      </c>
      <c r="V652" t="s">
        <v>152</v>
      </c>
      <c r="W652" t="s">
        <v>74</v>
      </c>
      <c r="X652" t="s">
        <v>3033</v>
      </c>
      <c r="Y652" s="2">
        <v>1073</v>
      </c>
      <c r="Z652" s="3">
        <v>1.81</v>
      </c>
      <c r="AA652" s="4">
        <v>1945</v>
      </c>
      <c r="AK652" s="5">
        <v>6.5217000000000001</v>
      </c>
      <c r="AN652" s="1">
        <v>3</v>
      </c>
      <c r="AO652" t="s">
        <v>81</v>
      </c>
      <c r="AP652" t="s">
        <v>82</v>
      </c>
      <c r="AQ652" t="s">
        <v>83</v>
      </c>
      <c r="AR652" s="3">
        <v>1.85</v>
      </c>
      <c r="AS652" s="4">
        <v>1997</v>
      </c>
      <c r="AT652" s="1">
        <v>1079</v>
      </c>
      <c r="AU652" s="3">
        <v>1.76</v>
      </c>
      <c r="AV652" s="4">
        <v>2315</v>
      </c>
      <c r="AW652" s="1">
        <v>1314</v>
      </c>
      <c r="AX652" s="3">
        <v>228057.52</v>
      </c>
      <c r="BB652" t="s">
        <v>84</v>
      </c>
      <c r="BD652" s="3">
        <v>1.86</v>
      </c>
      <c r="BE652" s="4">
        <v>1545</v>
      </c>
      <c r="BF652" s="1">
        <v>831</v>
      </c>
      <c r="BG652" s="1">
        <v>54</v>
      </c>
      <c r="BH652" s="1">
        <v>30</v>
      </c>
      <c r="BI652" s="1">
        <v>54</v>
      </c>
      <c r="BK652" t="s">
        <v>1287</v>
      </c>
      <c r="BL652" t="s">
        <v>104</v>
      </c>
    </row>
    <row r="653" spans="1:67" x14ac:dyDescent="0.25">
      <c r="A653" t="s">
        <v>2603</v>
      </c>
      <c r="B653" t="s">
        <v>2604</v>
      </c>
      <c r="C653" s="4">
        <f>(AA653*(H653*0.9))*12</f>
        <v>11605982.399999999</v>
      </c>
      <c r="D653" s="4">
        <f>IF(C653=0,"",(H653*150*12)+C653)</f>
        <v>12592382.399999999</v>
      </c>
      <c r="E653" s="4">
        <f>IFERROR(D653*0.5,"")</f>
        <v>6296191.1999999993</v>
      </c>
      <c r="F653" s="4">
        <f>IFERROR(E653/0.06,"")</f>
        <v>104936519.99999999</v>
      </c>
      <c r="G653" s="4">
        <f>IFERROR(F653/H653,"")</f>
        <v>191489.99999999997</v>
      </c>
      <c r="H653" s="1">
        <v>548</v>
      </c>
      <c r="I653" s="1">
        <v>1998</v>
      </c>
      <c r="J653" t="s">
        <v>64</v>
      </c>
      <c r="K653" t="s">
        <v>140</v>
      </c>
      <c r="L653" t="s">
        <v>1277</v>
      </c>
      <c r="M653" t="s">
        <v>2605</v>
      </c>
      <c r="N653" t="s">
        <v>2606</v>
      </c>
      <c r="O653" t="s">
        <v>1277</v>
      </c>
      <c r="P653" s="1">
        <v>4</v>
      </c>
      <c r="Q653" t="s">
        <v>729</v>
      </c>
      <c r="R653" t="s">
        <v>70</v>
      </c>
      <c r="S653" t="s">
        <v>71</v>
      </c>
      <c r="U653" t="s">
        <v>72</v>
      </c>
      <c r="V653" t="s">
        <v>140</v>
      </c>
      <c r="W653" t="s">
        <v>74</v>
      </c>
      <c r="X653" t="s">
        <v>144</v>
      </c>
      <c r="Y653" s="2">
        <v>1154</v>
      </c>
      <c r="Z653" s="3">
        <v>1.7</v>
      </c>
      <c r="AA653" s="4">
        <v>1961</v>
      </c>
      <c r="AK653" s="5">
        <v>7.8467000000000002</v>
      </c>
      <c r="AL653" s="1">
        <v>1</v>
      </c>
      <c r="AM653" s="1">
        <v>2022</v>
      </c>
      <c r="AN653" s="1">
        <v>2</v>
      </c>
      <c r="AO653" t="s">
        <v>81</v>
      </c>
      <c r="AP653" t="s">
        <v>82</v>
      </c>
      <c r="AQ653" t="s">
        <v>83</v>
      </c>
      <c r="AR653" s="3">
        <v>1.79</v>
      </c>
      <c r="AS653" s="4">
        <v>1940</v>
      </c>
      <c r="AT653" s="1">
        <v>1083</v>
      </c>
      <c r="AU653" s="3">
        <v>1.57</v>
      </c>
      <c r="AV653" s="4">
        <v>2472</v>
      </c>
      <c r="AW653" s="1">
        <v>1574</v>
      </c>
      <c r="AX653" s="3">
        <v>1516104.84</v>
      </c>
      <c r="BB653" t="s">
        <v>84</v>
      </c>
      <c r="BD653" s="3">
        <v>1.8</v>
      </c>
      <c r="BE653" s="4">
        <v>1453</v>
      </c>
      <c r="BF653" s="1">
        <v>807</v>
      </c>
      <c r="BG653" s="1">
        <v>158</v>
      </c>
      <c r="BH653" s="1">
        <v>242</v>
      </c>
      <c r="BI653" s="1">
        <v>111</v>
      </c>
      <c r="BJ653" s="1">
        <v>37</v>
      </c>
      <c r="BK653" t="s">
        <v>2607</v>
      </c>
      <c r="BL653" t="s">
        <v>104</v>
      </c>
      <c r="BM653" s="3">
        <v>1.47</v>
      </c>
      <c r="BN653" s="4">
        <v>2731</v>
      </c>
      <c r="BO653" s="1">
        <v>1855</v>
      </c>
    </row>
    <row r="654" spans="1:67" x14ac:dyDescent="0.25">
      <c r="A654" t="s">
        <v>1930</v>
      </c>
      <c r="B654" t="s">
        <v>1931</v>
      </c>
      <c r="C654" s="4">
        <f>(AA654*(H654*0.9))*12</f>
        <v>1516730.4</v>
      </c>
      <c r="D654" s="4">
        <f>IF(C654=0,"",(H654*150*12)+C654)</f>
        <v>1644530.4</v>
      </c>
      <c r="E654" s="4">
        <f>IFERROR(D654*0.5,"")</f>
        <v>822265.2</v>
      </c>
      <c r="F654" s="4">
        <f>IFERROR(E654/0.06,"")</f>
        <v>13704420</v>
      </c>
      <c r="G654" s="4">
        <f>IFERROR(F654/H654,"")</f>
        <v>193020</v>
      </c>
      <c r="H654" s="1">
        <v>71</v>
      </c>
      <c r="I654" s="1">
        <v>1985</v>
      </c>
      <c r="J654" t="s">
        <v>64</v>
      </c>
      <c r="K654" t="s">
        <v>477</v>
      </c>
      <c r="L654" t="s">
        <v>1932</v>
      </c>
      <c r="M654" t="s">
        <v>1933</v>
      </c>
      <c r="N654" t="s">
        <v>1932</v>
      </c>
      <c r="P654" s="1">
        <v>3</v>
      </c>
      <c r="Q654" t="s">
        <v>91</v>
      </c>
      <c r="R654" t="s">
        <v>70</v>
      </c>
      <c r="S654" t="s">
        <v>71</v>
      </c>
      <c r="U654" t="s">
        <v>72</v>
      </c>
      <c r="V654" t="s">
        <v>110</v>
      </c>
      <c r="W654" t="s">
        <v>74</v>
      </c>
      <c r="X654" t="s">
        <v>1934</v>
      </c>
      <c r="Y654" s="2">
        <v>1302</v>
      </c>
      <c r="Z654" s="3">
        <v>1.52</v>
      </c>
      <c r="AA654" s="4">
        <v>1978</v>
      </c>
      <c r="AK654" s="5">
        <v>4.2253999999999996</v>
      </c>
      <c r="AN654" s="1">
        <v>2</v>
      </c>
      <c r="AO654" t="s">
        <v>81</v>
      </c>
      <c r="AP654" t="s">
        <v>82</v>
      </c>
      <c r="AQ654" t="s">
        <v>83</v>
      </c>
      <c r="AR654" s="3">
        <v>1.51</v>
      </c>
      <c r="AS654" s="4">
        <v>1966</v>
      </c>
      <c r="AT654" s="1">
        <v>1298</v>
      </c>
      <c r="AU654" s="3">
        <v>1.45</v>
      </c>
      <c r="AV654" s="4">
        <v>2259</v>
      </c>
      <c r="AW654" s="1">
        <v>1556</v>
      </c>
      <c r="AX654" s="3">
        <v>280109.48</v>
      </c>
      <c r="BB654" t="s">
        <v>84</v>
      </c>
      <c r="BD654" s="3">
        <v>1.71</v>
      </c>
      <c r="BE654" s="4">
        <v>1709</v>
      </c>
      <c r="BF654" s="1">
        <v>998</v>
      </c>
      <c r="BG654" s="1">
        <v>9</v>
      </c>
      <c r="BH654" s="1">
        <v>52</v>
      </c>
      <c r="BI654" s="1">
        <v>8</v>
      </c>
      <c r="BJ654" s="1">
        <v>2</v>
      </c>
      <c r="BL654" t="s">
        <v>131</v>
      </c>
      <c r="BM654" s="3">
        <v>1.37</v>
      </c>
      <c r="BN654" s="4">
        <v>2396</v>
      </c>
      <c r="BO654" s="1">
        <v>1754</v>
      </c>
    </row>
    <row r="655" spans="1:67" x14ac:dyDescent="0.25">
      <c r="A655" t="s">
        <v>3734</v>
      </c>
      <c r="B655" t="s">
        <v>3735</v>
      </c>
      <c r="C655" s="4">
        <f>(AA655*(H655*0.9))*12</f>
        <v>8799580.8000000007</v>
      </c>
      <c r="D655" s="4">
        <f>IF(C655=0,"",(H655*150*12)+C655)</f>
        <v>9533980.8000000007</v>
      </c>
      <c r="E655" s="4">
        <f>IFERROR(D655*0.5,"")</f>
        <v>4766990.4000000004</v>
      </c>
      <c r="F655" s="4">
        <f>IFERROR(E655/0.06,"")</f>
        <v>79449840.000000015</v>
      </c>
      <c r="G655" s="4">
        <f>IFERROR(F655/H655,"")</f>
        <v>194730.00000000003</v>
      </c>
      <c r="H655" s="1">
        <v>408</v>
      </c>
      <c r="I655" s="1">
        <v>1995</v>
      </c>
      <c r="J655" t="s">
        <v>64</v>
      </c>
      <c r="K655" t="s">
        <v>140</v>
      </c>
      <c r="L655" t="s">
        <v>3736</v>
      </c>
      <c r="M655" t="s">
        <v>3737</v>
      </c>
      <c r="N655" t="s">
        <v>3738</v>
      </c>
      <c r="O655" t="s">
        <v>3736</v>
      </c>
      <c r="P655" s="1">
        <v>4</v>
      </c>
      <c r="Q655" t="s">
        <v>729</v>
      </c>
      <c r="R655" t="s">
        <v>70</v>
      </c>
      <c r="S655" t="s">
        <v>71</v>
      </c>
      <c r="U655" t="s">
        <v>72</v>
      </c>
      <c r="V655" t="s">
        <v>134</v>
      </c>
      <c r="W655" t="s">
        <v>74</v>
      </c>
      <c r="X655" t="s">
        <v>3739</v>
      </c>
      <c r="Y655" s="2">
        <v>1007</v>
      </c>
      <c r="Z655" s="3">
        <v>1.98</v>
      </c>
      <c r="AA655" s="4">
        <v>1997</v>
      </c>
      <c r="AK655" s="5">
        <v>5.3921999999999999</v>
      </c>
      <c r="AN655" s="1">
        <v>2</v>
      </c>
      <c r="AO655" t="s">
        <v>81</v>
      </c>
      <c r="AP655" t="s">
        <v>82</v>
      </c>
      <c r="AQ655" t="s">
        <v>83</v>
      </c>
      <c r="AR655" s="3">
        <v>1.97</v>
      </c>
      <c r="AS655" s="4">
        <v>2090</v>
      </c>
      <c r="AT655" s="1">
        <v>1059</v>
      </c>
      <c r="AU655" s="3">
        <v>1.76</v>
      </c>
      <c r="AV655" s="4">
        <v>2742</v>
      </c>
      <c r="AW655" s="1">
        <v>1557</v>
      </c>
      <c r="AX655" s="3">
        <v>1367490.42</v>
      </c>
      <c r="BB655" t="s">
        <v>84</v>
      </c>
      <c r="BD655" s="3">
        <v>2.09</v>
      </c>
      <c r="BE655" s="4">
        <v>1721</v>
      </c>
      <c r="BF655" s="1">
        <v>825</v>
      </c>
      <c r="BG655" s="1">
        <v>174</v>
      </c>
      <c r="BH655" s="1">
        <v>194</v>
      </c>
      <c r="BI655" s="1">
        <v>40</v>
      </c>
    </row>
    <row r="656" spans="1:67" x14ac:dyDescent="0.25">
      <c r="A656" t="s">
        <v>2834</v>
      </c>
      <c r="B656" t="s">
        <v>2835</v>
      </c>
      <c r="C656" s="4">
        <f>(AA656*(H656*0.9))*12</f>
        <v>6454339.2000000011</v>
      </c>
      <c r="D656" s="4">
        <f>IF(C656=0,"",(H656*150*12)+C656)</f>
        <v>6987139.2000000011</v>
      </c>
      <c r="E656" s="4">
        <f>IFERROR(D656*0.5,"")</f>
        <v>3493569.6000000006</v>
      </c>
      <c r="F656" s="4">
        <f>IFERROR(E656/0.06,"")</f>
        <v>58226160.000000015</v>
      </c>
      <c r="G656" s="4">
        <f>IFERROR(F656/H656,"")</f>
        <v>196710.00000000006</v>
      </c>
      <c r="H656" s="1">
        <v>296</v>
      </c>
      <c r="I656" s="1">
        <v>1992</v>
      </c>
      <c r="J656" t="s">
        <v>64</v>
      </c>
      <c r="K656" t="s">
        <v>1498</v>
      </c>
      <c r="L656" t="s">
        <v>2836</v>
      </c>
      <c r="M656" t="s">
        <v>2837</v>
      </c>
      <c r="N656" t="s">
        <v>2838</v>
      </c>
      <c r="O656" t="s">
        <v>2836</v>
      </c>
      <c r="P656" s="1">
        <v>4</v>
      </c>
      <c r="Q656" t="s">
        <v>729</v>
      </c>
      <c r="R656" t="s">
        <v>70</v>
      </c>
      <c r="S656" t="s">
        <v>71</v>
      </c>
      <c r="U656" t="s">
        <v>72</v>
      </c>
      <c r="V656" t="s">
        <v>73</v>
      </c>
      <c r="W656" t="s">
        <v>74</v>
      </c>
      <c r="X656" t="s">
        <v>1502</v>
      </c>
      <c r="Y656" s="2">
        <v>869</v>
      </c>
      <c r="Z656" s="3">
        <v>2.3199999999999998</v>
      </c>
      <c r="AA656" s="4">
        <v>2019</v>
      </c>
      <c r="AK656" s="5">
        <v>3.7162000000000002</v>
      </c>
      <c r="AN656" s="1">
        <v>3</v>
      </c>
      <c r="AO656" t="s">
        <v>81</v>
      </c>
      <c r="AP656" t="s">
        <v>82</v>
      </c>
      <c r="AQ656" t="s">
        <v>83</v>
      </c>
      <c r="AR656" s="3">
        <v>2.19</v>
      </c>
      <c r="AS656" s="4">
        <v>2454</v>
      </c>
      <c r="AT656" s="1">
        <v>1122</v>
      </c>
      <c r="AX656" s="3">
        <v>1363368.3</v>
      </c>
      <c r="BB656" t="s">
        <v>84</v>
      </c>
      <c r="BD656" s="3">
        <v>2.42</v>
      </c>
      <c r="BE656" s="4">
        <v>1767</v>
      </c>
      <c r="BF656" s="1">
        <v>729</v>
      </c>
      <c r="BG656" s="1">
        <v>190</v>
      </c>
      <c r="BH656" s="1">
        <v>106</v>
      </c>
      <c r="BL656" t="s">
        <v>365</v>
      </c>
    </row>
    <row r="657" spans="1:67" x14ac:dyDescent="0.25">
      <c r="A657" t="s">
        <v>1359</v>
      </c>
      <c r="B657" t="s">
        <v>1360</v>
      </c>
      <c r="C657" s="4">
        <f>(AA657*(H657*0.9))*12</f>
        <v>5672160</v>
      </c>
      <c r="D657" s="4">
        <f>IF(C657=0,"",(H657*150*12)+C657)</f>
        <v>6140160</v>
      </c>
      <c r="E657" s="4">
        <f>IFERROR(D657*0.5,"")</f>
        <v>3070080</v>
      </c>
      <c r="F657" s="4">
        <f>IFERROR(E657/0.06,"")</f>
        <v>51168000</v>
      </c>
      <c r="G657" s="4">
        <f>IFERROR(F657/H657,"")</f>
        <v>196800</v>
      </c>
      <c r="H657" s="1">
        <v>260</v>
      </c>
      <c r="I657" s="1">
        <v>1985</v>
      </c>
      <c r="J657" t="s">
        <v>64</v>
      </c>
      <c r="K657" t="s">
        <v>551</v>
      </c>
      <c r="L657" t="s">
        <v>757</v>
      </c>
      <c r="M657" t="s">
        <v>1361</v>
      </c>
      <c r="N657" t="s">
        <v>1362</v>
      </c>
      <c r="O657" t="s">
        <v>757</v>
      </c>
      <c r="P657" s="1">
        <v>3</v>
      </c>
      <c r="Q657" t="s">
        <v>69</v>
      </c>
      <c r="R657" t="s">
        <v>70</v>
      </c>
      <c r="S657" t="s">
        <v>71</v>
      </c>
      <c r="U657" t="s">
        <v>72</v>
      </c>
      <c r="V657" t="s">
        <v>551</v>
      </c>
      <c r="W657" t="s">
        <v>74</v>
      </c>
      <c r="X657" t="s">
        <v>1363</v>
      </c>
      <c r="Y657" s="2">
        <v>1084</v>
      </c>
      <c r="Z657" s="3">
        <v>1.86</v>
      </c>
      <c r="AA657" s="4">
        <v>2020</v>
      </c>
      <c r="AK657" s="5">
        <v>9.2308000000000003</v>
      </c>
      <c r="AN657" s="1">
        <v>2</v>
      </c>
      <c r="AO657" t="s">
        <v>81</v>
      </c>
      <c r="AP657" t="s">
        <v>82</v>
      </c>
      <c r="AQ657" t="s">
        <v>83</v>
      </c>
      <c r="AR657" s="3">
        <v>1.88</v>
      </c>
      <c r="AS657" s="4">
        <v>1906</v>
      </c>
      <c r="AT657" s="1">
        <v>1014</v>
      </c>
      <c r="AU657" s="3">
        <v>1.85</v>
      </c>
      <c r="AV657" s="4">
        <v>2135</v>
      </c>
      <c r="AW657" s="1">
        <v>1155</v>
      </c>
      <c r="AX657" s="3">
        <v>798998.8</v>
      </c>
      <c r="BB657" t="s">
        <v>84</v>
      </c>
      <c r="BH657" s="1">
        <v>130</v>
      </c>
      <c r="BI657" s="1">
        <v>130</v>
      </c>
    </row>
    <row r="658" spans="1:67" x14ac:dyDescent="0.25">
      <c r="A658" t="s">
        <v>2873</v>
      </c>
      <c r="B658" t="s">
        <v>2874</v>
      </c>
      <c r="C658" s="4">
        <f>(AA658*(H658*0.9))*12</f>
        <v>4032028.8</v>
      </c>
      <c r="D658" s="4">
        <f>IF(C658=0,"",(H658*150*12)+C658)</f>
        <v>4363228.8</v>
      </c>
      <c r="E658" s="4">
        <f>IFERROR(D658*0.5,"")</f>
        <v>2181614.4</v>
      </c>
      <c r="F658" s="4">
        <f>IFERROR(E658/0.06,"")</f>
        <v>36360240</v>
      </c>
      <c r="G658" s="4">
        <f>IFERROR(F658/H658,"")</f>
        <v>197610</v>
      </c>
      <c r="H658" s="1">
        <v>184</v>
      </c>
      <c r="I658" s="1">
        <v>1999</v>
      </c>
      <c r="J658" t="s">
        <v>64</v>
      </c>
      <c r="K658" t="s">
        <v>134</v>
      </c>
      <c r="L658" t="s">
        <v>2875</v>
      </c>
      <c r="M658" t="s">
        <v>2876</v>
      </c>
      <c r="N658" t="s">
        <v>2877</v>
      </c>
      <c r="O658" t="s">
        <v>2875</v>
      </c>
      <c r="P658" s="1">
        <v>3</v>
      </c>
      <c r="Q658" t="s">
        <v>91</v>
      </c>
      <c r="R658" t="s">
        <v>70</v>
      </c>
      <c r="S658" t="s">
        <v>71</v>
      </c>
      <c r="T658" t="s">
        <v>118</v>
      </c>
      <c r="U658" t="s">
        <v>72</v>
      </c>
      <c r="V658" t="s">
        <v>73</v>
      </c>
      <c r="W658" t="s">
        <v>74</v>
      </c>
      <c r="X658" t="s">
        <v>2872</v>
      </c>
      <c r="Y658" s="2">
        <v>853</v>
      </c>
      <c r="Z658" s="3">
        <v>2.38</v>
      </c>
      <c r="AA658" s="4">
        <v>2029</v>
      </c>
      <c r="AK658" s="5">
        <v>8.1522000000000006</v>
      </c>
      <c r="AN658" s="1">
        <v>4</v>
      </c>
      <c r="AO658" t="s">
        <v>81</v>
      </c>
      <c r="AP658" t="s">
        <v>82</v>
      </c>
      <c r="AQ658" t="s">
        <v>83</v>
      </c>
      <c r="AR658" s="3">
        <v>2.61</v>
      </c>
      <c r="AS658" s="4">
        <v>2488</v>
      </c>
      <c r="AT658" s="1">
        <v>952</v>
      </c>
      <c r="AX658" s="3">
        <v>304589.34999999998</v>
      </c>
      <c r="BB658" t="s">
        <v>84</v>
      </c>
      <c r="BD658" s="3">
        <v>1.66</v>
      </c>
      <c r="BE658" s="4">
        <v>1079</v>
      </c>
      <c r="BF658" s="1">
        <v>650</v>
      </c>
      <c r="BG658" s="1">
        <v>60</v>
      </c>
      <c r="BH658" s="1">
        <v>124</v>
      </c>
    </row>
    <row r="659" spans="1:67" x14ac:dyDescent="0.25">
      <c r="A659" t="s">
        <v>2908</v>
      </c>
      <c r="B659" t="s">
        <v>2909</v>
      </c>
      <c r="C659" s="4">
        <f>(AA659*(H659*0.9))*12</f>
        <v>4820904</v>
      </c>
      <c r="D659" s="4">
        <f>IF(C659=0,"",(H659*150*12)+C659)</f>
        <v>5216904</v>
      </c>
      <c r="E659" s="4">
        <f>IFERROR(D659*0.5,"")</f>
        <v>2608452</v>
      </c>
      <c r="F659" s="4">
        <f>IFERROR(E659/0.06,"")</f>
        <v>43474200</v>
      </c>
      <c r="G659" s="4">
        <f>IFERROR(F659/H659,"")</f>
        <v>197610</v>
      </c>
      <c r="H659" s="1">
        <v>220</v>
      </c>
      <c r="I659" s="1">
        <v>1996</v>
      </c>
      <c r="J659" t="s">
        <v>64</v>
      </c>
      <c r="K659" t="s">
        <v>800</v>
      </c>
      <c r="L659" t="s">
        <v>2910</v>
      </c>
      <c r="M659" t="s">
        <v>2911</v>
      </c>
      <c r="N659" t="s">
        <v>2912</v>
      </c>
      <c r="O659" t="s">
        <v>2910</v>
      </c>
      <c r="P659" s="1">
        <v>3</v>
      </c>
      <c r="Q659" t="s">
        <v>91</v>
      </c>
      <c r="R659" t="s">
        <v>70</v>
      </c>
      <c r="S659" t="s">
        <v>71</v>
      </c>
      <c r="U659" t="s">
        <v>72</v>
      </c>
      <c r="V659" t="s">
        <v>800</v>
      </c>
      <c r="W659" t="s">
        <v>74</v>
      </c>
      <c r="X659" t="s">
        <v>2913</v>
      </c>
      <c r="Y659" s="2">
        <v>1007</v>
      </c>
      <c r="Z659" s="3">
        <v>2.0099999999999998</v>
      </c>
      <c r="AA659" s="4">
        <v>2029</v>
      </c>
      <c r="AK659" s="5">
        <v>5.4545000000000003</v>
      </c>
      <c r="AN659" s="1">
        <v>2</v>
      </c>
      <c r="AO659" t="s">
        <v>81</v>
      </c>
      <c r="AP659" t="s">
        <v>82</v>
      </c>
      <c r="AQ659" t="s">
        <v>83</v>
      </c>
      <c r="AR659" s="3">
        <v>1.83</v>
      </c>
      <c r="AS659" s="4">
        <v>2011</v>
      </c>
      <c r="AT659" s="1">
        <v>1097</v>
      </c>
      <c r="AU659" s="3">
        <v>1.97</v>
      </c>
      <c r="AV659" s="4">
        <v>2732</v>
      </c>
      <c r="AW659" s="1">
        <v>1390</v>
      </c>
      <c r="AX659" s="3">
        <v>245962.8</v>
      </c>
      <c r="BB659" t="s">
        <v>84</v>
      </c>
      <c r="BD659" s="3">
        <v>2.2999999999999998</v>
      </c>
      <c r="BE659" s="4">
        <v>1794</v>
      </c>
      <c r="BF659" s="1">
        <v>782</v>
      </c>
      <c r="BG659" s="1">
        <v>96</v>
      </c>
      <c r="BH659" s="1">
        <v>88</v>
      </c>
      <c r="BI659" s="1">
        <v>36</v>
      </c>
      <c r="BK659" t="s">
        <v>2914</v>
      </c>
      <c r="BL659" t="s">
        <v>131</v>
      </c>
    </row>
    <row r="660" spans="1:67" x14ac:dyDescent="0.25">
      <c r="A660" t="s">
        <v>3325</v>
      </c>
      <c r="B660" t="s">
        <v>3326</v>
      </c>
      <c r="C660" s="4">
        <f>(AA660*(H660*0.9))*12</f>
        <v>3246350.4000000004</v>
      </c>
      <c r="D660" s="4">
        <f>IF(C660=0,"",(H660*150*12)+C660)</f>
        <v>3512750.4000000004</v>
      </c>
      <c r="E660" s="4">
        <f>IFERROR(D660*0.5,"")</f>
        <v>1756375.2000000002</v>
      </c>
      <c r="F660" s="4">
        <f>IFERROR(E660/0.06,"")</f>
        <v>29272920.000000004</v>
      </c>
      <c r="G660" s="4">
        <f>IFERROR(F660/H660,"")</f>
        <v>197790.00000000003</v>
      </c>
      <c r="H660" s="1">
        <v>148</v>
      </c>
      <c r="I660" s="1">
        <v>1996</v>
      </c>
      <c r="J660" t="s">
        <v>64</v>
      </c>
      <c r="K660" t="s">
        <v>734</v>
      </c>
      <c r="L660" t="s">
        <v>3327</v>
      </c>
      <c r="M660" t="s">
        <v>3328</v>
      </c>
      <c r="N660" t="s">
        <v>3329</v>
      </c>
      <c r="O660" t="s">
        <v>3327</v>
      </c>
      <c r="P660" s="1">
        <v>3</v>
      </c>
      <c r="Q660" t="s">
        <v>91</v>
      </c>
      <c r="R660" t="s">
        <v>70</v>
      </c>
      <c r="S660" t="s">
        <v>71</v>
      </c>
      <c r="U660" t="s">
        <v>72</v>
      </c>
      <c r="V660" t="s">
        <v>73</v>
      </c>
      <c r="W660" t="s">
        <v>74</v>
      </c>
      <c r="X660" t="s">
        <v>3330</v>
      </c>
      <c r="Y660" s="2">
        <v>1238</v>
      </c>
      <c r="Z660" s="3">
        <v>1.64</v>
      </c>
      <c r="AA660" s="4">
        <v>2031</v>
      </c>
      <c r="AK660" s="5">
        <v>4.7297000000000002</v>
      </c>
      <c r="AM660" s="1">
        <v>2014</v>
      </c>
      <c r="AN660" s="1">
        <v>3</v>
      </c>
      <c r="AO660" t="s">
        <v>81</v>
      </c>
      <c r="AP660" t="s">
        <v>82</v>
      </c>
      <c r="AQ660" t="s">
        <v>83</v>
      </c>
      <c r="AR660" s="3">
        <v>1.64</v>
      </c>
      <c r="AS660" s="4">
        <v>2031</v>
      </c>
      <c r="AT660" s="1">
        <v>1239</v>
      </c>
      <c r="AX660" s="3">
        <v>569928.75</v>
      </c>
      <c r="BB660" t="s">
        <v>84</v>
      </c>
      <c r="BH660" s="1">
        <v>148</v>
      </c>
      <c r="BK660" t="s">
        <v>2217</v>
      </c>
      <c r="BL660" t="s">
        <v>104</v>
      </c>
    </row>
    <row r="661" spans="1:67" x14ac:dyDescent="0.25">
      <c r="A661" t="s">
        <v>3202</v>
      </c>
      <c r="B661" t="s">
        <v>3203</v>
      </c>
      <c r="C661" s="4">
        <f>(AA661*(H661*0.9))*12</f>
        <v>7039872</v>
      </c>
      <c r="D661" s="4">
        <f>IF(C661=0,"",(H661*150*12)+C661)</f>
        <v>7615872</v>
      </c>
      <c r="E661" s="4">
        <f>IFERROR(D661*0.5,"")</f>
        <v>3807936</v>
      </c>
      <c r="F661" s="4">
        <f>IFERROR(E661/0.06,"")</f>
        <v>63465600</v>
      </c>
      <c r="G661" s="4">
        <f>IFERROR(F661/H661,"")</f>
        <v>198330</v>
      </c>
      <c r="H661" s="1">
        <v>320</v>
      </c>
      <c r="I661" s="1">
        <v>1999</v>
      </c>
      <c r="J661" t="s">
        <v>64</v>
      </c>
      <c r="K661" t="s">
        <v>841</v>
      </c>
      <c r="L661" t="s">
        <v>3204</v>
      </c>
      <c r="M661" t="s">
        <v>3205</v>
      </c>
      <c r="N661" t="s">
        <v>3206</v>
      </c>
      <c r="O661" t="s">
        <v>3204</v>
      </c>
      <c r="P661" s="1">
        <v>4</v>
      </c>
      <c r="Q661" t="s">
        <v>91</v>
      </c>
      <c r="R661" t="s">
        <v>70</v>
      </c>
      <c r="S661" t="s">
        <v>71</v>
      </c>
      <c r="U661" t="s">
        <v>72</v>
      </c>
      <c r="V661" t="s">
        <v>841</v>
      </c>
      <c r="W661" t="s">
        <v>74</v>
      </c>
      <c r="X661" t="s">
        <v>845</v>
      </c>
      <c r="Y661" s="2">
        <v>1190</v>
      </c>
      <c r="Z661" s="3">
        <v>1.71</v>
      </c>
      <c r="AA661" s="4">
        <v>2037</v>
      </c>
      <c r="AK661" s="5">
        <v>9.0625</v>
      </c>
      <c r="AN661" s="1">
        <v>2</v>
      </c>
      <c r="AO661" t="s">
        <v>81</v>
      </c>
      <c r="AP661" t="s">
        <v>82</v>
      </c>
      <c r="AQ661" t="s">
        <v>83</v>
      </c>
      <c r="AR661" s="3">
        <v>1.69</v>
      </c>
      <c r="AS661" s="4">
        <v>2189</v>
      </c>
      <c r="AT661" s="1">
        <v>1295</v>
      </c>
      <c r="AU661" s="3">
        <v>1.56</v>
      </c>
      <c r="AV661" s="4">
        <v>2607</v>
      </c>
      <c r="AW661" s="1">
        <v>1672</v>
      </c>
      <c r="AX661" s="3">
        <v>925399.66</v>
      </c>
      <c r="BB661" t="s">
        <v>84</v>
      </c>
      <c r="BD661" s="3">
        <v>1.82</v>
      </c>
      <c r="BE661" s="4">
        <v>1746</v>
      </c>
      <c r="BF661" s="1">
        <v>957</v>
      </c>
      <c r="BG661" s="1">
        <v>172</v>
      </c>
      <c r="BH661" s="1">
        <v>82</v>
      </c>
      <c r="BI661" s="1">
        <v>66</v>
      </c>
      <c r="BK661" t="s">
        <v>3207</v>
      </c>
      <c r="BL661" t="s">
        <v>744</v>
      </c>
    </row>
    <row r="662" spans="1:67" x14ac:dyDescent="0.25">
      <c r="A662" t="s">
        <v>4217</v>
      </c>
      <c r="B662" t="s">
        <v>4218</v>
      </c>
      <c r="C662" s="4">
        <f>(AA662*(H662*0.9))*12</f>
        <v>3717932.4000000004</v>
      </c>
      <c r="D662" s="4">
        <f>IF(C662=0,"",(H662*150*12)+C662)</f>
        <v>4022132.4000000004</v>
      </c>
      <c r="E662" s="4">
        <f>IFERROR(D662*0.5,"")</f>
        <v>2011066.2000000002</v>
      </c>
      <c r="F662" s="4">
        <f>IFERROR(E662/0.06,"")</f>
        <v>33517770.000000004</v>
      </c>
      <c r="G662" s="4">
        <f>IFERROR(F662/H662,"")</f>
        <v>198330.00000000003</v>
      </c>
      <c r="H662" s="1">
        <v>169</v>
      </c>
      <c r="I662" s="1">
        <v>1998</v>
      </c>
      <c r="J662" t="s">
        <v>64</v>
      </c>
      <c r="K662" t="s">
        <v>4219</v>
      </c>
      <c r="L662" t="s">
        <v>1762</v>
      </c>
      <c r="M662" t="s">
        <v>4220</v>
      </c>
      <c r="N662" t="s">
        <v>4221</v>
      </c>
      <c r="O662" t="s">
        <v>1762</v>
      </c>
      <c r="P662" s="1">
        <v>4</v>
      </c>
      <c r="Q662" t="s">
        <v>729</v>
      </c>
      <c r="R662" t="s">
        <v>70</v>
      </c>
      <c r="S662" t="s">
        <v>71</v>
      </c>
      <c r="U662" t="s">
        <v>72</v>
      </c>
      <c r="V662" t="s">
        <v>73</v>
      </c>
      <c r="W662" t="s">
        <v>74</v>
      </c>
      <c r="X662" t="s">
        <v>4222</v>
      </c>
      <c r="Y662" s="2">
        <v>867</v>
      </c>
      <c r="Z662" s="3">
        <v>2.35</v>
      </c>
      <c r="AA662" s="4">
        <v>2037</v>
      </c>
      <c r="AK662" s="5">
        <v>3.5503</v>
      </c>
      <c r="AN662" s="1">
        <v>3</v>
      </c>
      <c r="AO662" t="s">
        <v>81</v>
      </c>
      <c r="AP662" t="s">
        <v>82</v>
      </c>
      <c r="AQ662" t="s">
        <v>83</v>
      </c>
      <c r="AR662" s="3">
        <v>2.2599999999999998</v>
      </c>
      <c r="AS662" s="4">
        <v>2525</v>
      </c>
      <c r="AT662" s="1">
        <v>1117</v>
      </c>
      <c r="AX662" s="3">
        <v>735326.89</v>
      </c>
      <c r="AY662" s="3">
        <v>2.34</v>
      </c>
      <c r="AZ662" s="4">
        <v>1723</v>
      </c>
      <c r="BA662" s="6">
        <v>737</v>
      </c>
      <c r="BB662" t="s">
        <v>84</v>
      </c>
      <c r="BD662" s="3">
        <v>2.41</v>
      </c>
      <c r="BE662" s="4">
        <v>1851</v>
      </c>
      <c r="BF662" s="1">
        <v>769</v>
      </c>
      <c r="BG662" s="1">
        <v>108</v>
      </c>
      <c r="BH662" s="1">
        <v>49</v>
      </c>
      <c r="BL662" t="s">
        <v>131</v>
      </c>
    </row>
    <row r="663" spans="1:67" x14ac:dyDescent="0.25">
      <c r="A663" t="s">
        <v>3373</v>
      </c>
      <c r="B663" t="s">
        <v>3374</v>
      </c>
      <c r="C663" s="4">
        <f>(AA663*(H663*0.9))*12</f>
        <v>7351473.6000000006</v>
      </c>
      <c r="D663" s="4">
        <f>IF(C663=0,"",(H663*150*12)+C663)</f>
        <v>7952673.6000000006</v>
      </c>
      <c r="E663" s="4">
        <f>IFERROR(D663*0.5,"")</f>
        <v>3976336.8000000003</v>
      </c>
      <c r="F663" s="4">
        <f>IFERROR(E663/0.06,"")</f>
        <v>66272280.000000007</v>
      </c>
      <c r="G663" s="4">
        <f>IFERROR(F663/H663,"")</f>
        <v>198420.00000000003</v>
      </c>
      <c r="H663" s="1">
        <v>334</v>
      </c>
      <c r="I663" s="1">
        <v>1993</v>
      </c>
      <c r="J663" t="s">
        <v>64</v>
      </c>
      <c r="K663" t="s">
        <v>87</v>
      </c>
      <c r="L663" t="s">
        <v>801</v>
      </c>
      <c r="M663" t="s">
        <v>3375</v>
      </c>
      <c r="N663" t="s">
        <v>3376</v>
      </c>
      <c r="O663" t="s">
        <v>801</v>
      </c>
      <c r="P663" s="1">
        <v>5</v>
      </c>
      <c r="Q663" t="s">
        <v>729</v>
      </c>
      <c r="R663" t="s">
        <v>70</v>
      </c>
      <c r="S663" t="s">
        <v>71</v>
      </c>
      <c r="U663" t="s">
        <v>72</v>
      </c>
      <c r="V663" t="s">
        <v>73</v>
      </c>
      <c r="W663" t="s">
        <v>74</v>
      </c>
      <c r="X663" t="s">
        <v>92</v>
      </c>
      <c r="Y663" s="2">
        <v>803</v>
      </c>
      <c r="Z663" s="3">
        <v>2.54</v>
      </c>
      <c r="AA663" s="4">
        <v>2038</v>
      </c>
      <c r="AK663" s="5">
        <v>4.7904</v>
      </c>
      <c r="AM663" s="1">
        <v>2008</v>
      </c>
      <c r="AN663" s="1">
        <v>8</v>
      </c>
      <c r="AO663" t="s">
        <v>81</v>
      </c>
      <c r="AP663" t="s">
        <v>82</v>
      </c>
      <c r="AQ663" t="s">
        <v>83</v>
      </c>
      <c r="AR663" s="3">
        <v>2.4700000000000002</v>
      </c>
      <c r="AS663" s="4">
        <v>2670</v>
      </c>
      <c r="AT663" s="1">
        <v>1081</v>
      </c>
      <c r="AX663" s="3">
        <v>1594880.99</v>
      </c>
      <c r="AY663" s="3">
        <v>3.14</v>
      </c>
      <c r="AZ663" s="4">
        <v>1405</v>
      </c>
      <c r="BA663" s="6">
        <v>447</v>
      </c>
      <c r="BB663" t="s">
        <v>84</v>
      </c>
      <c r="BD663" s="3">
        <v>2.5499999999999998</v>
      </c>
      <c r="BE663" s="4">
        <v>1826</v>
      </c>
      <c r="BF663" s="1">
        <v>716</v>
      </c>
      <c r="BG663" s="1">
        <v>226</v>
      </c>
      <c r="BH663" s="1">
        <v>92</v>
      </c>
    </row>
    <row r="664" spans="1:67" x14ac:dyDescent="0.25">
      <c r="A664" t="s">
        <v>3677</v>
      </c>
      <c r="B664" t="s">
        <v>3678</v>
      </c>
      <c r="C664" s="4">
        <f>(AA664*(H664*0.9))*12</f>
        <v>4591641.6000000006</v>
      </c>
      <c r="D664" s="4">
        <f>IF(C664=0,"",(H664*150*12)+C664)</f>
        <v>4966041.6000000006</v>
      </c>
      <c r="E664" s="4">
        <f>IFERROR(D664*0.5,"")</f>
        <v>2483020.8000000003</v>
      </c>
      <c r="F664" s="4">
        <f>IFERROR(E664/0.06,"")</f>
        <v>41383680.000000007</v>
      </c>
      <c r="G664" s="4">
        <f>IFERROR(F664/H664,"")</f>
        <v>198960.00000000003</v>
      </c>
      <c r="H664" s="1">
        <v>208</v>
      </c>
      <c r="I664" s="1">
        <v>1995</v>
      </c>
      <c r="J664" t="s">
        <v>64</v>
      </c>
      <c r="K664" t="s">
        <v>269</v>
      </c>
      <c r="L664" t="s">
        <v>3679</v>
      </c>
      <c r="M664" t="s">
        <v>3680</v>
      </c>
      <c r="N664" t="s">
        <v>3681</v>
      </c>
      <c r="O664" t="s">
        <v>3679</v>
      </c>
      <c r="P664" s="1">
        <v>4</v>
      </c>
      <c r="Q664" t="s">
        <v>91</v>
      </c>
      <c r="R664" t="s">
        <v>70</v>
      </c>
      <c r="S664" t="s">
        <v>71</v>
      </c>
      <c r="U664" t="s">
        <v>72</v>
      </c>
      <c r="V664" t="s">
        <v>73</v>
      </c>
      <c r="W664" t="s">
        <v>74</v>
      </c>
      <c r="X664" t="s">
        <v>1551</v>
      </c>
      <c r="Y664" s="2">
        <v>1027</v>
      </c>
      <c r="Z664" s="3">
        <v>1.99</v>
      </c>
      <c r="AA664" s="4">
        <v>2044</v>
      </c>
      <c r="AK664" s="5">
        <v>8.1730999999999998</v>
      </c>
      <c r="AN664" s="1">
        <v>3</v>
      </c>
      <c r="AO664" t="s">
        <v>81</v>
      </c>
      <c r="AP664" t="s">
        <v>82</v>
      </c>
      <c r="AQ664" t="s">
        <v>83</v>
      </c>
      <c r="AR664" s="3">
        <v>1.93</v>
      </c>
      <c r="AS664" s="4">
        <v>2159</v>
      </c>
      <c r="AT664" s="1">
        <v>1119</v>
      </c>
      <c r="AX664" s="3">
        <v>1045547.03</v>
      </c>
      <c r="BB664" t="s">
        <v>84</v>
      </c>
      <c r="BD664" s="3">
        <v>2.1800000000000002</v>
      </c>
      <c r="BE664" s="4">
        <v>1788</v>
      </c>
      <c r="BF664" s="1">
        <v>822</v>
      </c>
      <c r="BG664" s="1">
        <v>64</v>
      </c>
      <c r="BH664" s="1">
        <v>144</v>
      </c>
      <c r="BK664" t="s">
        <v>3682</v>
      </c>
    </row>
    <row r="665" spans="1:67" x14ac:dyDescent="0.25">
      <c r="A665" t="s">
        <v>2966</v>
      </c>
      <c r="B665" t="s">
        <v>2967</v>
      </c>
      <c r="C665" s="4">
        <f>(AA665*(H665*0.9))*12</f>
        <v>9834955.2000000011</v>
      </c>
      <c r="D665" s="4">
        <f>IF(C665=0,"",(H665*150*12)+C665)</f>
        <v>10634155.200000001</v>
      </c>
      <c r="E665" s="4">
        <f>IFERROR(D665*0.5,"")</f>
        <v>5317077.6000000006</v>
      </c>
      <c r="F665" s="4">
        <f>IFERROR(E665/0.06,"")</f>
        <v>88617960.000000015</v>
      </c>
      <c r="G665" s="4">
        <f>IFERROR(F665/H665,"")</f>
        <v>199590.00000000003</v>
      </c>
      <c r="H665" s="1">
        <v>444</v>
      </c>
      <c r="I665" s="1">
        <v>1993</v>
      </c>
      <c r="J665" t="s">
        <v>64</v>
      </c>
      <c r="K665" t="s">
        <v>514</v>
      </c>
      <c r="L665" t="s">
        <v>2377</v>
      </c>
      <c r="M665" t="s">
        <v>2968</v>
      </c>
      <c r="N665" t="s">
        <v>2969</v>
      </c>
      <c r="O665" t="s">
        <v>2377</v>
      </c>
      <c r="P665" s="1">
        <v>4</v>
      </c>
      <c r="Q665" t="s">
        <v>729</v>
      </c>
      <c r="R665" t="s">
        <v>70</v>
      </c>
      <c r="S665" t="s">
        <v>71</v>
      </c>
      <c r="U665" t="s">
        <v>72</v>
      </c>
      <c r="V665" t="s">
        <v>264</v>
      </c>
      <c r="W665" t="s">
        <v>74</v>
      </c>
      <c r="X665" t="s">
        <v>851</v>
      </c>
      <c r="Y665" s="2">
        <v>1031</v>
      </c>
      <c r="Z665" s="3">
        <v>1.99</v>
      </c>
      <c r="AA665" s="4">
        <v>2051</v>
      </c>
      <c r="AK665" s="5">
        <v>8.1081000000000003</v>
      </c>
      <c r="AN665" s="1">
        <v>3</v>
      </c>
      <c r="AO665" t="s">
        <v>81</v>
      </c>
      <c r="AP665" t="s">
        <v>82</v>
      </c>
      <c r="AQ665" t="s">
        <v>83</v>
      </c>
      <c r="AR665" s="3">
        <v>1.88</v>
      </c>
      <c r="AS665" s="4">
        <v>2246</v>
      </c>
      <c r="AT665" s="1">
        <v>1192</v>
      </c>
      <c r="AU665" s="3">
        <v>1.77</v>
      </c>
      <c r="AV665" s="4">
        <v>2567</v>
      </c>
      <c r="AW665" s="1">
        <v>1453</v>
      </c>
      <c r="AX665" s="3">
        <v>0</v>
      </c>
      <c r="BB665" t="s">
        <v>84</v>
      </c>
      <c r="BD665" s="3">
        <v>2.2200000000000002</v>
      </c>
      <c r="BE665" s="4">
        <v>1758</v>
      </c>
      <c r="BF665" s="1">
        <v>791</v>
      </c>
      <c r="BG665" s="1">
        <v>188</v>
      </c>
      <c r="BH665" s="1">
        <v>240</v>
      </c>
      <c r="BI665" s="1">
        <v>16</v>
      </c>
    </row>
    <row r="666" spans="1:67" x14ac:dyDescent="0.25">
      <c r="A666" t="s">
        <v>4228</v>
      </c>
      <c r="B666" t="s">
        <v>4229</v>
      </c>
      <c r="C666" s="4">
        <f>(AA666*(H666*0.9))*12</f>
        <v>8437824</v>
      </c>
      <c r="D666" s="4">
        <f>IF(C666=0,"",(H666*150*12)+C666)</f>
        <v>9121824</v>
      </c>
      <c r="E666" s="4">
        <f>IFERROR(D666*0.5,"")</f>
        <v>4560912</v>
      </c>
      <c r="F666" s="4">
        <f>IFERROR(E666/0.06,"")</f>
        <v>76015200</v>
      </c>
      <c r="G666" s="4">
        <f>IFERROR(F666/H666,"")</f>
        <v>200040</v>
      </c>
      <c r="H666" s="1">
        <v>380</v>
      </c>
      <c r="I666" s="1">
        <v>1997</v>
      </c>
      <c r="J666" t="s">
        <v>64</v>
      </c>
      <c r="K666" t="s">
        <v>140</v>
      </c>
      <c r="L666" t="s">
        <v>4230</v>
      </c>
      <c r="M666" t="s">
        <v>4231</v>
      </c>
      <c r="N666" t="s">
        <v>4232</v>
      </c>
      <c r="O666" t="s">
        <v>4230</v>
      </c>
      <c r="P666" s="1">
        <v>4</v>
      </c>
      <c r="Q666" t="s">
        <v>91</v>
      </c>
      <c r="R666" t="s">
        <v>70</v>
      </c>
      <c r="S666" t="s">
        <v>71</v>
      </c>
      <c r="T666" t="s">
        <v>128</v>
      </c>
      <c r="U666" t="s">
        <v>72</v>
      </c>
      <c r="V666" t="s">
        <v>140</v>
      </c>
      <c r="W666" t="s">
        <v>74</v>
      </c>
      <c r="X666" t="s">
        <v>1535</v>
      </c>
      <c r="Y666" s="2">
        <v>984</v>
      </c>
      <c r="Z666" s="3">
        <v>2.09</v>
      </c>
      <c r="AA666" s="4">
        <v>2056</v>
      </c>
      <c r="AK666" s="5">
        <v>6.5789</v>
      </c>
      <c r="AN666" s="1">
        <v>2</v>
      </c>
      <c r="AO666" t="s">
        <v>81</v>
      </c>
      <c r="AP666" t="s">
        <v>82</v>
      </c>
      <c r="AQ666" t="s">
        <v>83</v>
      </c>
      <c r="AR666" s="3">
        <v>2.0099999999999998</v>
      </c>
      <c r="AS666" s="4">
        <v>2185</v>
      </c>
      <c r="AT666" s="1">
        <v>1089</v>
      </c>
      <c r="AU666" s="3">
        <v>1.65</v>
      </c>
      <c r="AV666" s="4">
        <v>2384</v>
      </c>
      <c r="AW666" s="1">
        <v>1444</v>
      </c>
      <c r="AX666" s="3">
        <v>1366170.4</v>
      </c>
      <c r="BB666" t="s">
        <v>84</v>
      </c>
      <c r="BD666" s="3">
        <v>2.36</v>
      </c>
      <c r="BE666" s="4">
        <v>1871</v>
      </c>
      <c r="BF666" s="1">
        <v>794</v>
      </c>
      <c r="BG666" s="1">
        <v>181</v>
      </c>
      <c r="BH666" s="1">
        <v>161</v>
      </c>
      <c r="BI666" s="1">
        <v>38</v>
      </c>
    </row>
    <row r="667" spans="1:67" x14ac:dyDescent="0.25">
      <c r="A667" t="s">
        <v>4233</v>
      </c>
      <c r="B667" t="s">
        <v>4234</v>
      </c>
      <c r="C667" s="4">
        <f>(AA667*(H667*0.9))*12</f>
        <v>6044868</v>
      </c>
      <c r="D667" s="4">
        <f>IF(C667=0,"",(H667*150*12)+C667)</f>
        <v>6530868</v>
      </c>
      <c r="E667" s="4">
        <f>IFERROR(D667*0.5,"")</f>
        <v>3265434</v>
      </c>
      <c r="F667" s="4">
        <f>IFERROR(E667/0.06,"")</f>
        <v>54423900</v>
      </c>
      <c r="G667" s="4">
        <f>IFERROR(F667/H667,"")</f>
        <v>201570</v>
      </c>
      <c r="H667" s="1">
        <v>270</v>
      </c>
      <c r="I667" s="1">
        <v>1998</v>
      </c>
      <c r="J667" t="s">
        <v>64</v>
      </c>
      <c r="K667" t="s">
        <v>140</v>
      </c>
      <c r="L667" t="s">
        <v>2836</v>
      </c>
      <c r="M667" t="s">
        <v>4235</v>
      </c>
      <c r="N667" t="s">
        <v>4236</v>
      </c>
      <c r="O667" t="s">
        <v>2836</v>
      </c>
      <c r="P667" s="1">
        <v>4</v>
      </c>
      <c r="Q667" t="s">
        <v>729</v>
      </c>
      <c r="R667" t="s">
        <v>70</v>
      </c>
      <c r="S667" t="s">
        <v>71</v>
      </c>
      <c r="U667" t="s">
        <v>72</v>
      </c>
      <c r="V667" t="s">
        <v>140</v>
      </c>
      <c r="W667" t="s">
        <v>74</v>
      </c>
      <c r="X667" t="s">
        <v>1535</v>
      </c>
      <c r="Y667" s="2">
        <v>1109</v>
      </c>
      <c r="Z667" s="3">
        <v>1.87</v>
      </c>
      <c r="AA667" s="4">
        <v>2073</v>
      </c>
      <c r="AK667" s="5">
        <v>4.4443999999999999</v>
      </c>
      <c r="AM667" s="1">
        <v>2018</v>
      </c>
      <c r="AN667" s="1">
        <v>3</v>
      </c>
      <c r="AO667" t="s">
        <v>81</v>
      </c>
      <c r="AP667" t="s">
        <v>82</v>
      </c>
      <c r="AQ667" t="s">
        <v>83</v>
      </c>
      <c r="AR667" s="3">
        <v>1.82</v>
      </c>
      <c r="AS667" s="4">
        <v>2278</v>
      </c>
      <c r="AT667" s="1">
        <v>1253</v>
      </c>
      <c r="AU667" s="3">
        <v>1.8</v>
      </c>
      <c r="AV667" s="4">
        <v>2787</v>
      </c>
      <c r="AW667" s="1">
        <v>1545</v>
      </c>
      <c r="AX667" s="3">
        <v>905087.89</v>
      </c>
      <c r="BB667" t="s">
        <v>84</v>
      </c>
      <c r="BD667" s="3">
        <v>1.99</v>
      </c>
      <c r="BE667" s="4">
        <v>1687</v>
      </c>
      <c r="BF667" s="1">
        <v>850</v>
      </c>
      <c r="BG667" s="1">
        <v>122</v>
      </c>
      <c r="BH667" s="1">
        <v>112</v>
      </c>
      <c r="BI667" s="1">
        <v>36</v>
      </c>
      <c r="BL667" t="s">
        <v>744</v>
      </c>
    </row>
    <row r="668" spans="1:67" x14ac:dyDescent="0.25">
      <c r="A668" t="s">
        <v>2289</v>
      </c>
      <c r="B668" t="s">
        <v>2290</v>
      </c>
      <c r="C668" s="4">
        <f>(AA668*(H668*0.9))*12</f>
        <v>1416592.8</v>
      </c>
      <c r="D668" s="4">
        <f>IF(C668=0,"",(H668*150*12)+C668)</f>
        <v>1529992.8</v>
      </c>
      <c r="E668" s="4">
        <f>IFERROR(D668*0.5,"")</f>
        <v>764996.4</v>
      </c>
      <c r="F668" s="4">
        <f>IFERROR(E668/0.06,"")</f>
        <v>12749940</v>
      </c>
      <c r="G668" s="4">
        <f>IFERROR(F668/H668,"")</f>
        <v>202380</v>
      </c>
      <c r="H668" s="1">
        <v>63</v>
      </c>
      <c r="I668" s="1">
        <v>1999</v>
      </c>
      <c r="J668" t="s">
        <v>64</v>
      </c>
      <c r="K668" t="s">
        <v>219</v>
      </c>
      <c r="L668" t="s">
        <v>397</v>
      </c>
      <c r="M668" t="s">
        <v>2291</v>
      </c>
      <c r="N668" t="s">
        <v>2292</v>
      </c>
      <c r="O668" t="s">
        <v>397</v>
      </c>
      <c r="P668" s="1">
        <v>4</v>
      </c>
      <c r="Q668" t="s">
        <v>91</v>
      </c>
      <c r="R668" t="s">
        <v>70</v>
      </c>
      <c r="S668" t="s">
        <v>71</v>
      </c>
      <c r="U668" t="s">
        <v>72</v>
      </c>
      <c r="V668" t="s">
        <v>152</v>
      </c>
      <c r="W668" t="s">
        <v>74</v>
      </c>
      <c r="X668" t="s">
        <v>2072</v>
      </c>
      <c r="Y668" s="2">
        <v>1270</v>
      </c>
      <c r="Z668" s="3">
        <v>1.64</v>
      </c>
      <c r="AA668" s="4">
        <v>2082</v>
      </c>
      <c r="AK668" s="5">
        <v>9.5237999999999996</v>
      </c>
      <c r="AN668" s="1">
        <v>3</v>
      </c>
      <c r="AO668" t="s">
        <v>81</v>
      </c>
      <c r="AP668" t="s">
        <v>82</v>
      </c>
      <c r="AQ668" t="s">
        <v>83</v>
      </c>
      <c r="AR668" s="3">
        <v>1.62</v>
      </c>
      <c r="AS668" s="4">
        <v>2250</v>
      </c>
      <c r="AT668" s="1">
        <v>1385</v>
      </c>
      <c r="AX668" s="3">
        <v>289460.52</v>
      </c>
      <c r="BB668" t="s">
        <v>84</v>
      </c>
      <c r="BD668" s="3">
        <v>1.69</v>
      </c>
      <c r="BE668" s="4">
        <v>1663</v>
      </c>
      <c r="BF668" s="1">
        <v>985</v>
      </c>
      <c r="BG668" s="1">
        <v>18</v>
      </c>
      <c r="BH668" s="1">
        <v>45</v>
      </c>
      <c r="BK668" t="s">
        <v>2293</v>
      </c>
      <c r="BL668" t="s">
        <v>104</v>
      </c>
    </row>
    <row r="669" spans="1:67" x14ac:dyDescent="0.25">
      <c r="A669" t="s">
        <v>3595</v>
      </c>
      <c r="B669" t="s">
        <v>3596</v>
      </c>
      <c r="C669" s="4">
        <f>(AA669*(H669*0.9))*12</f>
        <v>4656754.8000000007</v>
      </c>
      <c r="D669" s="4">
        <f>IF(C669=0,"",(H669*150*12)+C669)</f>
        <v>5029354.8000000007</v>
      </c>
      <c r="E669" s="4">
        <f>IFERROR(D669*0.5,"")</f>
        <v>2514677.4000000004</v>
      </c>
      <c r="F669" s="4">
        <f>IFERROR(E669/0.06,"")</f>
        <v>41911290.000000007</v>
      </c>
      <c r="G669" s="4">
        <f>IFERROR(F669/H669,"")</f>
        <v>202470.00000000003</v>
      </c>
      <c r="H669" s="1">
        <v>207</v>
      </c>
      <c r="I669" s="1">
        <v>1998</v>
      </c>
      <c r="J669" t="s">
        <v>64</v>
      </c>
      <c r="K669" t="s">
        <v>3597</v>
      </c>
      <c r="L669" t="s">
        <v>1038</v>
      </c>
      <c r="M669" t="s">
        <v>3598</v>
      </c>
      <c r="N669" t="s">
        <v>1038</v>
      </c>
      <c r="O669" t="s">
        <v>1038</v>
      </c>
      <c r="P669" s="1">
        <v>4</v>
      </c>
      <c r="Q669" t="s">
        <v>91</v>
      </c>
      <c r="R669" t="s">
        <v>70</v>
      </c>
      <c r="S669" t="s">
        <v>71</v>
      </c>
      <c r="U669" t="s">
        <v>72</v>
      </c>
      <c r="V669" t="s">
        <v>3597</v>
      </c>
      <c r="W669" t="s">
        <v>74</v>
      </c>
      <c r="X669" t="s">
        <v>3599</v>
      </c>
      <c r="Y669" s="2">
        <v>1295</v>
      </c>
      <c r="Z669" s="3">
        <v>1.61</v>
      </c>
      <c r="AA669" s="4">
        <v>2083</v>
      </c>
      <c r="AK669" s="5">
        <v>11.594200000000001</v>
      </c>
      <c r="AN669" s="1">
        <v>3</v>
      </c>
      <c r="AO669" t="s">
        <v>81</v>
      </c>
      <c r="AP669" t="s">
        <v>82</v>
      </c>
      <c r="AQ669" t="s">
        <v>83</v>
      </c>
      <c r="AR669" s="3">
        <v>1.57</v>
      </c>
      <c r="AS669" s="4">
        <v>2242</v>
      </c>
      <c r="AT669" s="1">
        <v>1424</v>
      </c>
      <c r="AX669" s="3">
        <v>906485.8</v>
      </c>
      <c r="BB669" t="s">
        <v>84</v>
      </c>
      <c r="BD669" s="3">
        <v>1.73</v>
      </c>
      <c r="BE669" s="4">
        <v>1684</v>
      </c>
      <c r="BF669" s="1">
        <v>974</v>
      </c>
      <c r="BG669" s="1">
        <v>59</v>
      </c>
      <c r="BH669" s="1">
        <v>148</v>
      </c>
      <c r="BK669" t="s">
        <v>3600</v>
      </c>
    </row>
    <row r="670" spans="1:67" x14ac:dyDescent="0.25">
      <c r="A670" t="s">
        <v>2116</v>
      </c>
      <c r="B670" t="s">
        <v>2117</v>
      </c>
      <c r="C670" s="4">
        <f>(AA670*(H670*0.9))*12</f>
        <v>8831289.6000000015</v>
      </c>
      <c r="D670" s="4">
        <f>IF(C670=0,"",(H670*150*12)+C670)</f>
        <v>9536889.6000000015</v>
      </c>
      <c r="E670" s="4">
        <f>IFERROR(D670*0.5,"")</f>
        <v>4768444.8000000007</v>
      </c>
      <c r="F670" s="4">
        <f>IFERROR(E670/0.06,"")</f>
        <v>79474080.000000015</v>
      </c>
      <c r="G670" s="4">
        <f>IFERROR(F670/H670,"")</f>
        <v>202740.00000000003</v>
      </c>
      <c r="H670" s="1">
        <v>392</v>
      </c>
      <c r="I670" s="1">
        <v>1997</v>
      </c>
      <c r="J670" t="s">
        <v>64</v>
      </c>
      <c r="K670" t="s">
        <v>269</v>
      </c>
      <c r="L670" t="s">
        <v>2118</v>
      </c>
      <c r="M670" t="s">
        <v>2119</v>
      </c>
      <c r="N670" t="s">
        <v>2120</v>
      </c>
      <c r="O670" t="s">
        <v>2118</v>
      </c>
      <c r="P670" s="1">
        <v>3</v>
      </c>
      <c r="Q670" t="s">
        <v>91</v>
      </c>
      <c r="R670" t="s">
        <v>70</v>
      </c>
      <c r="S670" t="s">
        <v>71</v>
      </c>
      <c r="U670" t="s">
        <v>72</v>
      </c>
      <c r="V670" t="s">
        <v>73</v>
      </c>
      <c r="W670" t="s">
        <v>74</v>
      </c>
      <c r="X670" t="s">
        <v>272</v>
      </c>
      <c r="Y670" s="2">
        <v>1116</v>
      </c>
      <c r="Z670" s="3">
        <v>1.87</v>
      </c>
      <c r="AA670" s="4">
        <v>2086</v>
      </c>
      <c r="AK670" s="5">
        <v>5.1020000000000003</v>
      </c>
      <c r="AN670" s="1">
        <v>3</v>
      </c>
      <c r="AO670" t="s">
        <v>81</v>
      </c>
      <c r="AP670" t="s">
        <v>82</v>
      </c>
      <c r="AQ670" t="s">
        <v>83</v>
      </c>
      <c r="AR670" s="3">
        <v>1.8</v>
      </c>
      <c r="AS670" s="4">
        <v>2203</v>
      </c>
      <c r="AT670" s="1">
        <v>1222</v>
      </c>
      <c r="AU670" s="3">
        <v>1.69</v>
      </c>
      <c r="AV670" s="4">
        <v>2607</v>
      </c>
      <c r="AW670" s="1">
        <v>1540</v>
      </c>
      <c r="AX670" s="3">
        <v>1978001.56</v>
      </c>
      <c r="BB670" t="s">
        <v>84</v>
      </c>
      <c r="BD670" s="3">
        <v>2.12</v>
      </c>
      <c r="BE670" s="4">
        <v>1756</v>
      </c>
      <c r="BF670" s="1">
        <v>827</v>
      </c>
      <c r="BG670" s="1">
        <v>148</v>
      </c>
      <c r="BH670" s="1">
        <v>190</v>
      </c>
      <c r="BI670" s="1">
        <v>54</v>
      </c>
    </row>
    <row r="671" spans="1:67" x14ac:dyDescent="0.25">
      <c r="A671" t="s">
        <v>3039</v>
      </c>
      <c r="B671" t="s">
        <v>3040</v>
      </c>
      <c r="C671" s="4">
        <f>(AA671*(H671*0.9))*12</f>
        <v>11918016</v>
      </c>
      <c r="D671" s="4">
        <f>IF(C671=0,"",(H671*150*12)+C671)</f>
        <v>12868416</v>
      </c>
      <c r="E671" s="4">
        <f>IFERROR(D671*0.5,"")</f>
        <v>6434208</v>
      </c>
      <c r="F671" s="4">
        <f>IFERROR(E671/0.06,"")</f>
        <v>107236800</v>
      </c>
      <c r="G671" s="4">
        <f>IFERROR(F671/H671,"")</f>
        <v>203100</v>
      </c>
      <c r="H671" s="1">
        <v>528</v>
      </c>
      <c r="I671" s="1">
        <v>1999</v>
      </c>
      <c r="J671" t="s">
        <v>64</v>
      </c>
      <c r="K671" t="s">
        <v>123</v>
      </c>
      <c r="L671" t="s">
        <v>1894</v>
      </c>
      <c r="M671" t="s">
        <v>3041</v>
      </c>
      <c r="N671" t="s">
        <v>3042</v>
      </c>
      <c r="O671" t="s">
        <v>1894</v>
      </c>
      <c r="P671" s="1">
        <v>4</v>
      </c>
      <c r="Q671" t="s">
        <v>91</v>
      </c>
      <c r="R671" t="s">
        <v>70</v>
      </c>
      <c r="S671" t="s">
        <v>71</v>
      </c>
      <c r="U671" t="s">
        <v>72</v>
      </c>
      <c r="V671" t="s">
        <v>551</v>
      </c>
      <c r="W671" t="s">
        <v>74</v>
      </c>
      <c r="X671" t="s">
        <v>986</v>
      </c>
      <c r="Y671" s="2">
        <v>1330</v>
      </c>
      <c r="Z671" s="3">
        <v>1.57</v>
      </c>
      <c r="AA671" s="4">
        <v>2090</v>
      </c>
      <c r="AK671" s="5">
        <v>10.0379</v>
      </c>
      <c r="AM671" s="1">
        <v>2013</v>
      </c>
      <c r="AN671" s="1">
        <v>2</v>
      </c>
      <c r="AO671" t="s">
        <v>81</v>
      </c>
      <c r="AP671" t="s">
        <v>82</v>
      </c>
      <c r="AQ671" t="s">
        <v>83</v>
      </c>
      <c r="AR671" s="3">
        <v>1.6</v>
      </c>
      <c r="AS671" s="4">
        <v>1930</v>
      </c>
      <c r="AT671" s="1">
        <v>1207</v>
      </c>
      <c r="AU671" s="3">
        <v>1.43</v>
      </c>
      <c r="AV671" s="4">
        <v>2562</v>
      </c>
      <c r="AW671" s="1">
        <v>1791</v>
      </c>
      <c r="AX671" s="3">
        <v>1872085.28</v>
      </c>
      <c r="BB671" t="s">
        <v>84</v>
      </c>
      <c r="BD671" s="3">
        <v>1.98</v>
      </c>
      <c r="BE671" s="4">
        <v>1576</v>
      </c>
      <c r="BF671" s="1">
        <v>795</v>
      </c>
      <c r="BG671" s="1">
        <v>100</v>
      </c>
      <c r="BH671" s="1">
        <v>250</v>
      </c>
      <c r="BI671" s="1">
        <v>137</v>
      </c>
      <c r="BJ671" s="1">
        <v>41</v>
      </c>
      <c r="BL671" t="s">
        <v>94</v>
      </c>
      <c r="BM671" s="3">
        <v>1.48</v>
      </c>
      <c r="BN671" s="4">
        <v>2747</v>
      </c>
      <c r="BO671" s="1">
        <v>1854</v>
      </c>
    </row>
    <row r="672" spans="1:67" x14ac:dyDescent="0.25">
      <c r="A672" t="s">
        <v>2509</v>
      </c>
      <c r="B672" t="s">
        <v>2510</v>
      </c>
      <c r="C672" s="4">
        <f>(AA672*(H672*0.9))*12</f>
        <v>2876245.2</v>
      </c>
      <c r="D672" s="4">
        <f>IF(C672=0,"",(H672*150*12)+C672)</f>
        <v>3104845.2</v>
      </c>
      <c r="E672" s="4">
        <f>IFERROR(D672*0.5,"")</f>
        <v>1552422.6</v>
      </c>
      <c r="F672" s="4">
        <f>IFERROR(E672/0.06,"")</f>
        <v>25873710.000000004</v>
      </c>
      <c r="G672" s="4">
        <f>IFERROR(F672/H672,"")</f>
        <v>203730.00000000003</v>
      </c>
      <c r="H672" s="1">
        <v>127</v>
      </c>
      <c r="I672" s="1">
        <v>1997</v>
      </c>
      <c r="J672" t="s">
        <v>64</v>
      </c>
      <c r="K672" t="s">
        <v>87</v>
      </c>
      <c r="L672" t="s">
        <v>2511</v>
      </c>
      <c r="M672" t="s">
        <v>2512</v>
      </c>
      <c r="N672" t="s">
        <v>2513</v>
      </c>
      <c r="O672" t="s">
        <v>2511</v>
      </c>
      <c r="P672" s="1">
        <v>4</v>
      </c>
      <c r="Q672" t="s">
        <v>91</v>
      </c>
      <c r="R672" t="s">
        <v>70</v>
      </c>
      <c r="S672" t="s">
        <v>71</v>
      </c>
      <c r="U672" t="s">
        <v>72</v>
      </c>
      <c r="V672" t="s">
        <v>73</v>
      </c>
      <c r="W672" t="s">
        <v>74</v>
      </c>
      <c r="X672" t="s">
        <v>92</v>
      </c>
      <c r="Y672" s="2">
        <v>919</v>
      </c>
      <c r="Z672" s="3">
        <v>2.2799999999999998</v>
      </c>
      <c r="AA672" s="4">
        <v>2097</v>
      </c>
      <c r="AK672" s="5">
        <v>4.7244000000000002</v>
      </c>
      <c r="AN672" s="1">
        <v>5</v>
      </c>
      <c r="AO672" t="s">
        <v>81</v>
      </c>
      <c r="AP672" t="s">
        <v>82</v>
      </c>
      <c r="AQ672" t="s">
        <v>83</v>
      </c>
      <c r="AR672" s="3">
        <v>2.16</v>
      </c>
      <c r="AS672" s="4">
        <v>2570</v>
      </c>
      <c r="AT672" s="1">
        <v>1189</v>
      </c>
      <c r="AX672" s="3">
        <v>612644.06000000006</v>
      </c>
      <c r="BB672" t="s">
        <v>84</v>
      </c>
      <c r="BD672" s="3">
        <v>2.31</v>
      </c>
      <c r="BE672" s="4">
        <v>2003</v>
      </c>
      <c r="BF672" s="1">
        <v>866</v>
      </c>
      <c r="BG672" s="1">
        <v>106</v>
      </c>
      <c r="BH672" s="1">
        <v>21</v>
      </c>
      <c r="BL672" t="s">
        <v>94</v>
      </c>
    </row>
    <row r="673" spans="1:67" x14ac:dyDescent="0.25">
      <c r="A673" t="s">
        <v>3964</v>
      </c>
      <c r="B673" t="s">
        <v>3965</v>
      </c>
      <c r="C673" s="4">
        <f>(AA673*(H673*0.9))*12</f>
        <v>5932861.1999999993</v>
      </c>
      <c r="D673" s="4">
        <f>IF(C673=0,"",(H673*150*12)+C673)</f>
        <v>6399061.1999999993</v>
      </c>
      <c r="E673" s="4">
        <f>IFERROR(D673*0.5,"")</f>
        <v>3199530.5999999996</v>
      </c>
      <c r="F673" s="4">
        <f>IFERROR(E673/0.06,"")</f>
        <v>53325509.999999993</v>
      </c>
      <c r="G673" s="4">
        <f>IFERROR(F673/H673,"")</f>
        <v>205889.99999999997</v>
      </c>
      <c r="H673" s="1">
        <v>259</v>
      </c>
      <c r="I673" s="1">
        <v>1997</v>
      </c>
      <c r="J673" t="s">
        <v>64</v>
      </c>
      <c r="K673" t="s">
        <v>177</v>
      </c>
      <c r="L673" t="s">
        <v>2311</v>
      </c>
      <c r="M673" t="s">
        <v>3966</v>
      </c>
      <c r="N673" t="s">
        <v>3967</v>
      </c>
      <c r="O673" t="s">
        <v>2311</v>
      </c>
      <c r="P673" s="1">
        <v>3</v>
      </c>
      <c r="Q673" t="s">
        <v>91</v>
      </c>
      <c r="R673" t="s">
        <v>70</v>
      </c>
      <c r="S673" t="s">
        <v>71</v>
      </c>
      <c r="U673" t="s">
        <v>72</v>
      </c>
      <c r="V673" t="s">
        <v>172</v>
      </c>
      <c r="W673" t="s">
        <v>74</v>
      </c>
      <c r="X673" t="s">
        <v>189</v>
      </c>
      <c r="Y673" s="2">
        <v>1076</v>
      </c>
      <c r="Z673" s="3">
        <v>1.97</v>
      </c>
      <c r="AA673" s="4">
        <v>2121</v>
      </c>
      <c r="AK673" s="5">
        <v>1.9305000000000001</v>
      </c>
      <c r="AM673" s="1">
        <v>2009</v>
      </c>
      <c r="AN673" s="1">
        <v>2</v>
      </c>
      <c r="AO673" t="s">
        <v>81</v>
      </c>
      <c r="AP673" t="s">
        <v>82</v>
      </c>
      <c r="AQ673" t="s">
        <v>83</v>
      </c>
      <c r="AR673" s="3">
        <v>2.09</v>
      </c>
      <c r="AS673" s="4">
        <v>2099</v>
      </c>
      <c r="AT673" s="1">
        <v>1006</v>
      </c>
      <c r="AU673" s="3">
        <v>1.63</v>
      </c>
      <c r="AV673" s="4">
        <v>2437</v>
      </c>
      <c r="AW673" s="1">
        <v>1494</v>
      </c>
      <c r="AX673" s="3">
        <v>536021.46</v>
      </c>
      <c r="BB673" t="s">
        <v>84</v>
      </c>
      <c r="BD673" s="3">
        <v>2.11</v>
      </c>
      <c r="BE673" s="4">
        <v>1490</v>
      </c>
      <c r="BF673" s="1">
        <v>706</v>
      </c>
      <c r="BG673" s="1">
        <v>74</v>
      </c>
      <c r="BH673" s="1">
        <v>111</v>
      </c>
      <c r="BI673" s="1">
        <v>37</v>
      </c>
      <c r="BJ673" s="1">
        <v>37</v>
      </c>
      <c r="BL673" t="s">
        <v>131</v>
      </c>
      <c r="BM673" s="3">
        <v>1.94</v>
      </c>
      <c r="BN673" s="4">
        <v>3136</v>
      </c>
      <c r="BO673" s="1">
        <v>1613</v>
      </c>
    </row>
    <row r="674" spans="1:67" x14ac:dyDescent="0.25">
      <c r="A674" t="s">
        <v>2518</v>
      </c>
      <c r="B674" t="s">
        <v>2519</v>
      </c>
      <c r="C674" s="4">
        <f>(AA674*(H674*0.9))*12</f>
        <v>7737444</v>
      </c>
      <c r="D674" s="4">
        <f>IF(C674=0,"",(H674*150*12)+C674)</f>
        <v>8338644</v>
      </c>
      <c r="E674" s="4">
        <f>IFERROR(D674*0.5,"")</f>
        <v>4169322</v>
      </c>
      <c r="F674" s="4">
        <f>IFERROR(E674/0.06,"")</f>
        <v>69488700</v>
      </c>
      <c r="G674" s="4">
        <f>IFERROR(F674/H674,"")</f>
        <v>208050</v>
      </c>
      <c r="H674" s="1">
        <v>334</v>
      </c>
      <c r="I674" s="1">
        <v>1993</v>
      </c>
      <c r="J674" t="s">
        <v>64</v>
      </c>
      <c r="K674" t="s">
        <v>87</v>
      </c>
      <c r="L674" t="s">
        <v>697</v>
      </c>
      <c r="M674" t="s">
        <v>2520</v>
      </c>
      <c r="N674" t="s">
        <v>2521</v>
      </c>
      <c r="O674" t="s">
        <v>697</v>
      </c>
      <c r="P674" s="1">
        <v>4</v>
      </c>
      <c r="Q674" t="s">
        <v>91</v>
      </c>
      <c r="R674" t="s">
        <v>70</v>
      </c>
      <c r="S674" t="s">
        <v>71</v>
      </c>
      <c r="T674" t="s">
        <v>118</v>
      </c>
      <c r="U674" t="s">
        <v>72</v>
      </c>
      <c r="V674" t="s">
        <v>73</v>
      </c>
      <c r="W674" t="s">
        <v>74</v>
      </c>
      <c r="X674" t="s">
        <v>607</v>
      </c>
      <c r="Y674" s="2">
        <v>849</v>
      </c>
      <c r="Z674" s="3">
        <v>2.5299999999999998</v>
      </c>
      <c r="AA674" s="4">
        <v>2145</v>
      </c>
      <c r="AK674" s="5">
        <v>3.5928</v>
      </c>
      <c r="AN674" s="1">
        <v>3</v>
      </c>
      <c r="AO674" t="s">
        <v>81</v>
      </c>
      <c r="AP674" t="s">
        <v>82</v>
      </c>
      <c r="AQ674" t="s">
        <v>83</v>
      </c>
      <c r="AR674" s="3">
        <v>2.38</v>
      </c>
      <c r="AS674" s="4">
        <v>2622</v>
      </c>
      <c r="AT674" s="1">
        <v>1100</v>
      </c>
      <c r="AU674" s="3">
        <v>2.46</v>
      </c>
      <c r="AV674" s="4">
        <v>3217</v>
      </c>
      <c r="AW674" s="1">
        <v>1307</v>
      </c>
      <c r="AX674" s="3">
        <v>1743323.42</v>
      </c>
      <c r="BB674" t="s">
        <v>84</v>
      </c>
      <c r="BD674" s="3">
        <v>2.62</v>
      </c>
      <c r="BE674" s="4">
        <v>1921</v>
      </c>
      <c r="BF674" s="1">
        <v>732</v>
      </c>
      <c r="BG674" s="1">
        <v>229</v>
      </c>
      <c r="BH674" s="1">
        <v>103</v>
      </c>
      <c r="BI674" s="1">
        <v>2</v>
      </c>
      <c r="BK674" t="s">
        <v>579</v>
      </c>
      <c r="BL674" t="s">
        <v>104</v>
      </c>
    </row>
    <row r="675" spans="1:67" x14ac:dyDescent="0.25">
      <c r="A675" t="s">
        <v>3560</v>
      </c>
      <c r="B675" t="s">
        <v>3561</v>
      </c>
      <c r="C675" s="4">
        <f>(AA675*(H675*0.9))*12</f>
        <v>1692694.7999999998</v>
      </c>
      <c r="D675" s="4">
        <f>IF(C675=0,"",(H675*150*12)+C675)</f>
        <v>1824094.7999999998</v>
      </c>
      <c r="E675" s="4">
        <f>IFERROR(D675*0.5,"")</f>
        <v>912047.39999999991</v>
      </c>
      <c r="F675" s="4">
        <f>IFERROR(E675/0.06,"")</f>
        <v>15200789.999999998</v>
      </c>
      <c r="G675" s="4">
        <f>IFERROR(F675/H675,"")</f>
        <v>208229.99999999997</v>
      </c>
      <c r="H675" s="1">
        <v>73</v>
      </c>
      <c r="I675" s="1">
        <v>1997</v>
      </c>
      <c r="J675" t="s">
        <v>64</v>
      </c>
      <c r="K675" t="s">
        <v>140</v>
      </c>
      <c r="L675" t="s">
        <v>3562</v>
      </c>
      <c r="M675" t="s">
        <v>3563</v>
      </c>
      <c r="N675" t="s">
        <v>3564</v>
      </c>
      <c r="O675" t="s">
        <v>3562</v>
      </c>
      <c r="P675" s="1">
        <v>3</v>
      </c>
      <c r="Q675" t="s">
        <v>91</v>
      </c>
      <c r="R675" t="s">
        <v>70</v>
      </c>
      <c r="S675" t="s">
        <v>71</v>
      </c>
      <c r="U675" t="s">
        <v>72</v>
      </c>
      <c r="V675" t="s">
        <v>140</v>
      </c>
      <c r="W675" t="s">
        <v>74</v>
      </c>
      <c r="X675" t="s">
        <v>1050</v>
      </c>
      <c r="Y675" s="2">
        <v>1639</v>
      </c>
      <c r="Z675" s="3">
        <v>1.31</v>
      </c>
      <c r="AA675" s="4">
        <v>2147</v>
      </c>
      <c r="AK675" s="5">
        <v>8.2192000000000007</v>
      </c>
      <c r="AN675" s="1">
        <v>2</v>
      </c>
      <c r="AO675" t="s">
        <v>81</v>
      </c>
      <c r="AP675" t="s">
        <v>82</v>
      </c>
      <c r="AQ675" t="s">
        <v>83</v>
      </c>
      <c r="AR675" s="3">
        <v>1.34</v>
      </c>
      <c r="AS675" s="4">
        <v>1923</v>
      </c>
      <c r="AT675" s="1">
        <v>1431</v>
      </c>
      <c r="AU675" s="3">
        <v>1.29</v>
      </c>
      <c r="AV675" s="4">
        <v>2295</v>
      </c>
      <c r="AW675" s="1">
        <v>1777</v>
      </c>
      <c r="AX675" s="3">
        <v>18230.79</v>
      </c>
      <c r="BB675" t="s">
        <v>84</v>
      </c>
      <c r="BH675" s="1">
        <v>29</v>
      </c>
      <c r="BI675" s="1">
        <v>44</v>
      </c>
      <c r="BL675" t="s">
        <v>131</v>
      </c>
    </row>
    <row r="676" spans="1:67" x14ac:dyDescent="0.25">
      <c r="A676" t="s">
        <v>3336</v>
      </c>
      <c r="B676" t="s">
        <v>3337</v>
      </c>
      <c r="C676" s="4">
        <f>(AA676*(H676*0.9))*12</f>
        <v>4561704</v>
      </c>
      <c r="D676" s="4">
        <f>IF(C676=0,"",(H676*150*12)+C676)</f>
        <v>4914504</v>
      </c>
      <c r="E676" s="4">
        <f>IFERROR(D676*0.5,"")</f>
        <v>2457252</v>
      </c>
      <c r="F676" s="4">
        <f>IFERROR(E676/0.06,"")</f>
        <v>40954200</v>
      </c>
      <c r="G676" s="4">
        <f>IFERROR(F676/H676,"")</f>
        <v>208950</v>
      </c>
      <c r="H676" s="1">
        <v>196</v>
      </c>
      <c r="I676" s="1">
        <v>1995</v>
      </c>
      <c r="J676" t="s">
        <v>64</v>
      </c>
      <c r="K676" t="s">
        <v>2085</v>
      </c>
      <c r="L676" t="s">
        <v>3008</v>
      </c>
      <c r="M676" t="s">
        <v>3338</v>
      </c>
      <c r="N676" t="s">
        <v>3339</v>
      </c>
      <c r="O676" t="s">
        <v>3008</v>
      </c>
      <c r="P676" s="1">
        <v>4</v>
      </c>
      <c r="Q676" t="s">
        <v>729</v>
      </c>
      <c r="R676" t="s">
        <v>70</v>
      </c>
      <c r="S676" t="s">
        <v>71</v>
      </c>
      <c r="U676" t="s">
        <v>72</v>
      </c>
      <c r="V676" t="s">
        <v>2085</v>
      </c>
      <c r="W676" t="s">
        <v>74</v>
      </c>
      <c r="X676" t="s">
        <v>2086</v>
      </c>
      <c r="Y676" s="2">
        <v>1064</v>
      </c>
      <c r="Z676" s="3">
        <v>2.02</v>
      </c>
      <c r="AA676" s="4">
        <v>2155</v>
      </c>
      <c r="AK676" s="5">
        <v>7.1429</v>
      </c>
      <c r="AM676" s="1">
        <v>2019</v>
      </c>
      <c r="AN676" s="1">
        <v>2</v>
      </c>
      <c r="AO676" t="s">
        <v>81</v>
      </c>
      <c r="AP676" t="s">
        <v>82</v>
      </c>
      <c r="AQ676" t="s">
        <v>83</v>
      </c>
      <c r="AR676" s="3">
        <v>2.0099999999999998</v>
      </c>
      <c r="AS676" s="4">
        <v>2415</v>
      </c>
      <c r="AT676" s="1">
        <v>1202</v>
      </c>
      <c r="AU676" s="3">
        <v>1.84</v>
      </c>
      <c r="AV676" s="4">
        <v>2468</v>
      </c>
      <c r="AW676" s="1">
        <v>1343</v>
      </c>
      <c r="AX676" s="3">
        <v>1091477.52</v>
      </c>
      <c r="BB676" t="s">
        <v>84</v>
      </c>
      <c r="BD676" s="3">
        <v>2.06</v>
      </c>
      <c r="BE676" s="4">
        <v>1921</v>
      </c>
      <c r="BF676" s="1">
        <v>932</v>
      </c>
      <c r="BG676" s="1">
        <v>104</v>
      </c>
      <c r="BH676" s="1">
        <v>84</v>
      </c>
      <c r="BI676" s="1">
        <v>8</v>
      </c>
      <c r="BK676" t="s">
        <v>3340</v>
      </c>
      <c r="BL676" t="s">
        <v>365</v>
      </c>
    </row>
    <row r="677" spans="1:67" x14ac:dyDescent="0.25">
      <c r="A677" t="s">
        <v>4242</v>
      </c>
      <c r="B677" t="s">
        <v>4243</v>
      </c>
      <c r="C677" s="4">
        <f>(AA677*(H677*0.9))*12</f>
        <v>4218480</v>
      </c>
      <c r="D677" s="4">
        <f>IF(C677=0,"",(H677*150*12)+C677)</f>
        <v>4542480</v>
      </c>
      <c r="E677" s="4">
        <f>IFERROR(D677*0.5,"")</f>
        <v>2271240</v>
      </c>
      <c r="F677" s="4">
        <f>IFERROR(E677/0.06,"")</f>
        <v>37854000</v>
      </c>
      <c r="G677" s="4">
        <f>IFERROR(F677/H677,"")</f>
        <v>210300</v>
      </c>
      <c r="H677" s="1">
        <v>180</v>
      </c>
      <c r="I677" s="1">
        <v>1998</v>
      </c>
      <c r="J677" t="s">
        <v>64</v>
      </c>
      <c r="K677" t="s">
        <v>140</v>
      </c>
      <c r="L677" t="s">
        <v>4244</v>
      </c>
      <c r="M677" t="s">
        <v>4245</v>
      </c>
      <c r="N677" t="s">
        <v>4246</v>
      </c>
      <c r="O677" t="s">
        <v>4244</v>
      </c>
      <c r="P677" s="1">
        <v>4</v>
      </c>
      <c r="Q677" t="s">
        <v>729</v>
      </c>
      <c r="R677" t="s">
        <v>70</v>
      </c>
      <c r="S677" t="s">
        <v>71</v>
      </c>
      <c r="U677" t="s">
        <v>72</v>
      </c>
      <c r="V677" t="s">
        <v>140</v>
      </c>
      <c r="W677" t="s">
        <v>74</v>
      </c>
      <c r="X677" t="s">
        <v>1351</v>
      </c>
      <c r="Y677" s="2">
        <v>1191</v>
      </c>
      <c r="Z677" s="3">
        <v>1.82</v>
      </c>
      <c r="AA677" s="4">
        <v>2170</v>
      </c>
      <c r="AK677" s="5">
        <v>7.7778</v>
      </c>
      <c r="AM677" s="1">
        <v>2020</v>
      </c>
      <c r="AN677" s="1">
        <v>3</v>
      </c>
      <c r="AO677" t="s">
        <v>81</v>
      </c>
      <c r="AP677" t="s">
        <v>82</v>
      </c>
      <c r="AQ677" t="s">
        <v>83</v>
      </c>
      <c r="AR677" s="3">
        <v>1.75</v>
      </c>
      <c r="AS677" s="4">
        <v>2259</v>
      </c>
      <c r="AT677" s="1">
        <v>1289</v>
      </c>
      <c r="AU677" s="3">
        <v>1.74</v>
      </c>
      <c r="AV677" s="4">
        <v>2631</v>
      </c>
      <c r="AW677" s="1">
        <v>1513</v>
      </c>
      <c r="AX677" s="3">
        <v>681609.44</v>
      </c>
      <c r="BB677" t="s">
        <v>84</v>
      </c>
      <c r="BD677" s="3">
        <v>2.02</v>
      </c>
      <c r="BE677" s="4">
        <v>1757</v>
      </c>
      <c r="BF677" s="1">
        <v>868</v>
      </c>
      <c r="BG677" s="1">
        <v>66</v>
      </c>
      <c r="BH677" s="1">
        <v>68</v>
      </c>
      <c r="BI677" s="1">
        <v>46</v>
      </c>
    </row>
    <row r="678" spans="1:67" x14ac:dyDescent="0.25">
      <c r="A678" t="s">
        <v>2522</v>
      </c>
      <c r="B678" t="s">
        <v>2523</v>
      </c>
      <c r="C678" s="4">
        <f>(AA678*(H678*0.9))*12</f>
        <v>4393245.5999999996</v>
      </c>
      <c r="D678" s="4">
        <f>IF(C678=0,"",(H678*150*12)+C678)</f>
        <v>4728045.5999999996</v>
      </c>
      <c r="E678" s="4">
        <f>IFERROR(D678*0.5,"")</f>
        <v>2364022.7999999998</v>
      </c>
      <c r="F678" s="4">
        <f>IFERROR(E678/0.06,"")</f>
        <v>39400380</v>
      </c>
      <c r="G678" s="4">
        <f>IFERROR(F678/H678,"")</f>
        <v>211830</v>
      </c>
      <c r="H678" s="1">
        <v>186</v>
      </c>
      <c r="I678" s="1">
        <v>1994</v>
      </c>
      <c r="J678" t="s">
        <v>64</v>
      </c>
      <c r="K678" t="s">
        <v>87</v>
      </c>
      <c r="L678" t="s">
        <v>697</v>
      </c>
      <c r="M678" t="s">
        <v>2524</v>
      </c>
      <c r="N678" t="s">
        <v>2525</v>
      </c>
      <c r="O678" t="s">
        <v>697</v>
      </c>
      <c r="P678" s="1">
        <v>3</v>
      </c>
      <c r="Q678" t="s">
        <v>91</v>
      </c>
      <c r="R678" t="s">
        <v>70</v>
      </c>
      <c r="S678" t="s">
        <v>71</v>
      </c>
      <c r="U678" t="s">
        <v>72</v>
      </c>
      <c r="V678" t="s">
        <v>73</v>
      </c>
      <c r="W678" t="s">
        <v>74</v>
      </c>
      <c r="X678" t="s">
        <v>607</v>
      </c>
      <c r="Y678" s="2">
        <v>871</v>
      </c>
      <c r="Z678" s="3">
        <v>2.5099999999999998</v>
      </c>
      <c r="AA678" s="4">
        <v>2187</v>
      </c>
      <c r="AK678" s="5">
        <v>3.7633999999999999</v>
      </c>
      <c r="AN678" s="1">
        <v>3</v>
      </c>
      <c r="AO678" t="s">
        <v>81</v>
      </c>
      <c r="AP678" t="s">
        <v>82</v>
      </c>
      <c r="AQ678" t="s">
        <v>83</v>
      </c>
      <c r="AR678" s="3">
        <v>2.52</v>
      </c>
      <c r="AS678" s="4">
        <v>2648</v>
      </c>
      <c r="AT678" s="1">
        <v>1051</v>
      </c>
      <c r="AX678" s="3">
        <v>961062.9</v>
      </c>
      <c r="BB678" t="s">
        <v>84</v>
      </c>
      <c r="BD678" s="3">
        <v>2.5</v>
      </c>
      <c r="BE678" s="4">
        <v>1868</v>
      </c>
      <c r="BF678" s="1">
        <v>748</v>
      </c>
      <c r="BG678" s="1">
        <v>110</v>
      </c>
      <c r="BH678" s="1">
        <v>76</v>
      </c>
    </row>
    <row r="679" spans="1:67" x14ac:dyDescent="0.25">
      <c r="A679" t="s">
        <v>3926</v>
      </c>
      <c r="B679" t="s">
        <v>3927</v>
      </c>
      <c r="C679" s="4">
        <f>(AA679*(H679*0.9))*12</f>
        <v>2734884</v>
      </c>
      <c r="D679" s="4">
        <f>IF(C679=0,"",(H679*150*12)+C679)</f>
        <v>2941884</v>
      </c>
      <c r="E679" s="4">
        <f>IFERROR(D679*0.5,"")</f>
        <v>1470942</v>
      </c>
      <c r="F679" s="4">
        <f>IFERROR(E679/0.06,"")</f>
        <v>24515700</v>
      </c>
      <c r="G679" s="4">
        <f>IFERROR(F679/H679,"")</f>
        <v>213180</v>
      </c>
      <c r="H679" s="1">
        <v>115</v>
      </c>
      <c r="I679" s="1">
        <v>1999</v>
      </c>
      <c r="J679" t="s">
        <v>64</v>
      </c>
      <c r="K679" t="s">
        <v>140</v>
      </c>
      <c r="L679" t="s">
        <v>3221</v>
      </c>
      <c r="M679" t="s">
        <v>3928</v>
      </c>
      <c r="N679" t="s">
        <v>3929</v>
      </c>
      <c r="O679" t="s">
        <v>3221</v>
      </c>
      <c r="P679" s="1">
        <v>3</v>
      </c>
      <c r="Q679" t="s">
        <v>91</v>
      </c>
      <c r="R679" t="s">
        <v>70</v>
      </c>
      <c r="S679" t="s">
        <v>71</v>
      </c>
      <c r="U679" t="s">
        <v>72</v>
      </c>
      <c r="V679" t="s">
        <v>140</v>
      </c>
      <c r="W679" t="s">
        <v>74</v>
      </c>
      <c r="X679" t="s">
        <v>3930</v>
      </c>
      <c r="Y679" s="2">
        <v>612</v>
      </c>
      <c r="Z679" s="3">
        <v>3.6</v>
      </c>
      <c r="AA679" s="4">
        <v>2202</v>
      </c>
      <c r="AK679" s="5">
        <v>0.86960000000000004</v>
      </c>
      <c r="AN679" s="1">
        <v>2</v>
      </c>
      <c r="AO679" t="s">
        <v>81</v>
      </c>
      <c r="AP679" t="s">
        <v>82</v>
      </c>
      <c r="AQ679" t="s">
        <v>83</v>
      </c>
      <c r="AR679" s="3">
        <v>3.42</v>
      </c>
      <c r="AS679" s="4">
        <v>3268</v>
      </c>
      <c r="AT679" s="1">
        <v>956</v>
      </c>
      <c r="AX679" s="3">
        <v>186140.72</v>
      </c>
      <c r="AY679" s="3">
        <v>4.08</v>
      </c>
      <c r="AZ679" s="4">
        <v>1863</v>
      </c>
      <c r="BA679" s="6">
        <v>456</v>
      </c>
      <c r="BB679" t="s">
        <v>84</v>
      </c>
      <c r="BD679" s="3">
        <v>3.52</v>
      </c>
      <c r="BE679" s="4">
        <v>2201</v>
      </c>
      <c r="BF679" s="1">
        <v>626</v>
      </c>
      <c r="BG679" s="1">
        <v>82</v>
      </c>
      <c r="BH679" s="1">
        <v>8</v>
      </c>
      <c r="BK679" t="s">
        <v>3931</v>
      </c>
      <c r="BL679" t="s">
        <v>131</v>
      </c>
    </row>
    <row r="680" spans="1:67" x14ac:dyDescent="0.25">
      <c r="A680" t="s">
        <v>2260</v>
      </c>
      <c r="B680" t="s">
        <v>2261</v>
      </c>
      <c r="C680" s="4">
        <f>(AA680*(H680*0.9))*12</f>
        <v>7286328</v>
      </c>
      <c r="D680" s="4">
        <f>IF(C680=0,"",(H680*150*12)+C680)</f>
        <v>7835328</v>
      </c>
      <c r="E680" s="4">
        <f>IFERROR(D680*0.5,"")</f>
        <v>3917664</v>
      </c>
      <c r="F680" s="4">
        <f>IFERROR(E680/0.06,"")</f>
        <v>65294400</v>
      </c>
      <c r="G680" s="4">
        <f>IFERROR(F680/H680,"")</f>
        <v>214080</v>
      </c>
      <c r="H680" s="1">
        <v>305</v>
      </c>
      <c r="I680" s="1">
        <v>1999</v>
      </c>
      <c r="J680" t="s">
        <v>64</v>
      </c>
      <c r="K680" t="s">
        <v>87</v>
      </c>
      <c r="L680" t="s">
        <v>2262</v>
      </c>
      <c r="M680" t="s">
        <v>2263</v>
      </c>
      <c r="N680" t="s">
        <v>2264</v>
      </c>
      <c r="O680" t="s">
        <v>2262</v>
      </c>
      <c r="P680" s="1">
        <v>4</v>
      </c>
      <c r="Q680" t="s">
        <v>91</v>
      </c>
      <c r="R680" t="s">
        <v>70</v>
      </c>
      <c r="S680" t="s">
        <v>71</v>
      </c>
      <c r="U680" t="s">
        <v>72</v>
      </c>
      <c r="V680" t="s">
        <v>73</v>
      </c>
      <c r="W680" t="s">
        <v>74</v>
      </c>
      <c r="X680" t="s">
        <v>92</v>
      </c>
      <c r="Y680" s="2">
        <v>1176</v>
      </c>
      <c r="Z680" s="3">
        <v>1.88</v>
      </c>
      <c r="AA680" s="4">
        <v>2212</v>
      </c>
      <c r="AK680" s="5">
        <v>3.6065999999999998</v>
      </c>
      <c r="AM680" s="1">
        <v>2007</v>
      </c>
      <c r="AN680" s="1">
        <v>4</v>
      </c>
      <c r="AO680" t="s">
        <v>81</v>
      </c>
      <c r="AP680" t="s">
        <v>82</v>
      </c>
      <c r="AQ680" t="s">
        <v>83</v>
      </c>
      <c r="AR680" s="3">
        <v>1.75</v>
      </c>
      <c r="AS680" s="4">
        <v>2353</v>
      </c>
      <c r="AT680" s="1">
        <v>1343</v>
      </c>
      <c r="AU680" s="3">
        <v>1.84</v>
      </c>
      <c r="AV680" s="4">
        <v>3269</v>
      </c>
      <c r="AW680" s="1">
        <v>1774</v>
      </c>
      <c r="AX680" s="3">
        <v>1938025.5</v>
      </c>
      <c r="BB680" t="s">
        <v>84</v>
      </c>
      <c r="BD680" s="3">
        <v>2.02</v>
      </c>
      <c r="BE680" s="4">
        <v>1969</v>
      </c>
      <c r="BF680" s="1">
        <v>977</v>
      </c>
      <c r="BG680" s="1">
        <v>164</v>
      </c>
      <c r="BH680" s="1">
        <v>119</v>
      </c>
      <c r="BI680" s="1">
        <v>22</v>
      </c>
    </row>
    <row r="681" spans="1:67" x14ac:dyDescent="0.25">
      <c r="A681" t="s">
        <v>85</v>
      </c>
      <c r="B681" t="s">
        <v>86</v>
      </c>
      <c r="C681" s="4">
        <f>(AA681*(H681*0.9))*12</f>
        <v>4695062.4000000004</v>
      </c>
      <c r="D681" s="4">
        <f>IF(C681=0,"",(H681*150*12)+C681)</f>
        <v>5047862.4000000004</v>
      </c>
      <c r="E681" s="4">
        <f>IFERROR(D681*0.5,"")</f>
        <v>2523931.2000000002</v>
      </c>
      <c r="F681" s="4">
        <f>IFERROR(E681/0.06,"")</f>
        <v>42065520.000000007</v>
      </c>
      <c r="G681" s="4">
        <f>IFERROR(F681/H681,"")</f>
        <v>214620.00000000003</v>
      </c>
      <c r="H681" s="1">
        <v>196</v>
      </c>
      <c r="I681" s="1">
        <v>1986</v>
      </c>
      <c r="J681" t="s">
        <v>64</v>
      </c>
      <c r="K681" t="s">
        <v>87</v>
      </c>
      <c r="L681" t="s">
        <v>88</v>
      </c>
      <c r="M681" t="s">
        <v>89</v>
      </c>
      <c r="N681" t="s">
        <v>90</v>
      </c>
      <c r="O681" t="s">
        <v>88</v>
      </c>
      <c r="P681" s="1">
        <v>4</v>
      </c>
      <c r="Q681" t="s">
        <v>91</v>
      </c>
      <c r="R681" t="s">
        <v>70</v>
      </c>
      <c r="S681" t="s">
        <v>71</v>
      </c>
      <c r="U681" t="s">
        <v>72</v>
      </c>
      <c r="V681" t="s">
        <v>73</v>
      </c>
      <c r="W681" t="s">
        <v>74</v>
      </c>
      <c r="X681" t="s">
        <v>92</v>
      </c>
      <c r="Y681" s="2">
        <v>819</v>
      </c>
      <c r="Z681" s="3">
        <v>2.71</v>
      </c>
      <c r="AA681" s="4">
        <v>2218</v>
      </c>
      <c r="AK681" s="5">
        <v>12.755100000000001</v>
      </c>
      <c r="AM681" s="1">
        <v>2025</v>
      </c>
      <c r="AN681" s="1">
        <v>21</v>
      </c>
      <c r="AO681" t="s">
        <v>81</v>
      </c>
      <c r="AP681" t="s">
        <v>82</v>
      </c>
      <c r="AQ681" t="s">
        <v>83</v>
      </c>
      <c r="AR681" s="3">
        <v>2.67</v>
      </c>
      <c r="AS681" s="4">
        <v>2814</v>
      </c>
      <c r="AT681" s="1">
        <v>1053</v>
      </c>
      <c r="AX681" s="3">
        <v>1012570.66</v>
      </c>
      <c r="BB681" t="s">
        <v>93</v>
      </c>
      <c r="BD681" s="3">
        <v>2.73</v>
      </c>
      <c r="BE681" s="4">
        <v>1887</v>
      </c>
      <c r="BF681" s="1">
        <v>690</v>
      </c>
      <c r="BG681" s="1">
        <v>126</v>
      </c>
      <c r="BH681" s="1">
        <v>70</v>
      </c>
      <c r="BL681" t="s">
        <v>94</v>
      </c>
    </row>
    <row r="682" spans="1:67" x14ac:dyDescent="0.25">
      <c r="A682" t="s">
        <v>4029</v>
      </c>
      <c r="B682" t="s">
        <v>4030</v>
      </c>
      <c r="C682" s="4">
        <f>(AA682*(H682*0.9))*12</f>
        <v>1432425.6</v>
      </c>
      <c r="D682" s="4">
        <f>IF(C682=0,"",(H682*150*12)+C682)</f>
        <v>1538625.6</v>
      </c>
      <c r="E682" s="4">
        <f>IFERROR(D682*0.5,"")</f>
        <v>769312.8</v>
      </c>
      <c r="F682" s="4">
        <f>IFERROR(E682/0.06,"")</f>
        <v>12821880.000000002</v>
      </c>
      <c r="G682" s="4">
        <f>IFERROR(F682/H682,"")</f>
        <v>217320.00000000003</v>
      </c>
      <c r="H682" s="1">
        <v>59</v>
      </c>
      <c r="I682" s="1">
        <v>1991</v>
      </c>
      <c r="J682" t="s">
        <v>64</v>
      </c>
      <c r="K682" t="s">
        <v>2063</v>
      </c>
      <c r="L682" t="s">
        <v>4031</v>
      </c>
      <c r="M682" t="s">
        <v>4032</v>
      </c>
      <c r="N682" t="s">
        <v>4033</v>
      </c>
      <c r="O682" t="s">
        <v>4031</v>
      </c>
      <c r="P682" s="1">
        <v>3</v>
      </c>
      <c r="Q682" t="s">
        <v>91</v>
      </c>
      <c r="R682" t="s">
        <v>70</v>
      </c>
      <c r="S682" t="s">
        <v>71</v>
      </c>
      <c r="U682" t="s">
        <v>72</v>
      </c>
      <c r="V682" t="s">
        <v>152</v>
      </c>
      <c r="W682" t="s">
        <v>74</v>
      </c>
      <c r="X682" t="s">
        <v>4034</v>
      </c>
      <c r="Y682" s="2">
        <v>1034</v>
      </c>
      <c r="Z682" s="3">
        <v>2.17</v>
      </c>
      <c r="AA682" s="4">
        <v>2248</v>
      </c>
      <c r="AK682" s="5">
        <v>13.5593</v>
      </c>
      <c r="AM682" s="1">
        <v>2020</v>
      </c>
      <c r="AN682" s="1">
        <v>12</v>
      </c>
      <c r="AO682" t="s">
        <v>81</v>
      </c>
      <c r="AP682" t="s">
        <v>82</v>
      </c>
      <c r="AQ682" t="s">
        <v>83</v>
      </c>
      <c r="AR682" s="3">
        <v>3.32</v>
      </c>
      <c r="AS682" s="4">
        <v>5563</v>
      </c>
      <c r="AT682" s="1">
        <v>1677</v>
      </c>
      <c r="AX682" s="3">
        <v>189910.39999999999</v>
      </c>
      <c r="BB682" t="s">
        <v>84</v>
      </c>
      <c r="BD682" s="3">
        <v>2.14</v>
      </c>
      <c r="BE682" s="4">
        <v>2190</v>
      </c>
      <c r="BF682" s="1">
        <v>1023</v>
      </c>
      <c r="BG682" s="1">
        <v>58</v>
      </c>
      <c r="BH682" s="1">
        <v>1</v>
      </c>
    </row>
    <row r="683" spans="1:67" x14ac:dyDescent="0.25">
      <c r="A683" t="s">
        <v>2547</v>
      </c>
      <c r="B683" t="s">
        <v>2548</v>
      </c>
      <c r="C683" s="4">
        <f>(AA683*(H683*0.9))*12</f>
        <v>7708932</v>
      </c>
      <c r="D683" s="4">
        <f>IF(C683=0,"",(H683*150*12)+C683)</f>
        <v>8275932</v>
      </c>
      <c r="E683" s="4">
        <f>IFERROR(D683*0.5,"")</f>
        <v>4137966</v>
      </c>
      <c r="F683" s="4">
        <f>IFERROR(E683/0.06,"")</f>
        <v>68966100</v>
      </c>
      <c r="G683" s="4">
        <f>IFERROR(F683/H683,"")</f>
        <v>218940</v>
      </c>
      <c r="H683" s="1">
        <v>315</v>
      </c>
      <c r="I683" s="1">
        <v>1998</v>
      </c>
      <c r="J683" t="s">
        <v>64</v>
      </c>
      <c r="K683" t="s">
        <v>814</v>
      </c>
      <c r="L683" t="s">
        <v>2311</v>
      </c>
      <c r="M683" t="s">
        <v>2549</v>
      </c>
      <c r="N683" t="s">
        <v>2550</v>
      </c>
      <c r="O683" t="s">
        <v>2311</v>
      </c>
      <c r="P683" s="1">
        <v>3</v>
      </c>
      <c r="Q683" t="s">
        <v>91</v>
      </c>
      <c r="R683" t="s">
        <v>70</v>
      </c>
      <c r="S683" t="s">
        <v>71</v>
      </c>
      <c r="U683" t="s">
        <v>72</v>
      </c>
      <c r="V683" t="s">
        <v>814</v>
      </c>
      <c r="W683" t="s">
        <v>74</v>
      </c>
      <c r="X683" t="s">
        <v>816</v>
      </c>
      <c r="Y683" s="2">
        <v>1219</v>
      </c>
      <c r="Z683" s="3">
        <v>1.86</v>
      </c>
      <c r="AA683" s="4">
        <v>2266</v>
      </c>
      <c r="AK683" s="5">
        <v>4.4443999999999999</v>
      </c>
      <c r="AM683" s="1">
        <v>2009</v>
      </c>
      <c r="AN683" s="1">
        <v>2</v>
      </c>
      <c r="AO683" t="s">
        <v>81</v>
      </c>
      <c r="AP683" t="s">
        <v>82</v>
      </c>
      <c r="AQ683" t="s">
        <v>83</v>
      </c>
      <c r="AR683" s="3">
        <v>1.96</v>
      </c>
      <c r="AS683" s="4">
        <v>2190</v>
      </c>
      <c r="AT683" s="1">
        <v>1118</v>
      </c>
      <c r="AU683" s="3">
        <v>1.56</v>
      </c>
      <c r="AV683" s="4">
        <v>2756</v>
      </c>
      <c r="AW683" s="1">
        <v>1770</v>
      </c>
      <c r="AX683" s="3">
        <v>1793710.87</v>
      </c>
      <c r="BB683" t="s">
        <v>84</v>
      </c>
      <c r="BD683" s="3">
        <v>2.14</v>
      </c>
      <c r="BE683" s="4">
        <v>1782</v>
      </c>
      <c r="BF683" s="1">
        <v>834</v>
      </c>
      <c r="BG683" s="1">
        <v>90</v>
      </c>
      <c r="BH683" s="1">
        <v>135</v>
      </c>
      <c r="BI683" s="1">
        <v>45</v>
      </c>
      <c r="BJ683" s="1">
        <v>45</v>
      </c>
      <c r="BK683" t="s">
        <v>261</v>
      </c>
      <c r="BL683" t="s">
        <v>104</v>
      </c>
      <c r="BM683" s="3">
        <v>1.71</v>
      </c>
      <c r="BN683" s="4">
        <v>2975</v>
      </c>
      <c r="BO683" s="1">
        <v>1741</v>
      </c>
    </row>
    <row r="684" spans="1:67" x14ac:dyDescent="0.25">
      <c r="A684" t="s">
        <v>3219</v>
      </c>
      <c r="B684" t="s">
        <v>3220</v>
      </c>
      <c r="C684" s="4">
        <f>(AA684*(H684*0.9))*12</f>
        <v>2553033.6</v>
      </c>
      <c r="D684" s="4">
        <f>IF(C684=0,"",(H684*150*12)+C684)</f>
        <v>2740233.6</v>
      </c>
      <c r="E684" s="4">
        <f>IFERROR(D684*0.5,"")</f>
        <v>1370116.8</v>
      </c>
      <c r="F684" s="4">
        <f>IFERROR(E684/0.06,"")</f>
        <v>22835280</v>
      </c>
      <c r="G684" s="4">
        <f>IFERROR(F684/H684,"")</f>
        <v>219570</v>
      </c>
      <c r="H684" s="1">
        <v>104</v>
      </c>
      <c r="I684" s="1">
        <v>1996</v>
      </c>
      <c r="J684" t="s">
        <v>64</v>
      </c>
      <c r="K684" t="s">
        <v>477</v>
      </c>
      <c r="L684" t="s">
        <v>3221</v>
      </c>
      <c r="M684" t="s">
        <v>3222</v>
      </c>
      <c r="N684" t="s">
        <v>3223</v>
      </c>
      <c r="O684" t="s">
        <v>3221</v>
      </c>
      <c r="P684" s="1">
        <v>3</v>
      </c>
      <c r="Q684" t="s">
        <v>91</v>
      </c>
      <c r="R684" t="s">
        <v>70</v>
      </c>
      <c r="S684" t="s">
        <v>71</v>
      </c>
      <c r="U684" t="s">
        <v>72</v>
      </c>
      <c r="V684" t="s">
        <v>110</v>
      </c>
      <c r="W684" t="s">
        <v>74</v>
      </c>
      <c r="X684" t="s">
        <v>3224</v>
      </c>
      <c r="Y684" s="2">
        <v>568</v>
      </c>
      <c r="Z684" s="3">
        <v>4</v>
      </c>
      <c r="AA684" s="4">
        <v>2273</v>
      </c>
      <c r="AK684" s="5">
        <v>20.192299999999999</v>
      </c>
      <c r="AN684" s="1">
        <v>2</v>
      </c>
      <c r="AO684" t="s">
        <v>81</v>
      </c>
      <c r="AP684" t="s">
        <v>82</v>
      </c>
      <c r="AQ684" t="s">
        <v>83</v>
      </c>
      <c r="AR684" s="3">
        <v>3.81</v>
      </c>
      <c r="AS684" s="4">
        <v>3433</v>
      </c>
      <c r="AT684" s="1">
        <v>901</v>
      </c>
      <c r="AX684" s="3">
        <v>196702.2</v>
      </c>
      <c r="AY684" s="3">
        <v>4.1900000000000004</v>
      </c>
      <c r="AZ684" s="4">
        <v>1873</v>
      </c>
      <c r="BA684" s="6">
        <v>447</v>
      </c>
      <c r="BB684" t="s">
        <v>84</v>
      </c>
      <c r="BD684" s="3">
        <v>3.94</v>
      </c>
      <c r="BE684" s="4">
        <v>2393</v>
      </c>
      <c r="BF684" s="1">
        <v>607</v>
      </c>
      <c r="BG684" s="1">
        <v>53</v>
      </c>
      <c r="BH684" s="1">
        <v>9</v>
      </c>
    </row>
    <row r="685" spans="1:67" x14ac:dyDescent="0.25">
      <c r="A685" t="s">
        <v>3896</v>
      </c>
      <c r="B685" t="s">
        <v>3897</v>
      </c>
      <c r="C685" s="4">
        <f>(AA685*(H685*0.9))*12</f>
        <v>15135984.000000004</v>
      </c>
      <c r="D685" s="4">
        <f>IF(C685=0,"",(H685*150*12)+C685)</f>
        <v>16237584.000000004</v>
      </c>
      <c r="E685" s="4">
        <f>IFERROR(D685*0.5,"")</f>
        <v>8118792.0000000019</v>
      </c>
      <c r="F685" s="4">
        <f>IFERROR(E685/0.06,"")</f>
        <v>135313200.00000003</v>
      </c>
      <c r="G685" s="4">
        <f>IFERROR(F685/H685,"")</f>
        <v>221100.00000000006</v>
      </c>
      <c r="H685" s="1">
        <v>612</v>
      </c>
      <c r="I685" s="1">
        <v>1999</v>
      </c>
      <c r="J685" t="s">
        <v>64</v>
      </c>
      <c r="K685" t="s">
        <v>1761</v>
      </c>
      <c r="L685" t="s">
        <v>1762</v>
      </c>
      <c r="M685" t="s">
        <v>3898</v>
      </c>
      <c r="N685" t="s">
        <v>3899</v>
      </c>
      <c r="O685" t="s">
        <v>1762</v>
      </c>
      <c r="P685" s="1">
        <v>3</v>
      </c>
      <c r="Q685" t="s">
        <v>69</v>
      </c>
      <c r="R685" t="s">
        <v>70</v>
      </c>
      <c r="S685" t="s">
        <v>71</v>
      </c>
      <c r="U685" t="s">
        <v>72</v>
      </c>
      <c r="V685" t="s">
        <v>73</v>
      </c>
      <c r="W685" t="s">
        <v>74</v>
      </c>
      <c r="X685" t="s">
        <v>75</v>
      </c>
      <c r="Y685" s="2">
        <v>900</v>
      </c>
      <c r="Z685" s="3">
        <v>2.54</v>
      </c>
      <c r="AA685" s="4">
        <v>2290</v>
      </c>
      <c r="AK685" s="5">
        <v>1.6339999999999999</v>
      </c>
      <c r="AN685" s="1">
        <v>3</v>
      </c>
      <c r="AO685" t="s">
        <v>81</v>
      </c>
      <c r="AP685" t="s">
        <v>82</v>
      </c>
      <c r="AQ685" t="s">
        <v>83</v>
      </c>
      <c r="AR685" s="3">
        <v>2.63</v>
      </c>
      <c r="AS685" s="4">
        <v>2759</v>
      </c>
      <c r="AT685" s="1">
        <v>1048</v>
      </c>
      <c r="AU685" s="3">
        <v>2.21</v>
      </c>
      <c r="AV685" s="4">
        <v>2979</v>
      </c>
      <c r="AW685" s="1">
        <v>1348</v>
      </c>
      <c r="AX685" s="3">
        <v>2462071.5</v>
      </c>
      <c r="BB685" t="s">
        <v>84</v>
      </c>
      <c r="BD685" s="3">
        <v>2.52</v>
      </c>
      <c r="BE685" s="4">
        <v>1826</v>
      </c>
      <c r="BF685" s="1">
        <v>724</v>
      </c>
      <c r="BG685" s="1">
        <v>317</v>
      </c>
      <c r="BH685" s="1">
        <v>253</v>
      </c>
      <c r="BI685" s="1">
        <v>42</v>
      </c>
      <c r="BK685" t="s">
        <v>386</v>
      </c>
      <c r="BL685" t="s">
        <v>131</v>
      </c>
    </row>
    <row r="686" spans="1:67" x14ac:dyDescent="0.25">
      <c r="A686" t="s">
        <v>2460</v>
      </c>
      <c r="B686" t="s">
        <v>2461</v>
      </c>
      <c r="C686" s="4">
        <f>(AA686*(H686*0.9))*12</f>
        <v>6549206.3999999994</v>
      </c>
      <c r="D686" s="4">
        <f>IF(C686=0,"",(H686*150*12)+C686)</f>
        <v>7024406.3999999994</v>
      </c>
      <c r="E686" s="4">
        <f>IFERROR(D686*0.5,"")</f>
        <v>3512203.1999999997</v>
      </c>
      <c r="F686" s="4">
        <f>IFERROR(E686/0.06,"")</f>
        <v>58536720</v>
      </c>
      <c r="G686" s="4">
        <f>IFERROR(F686/H686,"")</f>
        <v>221730</v>
      </c>
      <c r="H686" s="1">
        <v>264</v>
      </c>
      <c r="I686" s="1">
        <v>1998</v>
      </c>
      <c r="J686" t="s">
        <v>64</v>
      </c>
      <c r="K686" t="s">
        <v>140</v>
      </c>
      <c r="L686" t="s">
        <v>2462</v>
      </c>
      <c r="M686" t="s">
        <v>2463</v>
      </c>
      <c r="N686" t="s">
        <v>2464</v>
      </c>
      <c r="O686" t="s">
        <v>2462</v>
      </c>
      <c r="P686" s="1">
        <v>4</v>
      </c>
      <c r="Q686" t="s">
        <v>91</v>
      </c>
      <c r="R686" t="s">
        <v>70</v>
      </c>
      <c r="S686" t="s">
        <v>71</v>
      </c>
      <c r="U686" t="s">
        <v>72</v>
      </c>
      <c r="V686" t="s">
        <v>140</v>
      </c>
      <c r="W686" t="s">
        <v>74</v>
      </c>
      <c r="X686" t="s">
        <v>2465</v>
      </c>
      <c r="Y686" s="2">
        <v>1300</v>
      </c>
      <c r="Z686" s="3">
        <v>1.77</v>
      </c>
      <c r="AA686" s="4">
        <v>2297</v>
      </c>
      <c r="AK686" s="5">
        <v>9.4696999999999996</v>
      </c>
      <c r="AN686" s="1">
        <v>2</v>
      </c>
      <c r="AO686" t="s">
        <v>81</v>
      </c>
      <c r="AP686" t="s">
        <v>82</v>
      </c>
      <c r="AQ686" t="s">
        <v>83</v>
      </c>
      <c r="AR686" s="3">
        <v>1.8</v>
      </c>
      <c r="AS686" s="4">
        <v>2138</v>
      </c>
      <c r="AT686" s="1">
        <v>1187</v>
      </c>
      <c r="AU686" s="3">
        <v>1.72</v>
      </c>
      <c r="AV686" s="4">
        <v>2427</v>
      </c>
      <c r="AW686" s="1">
        <v>1412</v>
      </c>
      <c r="AX686" s="3">
        <v>1009847.61</v>
      </c>
      <c r="BB686" t="s">
        <v>84</v>
      </c>
      <c r="BD686" s="3">
        <v>2.06</v>
      </c>
      <c r="BE686" s="4">
        <v>1784</v>
      </c>
      <c r="BF686" s="1">
        <v>867</v>
      </c>
      <c r="BG686" s="1">
        <v>16</v>
      </c>
      <c r="BH686" s="1">
        <v>102</v>
      </c>
      <c r="BI686" s="1">
        <v>138</v>
      </c>
      <c r="BJ686" s="1">
        <v>8</v>
      </c>
      <c r="BL686" t="s">
        <v>131</v>
      </c>
      <c r="BM686" s="3">
        <v>1.83</v>
      </c>
      <c r="BN686" s="4">
        <v>3120</v>
      </c>
      <c r="BO686" s="1">
        <v>1703</v>
      </c>
    </row>
    <row r="687" spans="1:67" x14ac:dyDescent="0.25">
      <c r="A687" t="s">
        <v>1040</v>
      </c>
      <c r="B687" t="s">
        <v>1041</v>
      </c>
      <c r="C687" s="4">
        <f>(AA687*(H687*0.9))*12</f>
        <v>4171305.6000000006</v>
      </c>
      <c r="D687" s="4">
        <f>IF(C687=0,"",(H687*150*12)+C687)</f>
        <v>4473705.6000000006</v>
      </c>
      <c r="E687" s="4">
        <f>IFERROR(D687*0.5,"")</f>
        <v>2236852.8000000003</v>
      </c>
      <c r="F687" s="4">
        <f>IFERROR(E687/0.06,"")</f>
        <v>37280880.000000007</v>
      </c>
      <c r="G687" s="4">
        <f>IFERROR(F687/H687,"")</f>
        <v>221910.00000000006</v>
      </c>
      <c r="H687" s="1">
        <v>168</v>
      </c>
      <c r="I687" s="1">
        <v>1990</v>
      </c>
      <c r="J687" t="s">
        <v>64</v>
      </c>
      <c r="K687" t="s">
        <v>269</v>
      </c>
      <c r="L687" t="s">
        <v>1042</v>
      </c>
      <c r="M687" t="s">
        <v>1043</v>
      </c>
      <c r="N687" t="s">
        <v>1044</v>
      </c>
      <c r="O687" t="s">
        <v>1042</v>
      </c>
      <c r="P687" s="1">
        <v>4</v>
      </c>
      <c r="Q687" t="s">
        <v>729</v>
      </c>
      <c r="R687" t="s">
        <v>70</v>
      </c>
      <c r="S687" t="s">
        <v>71</v>
      </c>
      <c r="U687" t="s">
        <v>72</v>
      </c>
      <c r="V687" t="s">
        <v>73</v>
      </c>
      <c r="W687" t="s">
        <v>74</v>
      </c>
      <c r="X687" t="s">
        <v>1045</v>
      </c>
      <c r="Y687" s="2">
        <v>1211</v>
      </c>
      <c r="Z687" s="3">
        <v>1.9</v>
      </c>
      <c r="AA687" s="4">
        <v>2299</v>
      </c>
      <c r="AK687" s="5">
        <v>10.119</v>
      </c>
      <c r="AN687" s="1">
        <v>2</v>
      </c>
      <c r="AO687" t="s">
        <v>81</v>
      </c>
      <c r="AP687" t="s">
        <v>82</v>
      </c>
      <c r="AQ687" t="s">
        <v>83</v>
      </c>
      <c r="AR687" s="3">
        <v>1.9</v>
      </c>
      <c r="AS687" s="4">
        <v>2291</v>
      </c>
      <c r="AT687" s="1">
        <v>1204</v>
      </c>
      <c r="AU687" s="3">
        <v>1.83</v>
      </c>
      <c r="AV687" s="4">
        <v>2600</v>
      </c>
      <c r="AW687" s="1">
        <v>1424</v>
      </c>
      <c r="AX687" s="3">
        <v>989000.78</v>
      </c>
      <c r="BB687" t="s">
        <v>84</v>
      </c>
      <c r="BD687" s="3">
        <v>1.95</v>
      </c>
      <c r="BE687" s="4">
        <v>2043</v>
      </c>
      <c r="BF687" s="1">
        <v>1048</v>
      </c>
      <c r="BG687" s="1">
        <v>21</v>
      </c>
      <c r="BH687" s="1">
        <v>126</v>
      </c>
      <c r="BI687" s="1">
        <v>21</v>
      </c>
    </row>
    <row r="688" spans="1:67" x14ac:dyDescent="0.25">
      <c r="A688" t="s">
        <v>1040</v>
      </c>
      <c r="B688" t="s">
        <v>1041</v>
      </c>
      <c r="C688" s="4">
        <f>(AA688*(H688*0.9))*12</f>
        <v>4171305.6000000006</v>
      </c>
      <c r="D688" s="4">
        <f>IF(C688=0,"",(H688*150*12)+C688)</f>
        <v>4473705.6000000006</v>
      </c>
      <c r="E688" s="4">
        <f>IFERROR(D688*0.5,"")</f>
        <v>2236852.8000000003</v>
      </c>
      <c r="F688" s="4">
        <f>IFERROR(E688/0.06,"")</f>
        <v>37280880.000000007</v>
      </c>
      <c r="G688" s="4">
        <f>IFERROR(F688/H688,"")</f>
        <v>221910.00000000006</v>
      </c>
      <c r="H688" s="1">
        <v>168</v>
      </c>
      <c r="I688" s="1">
        <v>1990</v>
      </c>
      <c r="J688" t="s">
        <v>64</v>
      </c>
      <c r="K688" t="s">
        <v>269</v>
      </c>
      <c r="L688" t="s">
        <v>1042</v>
      </c>
      <c r="M688" t="s">
        <v>1043</v>
      </c>
      <c r="N688" t="s">
        <v>1044</v>
      </c>
      <c r="O688" t="s">
        <v>1042</v>
      </c>
      <c r="P688" s="1">
        <v>4</v>
      </c>
      <c r="Q688" t="s">
        <v>729</v>
      </c>
      <c r="R688" t="s">
        <v>70</v>
      </c>
      <c r="S688" t="s">
        <v>71</v>
      </c>
      <c r="U688" t="s">
        <v>72</v>
      </c>
      <c r="V688" t="s">
        <v>73</v>
      </c>
      <c r="W688" t="s">
        <v>74</v>
      </c>
      <c r="X688" t="s">
        <v>1045</v>
      </c>
      <c r="Y688" s="2">
        <v>1211</v>
      </c>
      <c r="Z688" s="3">
        <v>1.9</v>
      </c>
      <c r="AA688" s="4">
        <v>2299</v>
      </c>
      <c r="AK688" s="5">
        <v>10.119</v>
      </c>
      <c r="AN688" s="1">
        <v>2</v>
      </c>
      <c r="AO688" t="s">
        <v>81</v>
      </c>
      <c r="AP688" t="s">
        <v>82</v>
      </c>
      <c r="AQ688" t="s">
        <v>83</v>
      </c>
      <c r="AR688" s="3">
        <v>1.9</v>
      </c>
      <c r="AS688" s="4">
        <v>2291</v>
      </c>
      <c r="AT688" s="1">
        <v>1204</v>
      </c>
      <c r="AU688" s="3">
        <v>1.79</v>
      </c>
      <c r="AV688" s="4">
        <v>2544</v>
      </c>
      <c r="AW688" s="1">
        <v>1424</v>
      </c>
      <c r="AX688" s="3">
        <v>989000.78</v>
      </c>
      <c r="BB688" t="s">
        <v>84</v>
      </c>
      <c r="BD688" s="3">
        <v>1.95</v>
      </c>
      <c r="BE688" s="4">
        <v>2043</v>
      </c>
      <c r="BF688" s="1">
        <v>1048</v>
      </c>
      <c r="BG688" s="1">
        <v>21</v>
      </c>
      <c r="BH688" s="1">
        <v>126</v>
      </c>
      <c r="BI688" s="1">
        <v>21</v>
      </c>
    </row>
    <row r="689" spans="1:67" x14ac:dyDescent="0.25">
      <c r="A689" t="s">
        <v>1435</v>
      </c>
      <c r="B689" t="s">
        <v>1436</v>
      </c>
      <c r="C689" s="4">
        <f>(AA689*(H689*0.9))*12</f>
        <v>3668943.6000000006</v>
      </c>
      <c r="D689" s="4">
        <f>IF(C689=0,"",(H689*150*12)+C689)</f>
        <v>3933543.6000000006</v>
      </c>
      <c r="E689" s="4">
        <f>IFERROR(D689*0.5,"")</f>
        <v>1966771.8000000003</v>
      </c>
      <c r="F689" s="4">
        <f>IFERROR(E689/0.06,"")</f>
        <v>32779530.000000007</v>
      </c>
      <c r="G689" s="4">
        <f>IFERROR(F689/H689,"")</f>
        <v>222990.00000000006</v>
      </c>
      <c r="H689" s="1">
        <v>147</v>
      </c>
      <c r="I689" s="1">
        <v>1986</v>
      </c>
      <c r="J689" t="s">
        <v>64</v>
      </c>
      <c r="K689" t="s">
        <v>177</v>
      </c>
      <c r="L689" t="s">
        <v>1437</v>
      </c>
      <c r="M689" t="s">
        <v>1438</v>
      </c>
      <c r="N689" t="s">
        <v>1439</v>
      </c>
      <c r="O689" t="s">
        <v>1437</v>
      </c>
      <c r="P689" s="1">
        <v>3</v>
      </c>
      <c r="Q689" t="s">
        <v>91</v>
      </c>
      <c r="R689" t="s">
        <v>70</v>
      </c>
      <c r="S689" t="s">
        <v>71</v>
      </c>
      <c r="U689" t="s">
        <v>72</v>
      </c>
      <c r="V689" t="s">
        <v>181</v>
      </c>
      <c r="W689" t="s">
        <v>74</v>
      </c>
      <c r="X689" t="s">
        <v>1440</v>
      </c>
      <c r="Y689" s="2">
        <v>738</v>
      </c>
      <c r="Z689" s="3">
        <v>3.13</v>
      </c>
      <c r="AA689" s="4">
        <v>2311</v>
      </c>
      <c r="AK689" s="5">
        <v>4.7618999999999998</v>
      </c>
      <c r="AM689" s="1">
        <v>2007</v>
      </c>
      <c r="AN689" s="1">
        <v>2</v>
      </c>
      <c r="AO689" t="s">
        <v>81</v>
      </c>
      <c r="AP689" t="s">
        <v>82</v>
      </c>
      <c r="AQ689" t="s">
        <v>83</v>
      </c>
      <c r="AR689" s="3">
        <v>3.16</v>
      </c>
      <c r="AS689" s="4">
        <v>2698</v>
      </c>
      <c r="AT689" s="1">
        <v>855</v>
      </c>
      <c r="AX689" s="3">
        <v>132058.64000000001</v>
      </c>
      <c r="BB689" t="s">
        <v>84</v>
      </c>
      <c r="BD689" s="3">
        <v>3.12</v>
      </c>
      <c r="BE689" s="4">
        <v>2176</v>
      </c>
      <c r="BF689" s="1">
        <v>697</v>
      </c>
      <c r="BG689" s="1">
        <v>109</v>
      </c>
      <c r="BH689" s="1">
        <v>38</v>
      </c>
      <c r="BK689" t="s">
        <v>635</v>
      </c>
      <c r="BL689" t="s">
        <v>104</v>
      </c>
    </row>
    <row r="690" spans="1:67" x14ac:dyDescent="0.25">
      <c r="A690" t="s">
        <v>601</v>
      </c>
      <c r="B690" t="s">
        <v>602</v>
      </c>
      <c r="C690" s="4">
        <f>(AA690*(H690*0.9))*12</f>
        <v>2604182.4</v>
      </c>
      <c r="D690" s="4">
        <f>IF(C690=0,"",(H690*150*12)+C690)</f>
        <v>2787782.4</v>
      </c>
      <c r="E690" s="4">
        <f>IFERROR(D690*0.5,"")</f>
        <v>1393891.2</v>
      </c>
      <c r="F690" s="4">
        <f>IFERROR(E690/0.06,"")</f>
        <v>23231520</v>
      </c>
      <c r="G690" s="4">
        <f>IFERROR(F690/H690,"")</f>
        <v>227760</v>
      </c>
      <c r="H690" s="1">
        <v>102</v>
      </c>
      <c r="I690" s="1">
        <v>1985</v>
      </c>
      <c r="J690" t="s">
        <v>64</v>
      </c>
      <c r="K690" t="s">
        <v>603</v>
      </c>
      <c r="L690" t="s">
        <v>604</v>
      </c>
      <c r="M690" t="s">
        <v>605</v>
      </c>
      <c r="N690" t="s">
        <v>606</v>
      </c>
      <c r="O690" t="s">
        <v>604</v>
      </c>
      <c r="P690" s="1">
        <v>3</v>
      </c>
      <c r="Q690" t="s">
        <v>69</v>
      </c>
      <c r="R690" t="s">
        <v>70</v>
      </c>
      <c r="S690" t="s">
        <v>71</v>
      </c>
      <c r="U690" t="s">
        <v>72</v>
      </c>
      <c r="V690" t="s">
        <v>73</v>
      </c>
      <c r="W690" t="s">
        <v>74</v>
      </c>
      <c r="X690" t="s">
        <v>607</v>
      </c>
      <c r="Y690" s="2">
        <v>877</v>
      </c>
      <c r="Z690" s="3">
        <v>2.7</v>
      </c>
      <c r="AA690" s="4">
        <v>2364</v>
      </c>
      <c r="AK690" s="5">
        <v>10.7843</v>
      </c>
      <c r="AN690" s="1">
        <v>2</v>
      </c>
      <c r="AO690" t="s">
        <v>81</v>
      </c>
      <c r="AP690" t="s">
        <v>82</v>
      </c>
      <c r="AQ690" t="s">
        <v>83</v>
      </c>
      <c r="AR690" s="3">
        <v>2.73</v>
      </c>
      <c r="AS690" s="4">
        <v>2871</v>
      </c>
      <c r="AT690" s="1">
        <v>1052</v>
      </c>
      <c r="AX690" s="3">
        <v>169954.14</v>
      </c>
      <c r="BB690" t="s">
        <v>84</v>
      </c>
      <c r="BD690" s="3">
        <v>2.65</v>
      </c>
      <c r="BE690" s="4">
        <v>1931</v>
      </c>
      <c r="BF690" s="1">
        <v>728</v>
      </c>
      <c r="BG690" s="1">
        <v>55</v>
      </c>
      <c r="BH690" s="1">
        <v>47</v>
      </c>
      <c r="BK690" t="s">
        <v>608</v>
      </c>
      <c r="BL690" t="s">
        <v>131</v>
      </c>
    </row>
    <row r="691" spans="1:67" x14ac:dyDescent="0.25">
      <c r="A691" t="s">
        <v>2157</v>
      </c>
      <c r="B691" t="s">
        <v>2158</v>
      </c>
      <c r="C691" s="4">
        <f>(AA691*(H691*0.9))*12</f>
        <v>4625056.8000000007</v>
      </c>
      <c r="D691" s="4">
        <f>IF(C691=0,"",(H691*150*12)+C691)</f>
        <v>4950856.8000000007</v>
      </c>
      <c r="E691" s="4">
        <f>IFERROR(D691*0.5,"")</f>
        <v>2475428.4000000004</v>
      </c>
      <c r="F691" s="4">
        <f>IFERROR(E691/0.06,"")</f>
        <v>41257140.000000007</v>
      </c>
      <c r="G691" s="4">
        <f>IFERROR(F691/H691,"")</f>
        <v>227940.00000000003</v>
      </c>
      <c r="H691" s="1">
        <v>181</v>
      </c>
      <c r="I691" s="1">
        <v>1999</v>
      </c>
      <c r="J691" t="s">
        <v>64</v>
      </c>
      <c r="K691" t="s">
        <v>140</v>
      </c>
      <c r="L691" t="s">
        <v>2159</v>
      </c>
      <c r="M691" t="s">
        <v>2160</v>
      </c>
      <c r="N691" t="s">
        <v>2161</v>
      </c>
      <c r="O691" t="s">
        <v>2159</v>
      </c>
      <c r="P691" s="1">
        <v>4</v>
      </c>
      <c r="Q691" t="s">
        <v>729</v>
      </c>
      <c r="R691" t="s">
        <v>70</v>
      </c>
      <c r="S691" t="s">
        <v>71</v>
      </c>
      <c r="U691" t="s">
        <v>72</v>
      </c>
      <c r="V691" t="s">
        <v>140</v>
      </c>
      <c r="W691" t="s">
        <v>74</v>
      </c>
      <c r="X691" t="s">
        <v>1351</v>
      </c>
      <c r="Y691" s="2">
        <v>1580</v>
      </c>
      <c r="Z691" s="3">
        <v>1.5</v>
      </c>
      <c r="AA691" s="4">
        <v>2366</v>
      </c>
      <c r="AK691" s="5">
        <v>10.497199999999999</v>
      </c>
      <c r="AM691" s="1">
        <v>2016</v>
      </c>
      <c r="AN691" s="1">
        <v>2</v>
      </c>
      <c r="AO691" t="s">
        <v>81</v>
      </c>
      <c r="AP691" t="s">
        <v>82</v>
      </c>
      <c r="AQ691" t="s">
        <v>83</v>
      </c>
      <c r="AR691" s="3">
        <v>1.45</v>
      </c>
      <c r="AS691" s="4">
        <v>2253</v>
      </c>
      <c r="AT691" s="1">
        <v>1558</v>
      </c>
      <c r="AU691" s="3">
        <v>1.44</v>
      </c>
      <c r="AV691" s="4">
        <v>2577</v>
      </c>
      <c r="AW691" s="1">
        <v>1784</v>
      </c>
      <c r="AX691" s="3">
        <v>714917.85</v>
      </c>
      <c r="BB691" t="s">
        <v>84</v>
      </c>
      <c r="BD691" s="3">
        <v>1.72</v>
      </c>
      <c r="BE691" s="4">
        <v>1730</v>
      </c>
      <c r="BF691" s="1">
        <v>1004</v>
      </c>
      <c r="BG691" s="1">
        <v>49</v>
      </c>
      <c r="BH691" s="1">
        <v>43</v>
      </c>
      <c r="BI691" s="1">
        <v>67</v>
      </c>
      <c r="BJ691" s="1">
        <v>22</v>
      </c>
      <c r="BK691" t="s">
        <v>2162</v>
      </c>
      <c r="BL691" t="s">
        <v>104</v>
      </c>
      <c r="BM691" s="3">
        <v>1.47</v>
      </c>
      <c r="BN691" s="4">
        <v>3359</v>
      </c>
      <c r="BO691" s="1">
        <v>2292</v>
      </c>
    </row>
    <row r="692" spans="1:67" x14ac:dyDescent="0.25">
      <c r="A692" t="s">
        <v>3834</v>
      </c>
      <c r="B692" t="s">
        <v>3835</v>
      </c>
      <c r="C692" s="4">
        <f>(AA692*(H692*0.9))*12</f>
        <v>2522167.2000000002</v>
      </c>
      <c r="D692" s="4">
        <f>IF(C692=0,"",(H692*150*12)+C692)</f>
        <v>2698567.2</v>
      </c>
      <c r="E692" s="4">
        <f>IFERROR(D692*0.5,"")</f>
        <v>1349283.6</v>
      </c>
      <c r="F692" s="4">
        <f>IFERROR(E692/0.06,"")</f>
        <v>22488060.000000004</v>
      </c>
      <c r="G692" s="4">
        <f>IFERROR(F692/H692,"")</f>
        <v>229470.00000000003</v>
      </c>
      <c r="H692" s="1">
        <v>98</v>
      </c>
      <c r="I692" s="1">
        <v>1998</v>
      </c>
      <c r="J692" t="s">
        <v>64</v>
      </c>
      <c r="K692" t="s">
        <v>2726</v>
      </c>
      <c r="L692" t="s">
        <v>3836</v>
      </c>
      <c r="M692" t="s">
        <v>3837</v>
      </c>
      <c r="N692" t="s">
        <v>3838</v>
      </c>
      <c r="O692" t="s">
        <v>3836</v>
      </c>
      <c r="P692" s="1">
        <v>4</v>
      </c>
      <c r="Q692" t="s">
        <v>729</v>
      </c>
      <c r="R692" t="s">
        <v>70</v>
      </c>
      <c r="S692" t="s">
        <v>71</v>
      </c>
      <c r="U692" t="s">
        <v>72</v>
      </c>
      <c r="V692" t="s">
        <v>73</v>
      </c>
      <c r="W692" t="s">
        <v>74</v>
      </c>
      <c r="X692" t="s">
        <v>1568</v>
      </c>
      <c r="Y692" s="2">
        <v>953</v>
      </c>
      <c r="Z692" s="3">
        <v>2.5</v>
      </c>
      <c r="AA692" s="4">
        <v>2383</v>
      </c>
      <c r="AK692" s="5">
        <v>9.1837</v>
      </c>
      <c r="AM692" s="1">
        <v>2019</v>
      </c>
      <c r="AN692" s="1">
        <v>4</v>
      </c>
      <c r="AO692" t="s">
        <v>81</v>
      </c>
      <c r="AP692" t="s">
        <v>82</v>
      </c>
      <c r="AQ692" t="s">
        <v>83</v>
      </c>
      <c r="AR692" s="3">
        <v>2.23</v>
      </c>
      <c r="AS692" s="4">
        <v>2710</v>
      </c>
      <c r="AT692" s="1">
        <v>1215</v>
      </c>
      <c r="AX692" s="3">
        <v>489471.58</v>
      </c>
      <c r="BB692" t="s">
        <v>84</v>
      </c>
      <c r="BD692" s="3">
        <v>2.62</v>
      </c>
      <c r="BE692" s="4">
        <v>2278</v>
      </c>
      <c r="BF692" s="1">
        <v>868</v>
      </c>
      <c r="BG692" s="1">
        <v>74</v>
      </c>
      <c r="BH692" s="1">
        <v>24</v>
      </c>
      <c r="BK692" t="s">
        <v>592</v>
      </c>
      <c r="BL692" t="s">
        <v>104</v>
      </c>
    </row>
    <row r="693" spans="1:67" x14ac:dyDescent="0.25">
      <c r="A693" t="s">
        <v>4061</v>
      </c>
      <c r="B693" t="s">
        <v>4062</v>
      </c>
      <c r="C693" s="4">
        <f>(AA693*(H693*0.9))*12</f>
        <v>3870180</v>
      </c>
      <c r="D693" s="4">
        <f>IF(C693=0,"",(H693*150*12)+C693)</f>
        <v>4140180</v>
      </c>
      <c r="E693" s="4">
        <f>IFERROR(D693*0.5,"")</f>
        <v>2070090</v>
      </c>
      <c r="F693" s="4">
        <f>IFERROR(E693/0.06,"")</f>
        <v>34501500</v>
      </c>
      <c r="G693" s="4">
        <f>IFERROR(F693/H693,"")</f>
        <v>230010</v>
      </c>
      <c r="H693" s="1">
        <v>150</v>
      </c>
      <c r="I693" s="1">
        <v>1994</v>
      </c>
      <c r="J693" t="s">
        <v>64</v>
      </c>
      <c r="K693" t="s">
        <v>87</v>
      </c>
      <c r="L693" t="s">
        <v>4063</v>
      </c>
      <c r="M693" t="s">
        <v>4064</v>
      </c>
      <c r="N693" t="s">
        <v>4065</v>
      </c>
      <c r="O693" t="s">
        <v>4063</v>
      </c>
      <c r="P693" s="1">
        <v>3</v>
      </c>
      <c r="Q693" t="s">
        <v>91</v>
      </c>
      <c r="R693" t="s">
        <v>70</v>
      </c>
      <c r="S693" t="s">
        <v>71</v>
      </c>
      <c r="U693" t="s">
        <v>72</v>
      </c>
      <c r="V693" t="s">
        <v>73</v>
      </c>
      <c r="W693" t="s">
        <v>74</v>
      </c>
      <c r="X693" t="s">
        <v>92</v>
      </c>
      <c r="Y693" s="2">
        <v>1011</v>
      </c>
      <c r="Z693" s="3">
        <v>2.36</v>
      </c>
      <c r="AA693" s="4">
        <v>2389</v>
      </c>
      <c r="AK693" s="5">
        <v>6</v>
      </c>
      <c r="AN693" s="1">
        <v>4</v>
      </c>
      <c r="AO693" t="s">
        <v>81</v>
      </c>
      <c r="AP693" t="s">
        <v>82</v>
      </c>
      <c r="AQ693" t="s">
        <v>83</v>
      </c>
      <c r="AR693" s="3">
        <v>2.3199999999999998</v>
      </c>
      <c r="AS693" s="4">
        <v>2678</v>
      </c>
      <c r="AT693" s="1">
        <v>1154</v>
      </c>
      <c r="AX693" s="3">
        <v>701109.22</v>
      </c>
      <c r="BB693" t="s">
        <v>84</v>
      </c>
      <c r="BD693" s="3">
        <v>2.4300000000000002</v>
      </c>
      <c r="BE693" s="4">
        <v>2059</v>
      </c>
      <c r="BF693" s="1">
        <v>848</v>
      </c>
      <c r="BG693" s="1">
        <v>70</v>
      </c>
      <c r="BH693" s="1">
        <v>80</v>
      </c>
      <c r="BK693" t="s">
        <v>2607</v>
      </c>
      <c r="BL693" t="s">
        <v>104</v>
      </c>
    </row>
    <row r="694" spans="1:67" x14ac:dyDescent="0.25">
      <c r="A694" t="s">
        <v>3430</v>
      </c>
      <c r="B694" t="s">
        <v>3431</v>
      </c>
      <c r="C694" s="4">
        <f>(AA694*(H694*0.9))*12</f>
        <v>5457726</v>
      </c>
      <c r="D694" s="4">
        <f>IF(C694=0,"",(H694*150*12)+C694)</f>
        <v>5837526</v>
      </c>
      <c r="E694" s="4">
        <f>IFERROR(D694*0.5,"")</f>
        <v>2918763</v>
      </c>
      <c r="F694" s="4">
        <f>IFERROR(E694/0.06,"")</f>
        <v>48646050</v>
      </c>
      <c r="G694" s="4">
        <f>IFERROR(F694/H694,"")</f>
        <v>230550</v>
      </c>
      <c r="H694" s="1">
        <v>211</v>
      </c>
      <c r="I694" s="1">
        <v>1999</v>
      </c>
      <c r="J694" t="s">
        <v>64</v>
      </c>
      <c r="K694" t="s">
        <v>1761</v>
      </c>
      <c r="L694" t="s">
        <v>2231</v>
      </c>
      <c r="M694" t="s">
        <v>3432</v>
      </c>
      <c r="N694" t="s">
        <v>3433</v>
      </c>
      <c r="O694" t="s">
        <v>2231</v>
      </c>
      <c r="P694" s="1">
        <v>4</v>
      </c>
      <c r="Q694" t="s">
        <v>91</v>
      </c>
      <c r="R694" t="s">
        <v>3434</v>
      </c>
      <c r="S694" t="s">
        <v>71</v>
      </c>
      <c r="U694" t="s">
        <v>72</v>
      </c>
      <c r="V694" t="s">
        <v>73</v>
      </c>
      <c r="W694" t="s">
        <v>74</v>
      </c>
      <c r="X694" t="s">
        <v>3435</v>
      </c>
      <c r="Y694" s="2">
        <v>1033</v>
      </c>
      <c r="Z694" s="3">
        <v>2.3199999999999998</v>
      </c>
      <c r="AA694" s="4">
        <v>2395</v>
      </c>
      <c r="AK694" s="5">
        <v>2.8435999999999999</v>
      </c>
      <c r="AN694" s="1">
        <v>5</v>
      </c>
      <c r="AO694" t="s">
        <v>81</v>
      </c>
      <c r="AP694" t="s">
        <v>82</v>
      </c>
      <c r="AQ694" t="s">
        <v>83</v>
      </c>
      <c r="AR694" s="3">
        <v>2.42</v>
      </c>
      <c r="AS694" s="4">
        <v>3860</v>
      </c>
      <c r="AT694" s="1">
        <v>1598</v>
      </c>
      <c r="AX694" s="3">
        <v>1579691.93</v>
      </c>
      <c r="BB694" t="s">
        <v>84</v>
      </c>
      <c r="BD694" s="3">
        <v>2.2999999999999998</v>
      </c>
      <c r="BE694" s="4">
        <v>2207</v>
      </c>
      <c r="BF694" s="1">
        <v>961</v>
      </c>
      <c r="BG694" s="1">
        <v>187</v>
      </c>
      <c r="BH694" s="1">
        <v>24</v>
      </c>
      <c r="BK694" t="s">
        <v>3436</v>
      </c>
      <c r="BL694" t="s">
        <v>131</v>
      </c>
    </row>
    <row r="695" spans="1:67" x14ac:dyDescent="0.25">
      <c r="A695" t="s">
        <v>3537</v>
      </c>
      <c r="B695" t="s">
        <v>3538</v>
      </c>
      <c r="C695" s="4">
        <f>(AA695*(H695*0.9))*12</f>
        <v>5956070.4000000004</v>
      </c>
      <c r="D695" s="4">
        <f>IF(C695=0,"",(H695*150*12)+C695)</f>
        <v>6359270.4000000004</v>
      </c>
      <c r="E695" s="4">
        <f>IFERROR(D695*0.5,"")</f>
        <v>3179635.2</v>
      </c>
      <c r="F695" s="4">
        <f>IFERROR(E695/0.06,"")</f>
        <v>52993920.000000007</v>
      </c>
      <c r="G695" s="4">
        <f>IFERROR(F695/H695,"")</f>
        <v>236580.00000000003</v>
      </c>
      <c r="H695" s="1">
        <v>224</v>
      </c>
      <c r="I695" s="1">
        <v>1991</v>
      </c>
      <c r="J695" t="s">
        <v>64</v>
      </c>
      <c r="K695" t="s">
        <v>140</v>
      </c>
      <c r="L695" t="s">
        <v>3539</v>
      </c>
      <c r="M695" t="s">
        <v>3540</v>
      </c>
      <c r="N695" t="s">
        <v>3541</v>
      </c>
      <c r="O695" t="s">
        <v>3539</v>
      </c>
      <c r="P695" s="1">
        <v>3</v>
      </c>
      <c r="Q695" t="s">
        <v>91</v>
      </c>
      <c r="R695" t="s">
        <v>70</v>
      </c>
      <c r="S695" t="s">
        <v>71</v>
      </c>
      <c r="U695" t="s">
        <v>72</v>
      </c>
      <c r="V695" t="s">
        <v>140</v>
      </c>
      <c r="W695" t="s">
        <v>74</v>
      </c>
      <c r="X695" t="s">
        <v>1351</v>
      </c>
      <c r="Y695" s="2">
        <v>947</v>
      </c>
      <c r="Z695" s="3">
        <v>2.6</v>
      </c>
      <c r="AA695" s="4">
        <v>2462</v>
      </c>
      <c r="AK695" s="5">
        <v>17.410699999999999</v>
      </c>
      <c r="AM695" s="1">
        <v>2015</v>
      </c>
      <c r="AN695" s="1">
        <v>2</v>
      </c>
      <c r="AO695" t="s">
        <v>81</v>
      </c>
      <c r="AP695" t="s">
        <v>82</v>
      </c>
      <c r="AQ695" t="s">
        <v>83</v>
      </c>
      <c r="AR695" s="3">
        <v>2.41</v>
      </c>
      <c r="AS695" s="4">
        <v>3028</v>
      </c>
      <c r="AT695" s="1">
        <v>1258</v>
      </c>
      <c r="AX695" s="3">
        <v>338127.17</v>
      </c>
      <c r="BB695" t="s">
        <v>84</v>
      </c>
      <c r="BD695" s="3">
        <v>2.82</v>
      </c>
      <c r="BE695" s="4">
        <v>2082</v>
      </c>
      <c r="BF695" s="1">
        <v>739</v>
      </c>
      <c r="BG695" s="1">
        <v>134</v>
      </c>
      <c r="BH695" s="1">
        <v>90</v>
      </c>
      <c r="BK695" t="s">
        <v>1130</v>
      </c>
      <c r="BL695" t="s">
        <v>104</v>
      </c>
    </row>
    <row r="696" spans="1:67" x14ac:dyDescent="0.25">
      <c r="A696" t="s">
        <v>3479</v>
      </c>
      <c r="B696" t="s">
        <v>3480</v>
      </c>
      <c r="C696" s="4">
        <f>(AA696*(H696*0.9))*12</f>
        <v>7379845.2000000011</v>
      </c>
      <c r="D696" s="4">
        <f>IF(C696=0,"",(H696*150*12)+C696)</f>
        <v>7871245.2000000011</v>
      </c>
      <c r="E696" s="4">
        <f>IFERROR(D696*0.5,"")</f>
        <v>3935622.6000000006</v>
      </c>
      <c r="F696" s="4">
        <f>IFERROR(E696/0.06,"")</f>
        <v>65593710.000000015</v>
      </c>
      <c r="G696" s="4">
        <f>IFERROR(F696/H696,"")</f>
        <v>240270.00000000006</v>
      </c>
      <c r="H696" s="1">
        <v>273</v>
      </c>
      <c r="I696" s="1">
        <v>1999</v>
      </c>
      <c r="J696" t="s">
        <v>64</v>
      </c>
      <c r="K696" t="s">
        <v>3453</v>
      </c>
      <c r="L696" t="s">
        <v>3481</v>
      </c>
      <c r="M696" t="s">
        <v>3482</v>
      </c>
      <c r="N696" t="s">
        <v>3483</v>
      </c>
      <c r="O696" t="s">
        <v>3481</v>
      </c>
      <c r="P696" s="1">
        <v>4</v>
      </c>
      <c r="Q696" t="s">
        <v>91</v>
      </c>
      <c r="R696" t="s">
        <v>70</v>
      </c>
      <c r="S696" t="s">
        <v>71</v>
      </c>
      <c r="U696" t="s">
        <v>72</v>
      </c>
      <c r="V696" t="s">
        <v>73</v>
      </c>
      <c r="W696" t="s">
        <v>74</v>
      </c>
      <c r="X696" t="s">
        <v>2872</v>
      </c>
      <c r="Y696" s="2">
        <v>1275</v>
      </c>
      <c r="Z696" s="3">
        <v>1.96</v>
      </c>
      <c r="AA696" s="4">
        <v>2503</v>
      </c>
      <c r="AK696" s="5">
        <v>6.2271000000000001</v>
      </c>
      <c r="AN696" s="1">
        <v>16</v>
      </c>
      <c r="AO696" t="s">
        <v>81</v>
      </c>
      <c r="AP696" t="s">
        <v>82</v>
      </c>
      <c r="AQ696" t="s">
        <v>83</v>
      </c>
      <c r="AR696" s="3">
        <v>1.98</v>
      </c>
      <c r="AS696" s="4">
        <v>2971</v>
      </c>
      <c r="AT696" s="1">
        <v>1500</v>
      </c>
      <c r="AU696" s="3">
        <v>2.04</v>
      </c>
      <c r="AV696" s="4">
        <v>3769</v>
      </c>
      <c r="AW696" s="1">
        <v>1848</v>
      </c>
      <c r="AX696" s="3">
        <v>1486294.96</v>
      </c>
      <c r="BB696" t="s">
        <v>84</v>
      </c>
      <c r="BD696" s="3">
        <v>1.89</v>
      </c>
      <c r="BE696" s="4">
        <v>1706</v>
      </c>
      <c r="BF696" s="1">
        <v>904</v>
      </c>
      <c r="BG696" s="1">
        <v>125</v>
      </c>
      <c r="BH696" s="1">
        <v>110</v>
      </c>
      <c r="BI696" s="1">
        <v>38</v>
      </c>
      <c r="BK696" t="s">
        <v>3484</v>
      </c>
      <c r="BL696" t="s">
        <v>104</v>
      </c>
    </row>
    <row r="697" spans="1:67" x14ac:dyDescent="0.25">
      <c r="A697" t="s">
        <v>2647</v>
      </c>
      <c r="B697" t="s">
        <v>2648</v>
      </c>
      <c r="C697" s="4">
        <f>(AA697*(H697*0.9))*12</f>
        <v>2722680</v>
      </c>
      <c r="D697" s="4">
        <f>IF(C697=0,"",(H697*150*12)+C697)</f>
        <v>2902680</v>
      </c>
      <c r="E697" s="4">
        <f>IFERROR(D697*0.5,"")</f>
        <v>1451340</v>
      </c>
      <c r="F697" s="4">
        <f>IFERROR(E697/0.06,"")</f>
        <v>24189000</v>
      </c>
      <c r="G697" s="4">
        <f>IFERROR(F697/H697,"")</f>
        <v>241890</v>
      </c>
      <c r="H697" s="1">
        <v>100</v>
      </c>
      <c r="I697" s="1">
        <v>1996</v>
      </c>
      <c r="J697" t="s">
        <v>64</v>
      </c>
      <c r="K697" t="s">
        <v>756</v>
      </c>
      <c r="L697" t="s">
        <v>2649</v>
      </c>
      <c r="M697" t="s">
        <v>2650</v>
      </c>
      <c r="N697" t="s">
        <v>2651</v>
      </c>
      <c r="O697" t="s">
        <v>2649</v>
      </c>
      <c r="P697" s="1">
        <v>3</v>
      </c>
      <c r="Q697" t="s">
        <v>91</v>
      </c>
      <c r="R697" t="s">
        <v>70</v>
      </c>
      <c r="S697" t="s">
        <v>71</v>
      </c>
      <c r="U697" t="s">
        <v>72</v>
      </c>
      <c r="V697" t="s">
        <v>73</v>
      </c>
      <c r="W697" t="s">
        <v>74</v>
      </c>
      <c r="X697" t="s">
        <v>2652</v>
      </c>
      <c r="Y697" s="2">
        <v>1279</v>
      </c>
      <c r="Z697" s="3">
        <v>1.97</v>
      </c>
      <c r="AA697" s="4">
        <v>2521</v>
      </c>
      <c r="AK697" s="5">
        <v>2</v>
      </c>
      <c r="AN697" s="1">
        <v>2</v>
      </c>
      <c r="AO697" t="s">
        <v>81</v>
      </c>
      <c r="AP697" t="s">
        <v>82</v>
      </c>
      <c r="AQ697" t="s">
        <v>83</v>
      </c>
      <c r="AR697" s="3">
        <v>1.87</v>
      </c>
      <c r="AS697" s="4">
        <v>2933</v>
      </c>
      <c r="AT697" s="1">
        <v>1570</v>
      </c>
      <c r="AX697" s="3">
        <v>598988.04</v>
      </c>
      <c r="BB697" t="s">
        <v>84</v>
      </c>
      <c r="BD697" s="3">
        <v>2.1</v>
      </c>
      <c r="BE697" s="4">
        <v>2170</v>
      </c>
      <c r="BF697" s="1">
        <v>1032</v>
      </c>
      <c r="BG697" s="1">
        <v>54</v>
      </c>
      <c r="BH697" s="1">
        <v>46</v>
      </c>
    </row>
    <row r="698" spans="1:67" x14ac:dyDescent="0.25">
      <c r="A698" t="s">
        <v>2514</v>
      </c>
      <c r="B698" t="s">
        <v>2515</v>
      </c>
      <c r="C698" s="4">
        <f>(AA698*(H698*0.9))*12</f>
        <v>6589728</v>
      </c>
      <c r="D698" s="4">
        <f>IF(C698=0,"",(H698*150*12)+C698)</f>
        <v>7007328</v>
      </c>
      <c r="E698" s="4">
        <f>IFERROR(D698*0.5,"")</f>
        <v>3503664</v>
      </c>
      <c r="F698" s="4">
        <f>IFERROR(E698/0.06,"")</f>
        <v>58394400</v>
      </c>
      <c r="G698" s="4">
        <f>IFERROR(F698/H698,"")</f>
        <v>251700</v>
      </c>
      <c r="H698" s="1">
        <v>232</v>
      </c>
      <c r="I698" s="1">
        <v>1995</v>
      </c>
      <c r="J698" t="s">
        <v>64</v>
      </c>
      <c r="K698" t="s">
        <v>87</v>
      </c>
      <c r="L698" t="s">
        <v>2511</v>
      </c>
      <c r="M698" t="s">
        <v>2516</v>
      </c>
      <c r="N698" t="s">
        <v>2517</v>
      </c>
      <c r="O698" t="s">
        <v>2511</v>
      </c>
      <c r="P698" s="1">
        <v>3</v>
      </c>
      <c r="Q698" t="s">
        <v>91</v>
      </c>
      <c r="R698" t="s">
        <v>70</v>
      </c>
      <c r="S698" t="s">
        <v>71</v>
      </c>
      <c r="U698" t="s">
        <v>72</v>
      </c>
      <c r="V698" t="s">
        <v>73</v>
      </c>
      <c r="W698" t="s">
        <v>74</v>
      </c>
      <c r="X698" t="s">
        <v>92</v>
      </c>
      <c r="Y698" s="2">
        <v>1053</v>
      </c>
      <c r="Z698" s="3">
        <v>2.5</v>
      </c>
      <c r="AA698" s="4">
        <v>2630</v>
      </c>
      <c r="AK698" s="5">
        <v>4.3102999999999998</v>
      </c>
      <c r="AL698" s="1">
        <v>1</v>
      </c>
      <c r="AN698" s="1">
        <v>4</v>
      </c>
      <c r="AO698" t="s">
        <v>81</v>
      </c>
      <c r="AP698" t="s">
        <v>82</v>
      </c>
      <c r="AQ698" t="s">
        <v>83</v>
      </c>
      <c r="AR698" s="3">
        <v>2.4</v>
      </c>
      <c r="AS698" s="4">
        <v>2920</v>
      </c>
      <c r="AT698" s="1">
        <v>1214</v>
      </c>
      <c r="AU698" s="3">
        <v>2.38</v>
      </c>
      <c r="AV698" s="4">
        <v>3406</v>
      </c>
      <c r="AW698" s="1">
        <v>1433</v>
      </c>
      <c r="AX698" s="3">
        <v>1390818.3</v>
      </c>
      <c r="BB698" t="s">
        <v>84</v>
      </c>
      <c r="BD698" s="3">
        <v>2.65</v>
      </c>
      <c r="BE698" s="4">
        <v>2242</v>
      </c>
      <c r="BF698" s="1">
        <v>845</v>
      </c>
      <c r="BG698" s="1">
        <v>112</v>
      </c>
      <c r="BH698" s="1">
        <v>102</v>
      </c>
      <c r="BI698" s="1">
        <v>18</v>
      </c>
      <c r="BL698" t="s">
        <v>131</v>
      </c>
    </row>
    <row r="699" spans="1:67" x14ac:dyDescent="0.25">
      <c r="A699" t="s">
        <v>3571</v>
      </c>
      <c r="B699" t="s">
        <v>3572</v>
      </c>
      <c r="C699" s="4">
        <f>(AA699*(H699*0.9))*12</f>
        <v>3431808</v>
      </c>
      <c r="D699" s="4">
        <f>IF(C699=0,"",(H699*150*12)+C699)</f>
        <v>3647808</v>
      </c>
      <c r="E699" s="4">
        <f>IFERROR(D699*0.5,"")</f>
        <v>1823904</v>
      </c>
      <c r="F699" s="4">
        <f>IFERROR(E699/0.06,"")</f>
        <v>30398400</v>
      </c>
      <c r="G699" s="4">
        <f>IFERROR(F699/H699,"")</f>
        <v>253320</v>
      </c>
      <c r="H699" s="1">
        <v>120</v>
      </c>
      <c r="I699" s="1">
        <v>2000</v>
      </c>
      <c r="J699" t="s">
        <v>64</v>
      </c>
      <c r="K699" t="s">
        <v>3573</v>
      </c>
      <c r="L699" t="s">
        <v>3574</v>
      </c>
      <c r="M699" t="s">
        <v>3575</v>
      </c>
      <c r="N699" t="s">
        <v>3576</v>
      </c>
      <c r="O699" t="s">
        <v>3574</v>
      </c>
      <c r="P699" s="1">
        <v>3</v>
      </c>
      <c r="Q699" t="s">
        <v>91</v>
      </c>
      <c r="R699" t="s">
        <v>70</v>
      </c>
      <c r="S699" t="s">
        <v>71</v>
      </c>
      <c r="U699" t="s">
        <v>72</v>
      </c>
      <c r="V699" t="s">
        <v>3577</v>
      </c>
      <c r="W699" t="s">
        <v>74</v>
      </c>
      <c r="X699" t="s">
        <v>1934</v>
      </c>
      <c r="Y699" s="2">
        <v>566</v>
      </c>
      <c r="Z699" s="3">
        <v>4.67</v>
      </c>
      <c r="AA699" s="4">
        <v>2648</v>
      </c>
      <c r="AK699" s="5">
        <v>15</v>
      </c>
      <c r="AN699" s="1">
        <v>2</v>
      </c>
      <c r="AO699" t="s">
        <v>81</v>
      </c>
      <c r="AP699" t="s">
        <v>82</v>
      </c>
      <c r="AQ699" t="s">
        <v>83</v>
      </c>
      <c r="AR699" s="3">
        <v>3.75</v>
      </c>
      <c r="AS699" s="4">
        <v>3516</v>
      </c>
      <c r="AT699" s="1">
        <v>938</v>
      </c>
      <c r="AX699" s="3">
        <v>296419.75</v>
      </c>
      <c r="AY699" s="3">
        <v>5.42</v>
      </c>
      <c r="AZ699" s="4">
        <v>2092</v>
      </c>
      <c r="BA699" s="6">
        <v>386</v>
      </c>
      <c r="BB699" t="s">
        <v>84</v>
      </c>
      <c r="BD699" s="3">
        <v>5.25</v>
      </c>
      <c r="BE699" s="4">
        <v>2624</v>
      </c>
      <c r="BF699" s="1">
        <v>500</v>
      </c>
      <c r="BG699" s="1">
        <v>45</v>
      </c>
      <c r="BH699" s="1">
        <v>30</v>
      </c>
    </row>
    <row r="700" spans="1:67" x14ac:dyDescent="0.25">
      <c r="A700" t="s">
        <v>3071</v>
      </c>
      <c r="B700" t="s">
        <v>3072</v>
      </c>
      <c r="C700" s="4">
        <f>(AA700*(H700*0.9))*12</f>
        <v>9630511.2000000011</v>
      </c>
      <c r="D700" s="4">
        <f>IF(C700=0,"",(H700*150*12)+C700)</f>
        <v>10226311.200000001</v>
      </c>
      <c r="E700" s="4">
        <f>IFERROR(D700*0.5,"")</f>
        <v>5113155.6000000006</v>
      </c>
      <c r="F700" s="4">
        <f>IFERROR(E700/0.06,"")</f>
        <v>85219260.000000015</v>
      </c>
      <c r="G700" s="4">
        <f>IFERROR(F700/H700,"")</f>
        <v>257460.00000000006</v>
      </c>
      <c r="H700" s="1">
        <v>331</v>
      </c>
      <c r="I700" s="1">
        <v>1998</v>
      </c>
      <c r="J700" t="s">
        <v>64</v>
      </c>
      <c r="K700" t="s">
        <v>87</v>
      </c>
      <c r="L700" t="s">
        <v>697</v>
      </c>
      <c r="M700" t="s">
        <v>3073</v>
      </c>
      <c r="N700" t="s">
        <v>3074</v>
      </c>
      <c r="O700" t="s">
        <v>697</v>
      </c>
      <c r="P700" s="1">
        <v>4</v>
      </c>
      <c r="Q700" t="s">
        <v>729</v>
      </c>
      <c r="R700" t="s">
        <v>70</v>
      </c>
      <c r="S700" t="s">
        <v>71</v>
      </c>
      <c r="U700" t="s">
        <v>72</v>
      </c>
      <c r="V700" t="s">
        <v>73</v>
      </c>
      <c r="W700" t="s">
        <v>74</v>
      </c>
      <c r="X700" t="s">
        <v>2424</v>
      </c>
      <c r="Y700" s="2">
        <v>1183</v>
      </c>
      <c r="Z700" s="3">
        <v>2.2799999999999998</v>
      </c>
      <c r="AA700" s="4">
        <v>2694</v>
      </c>
      <c r="AK700" s="5">
        <v>6.6464999999999996</v>
      </c>
      <c r="AN700" s="1">
        <v>14</v>
      </c>
      <c r="AO700" t="s">
        <v>81</v>
      </c>
      <c r="AP700" t="s">
        <v>82</v>
      </c>
      <c r="AQ700" t="s">
        <v>83</v>
      </c>
      <c r="AR700" s="3">
        <v>2.17</v>
      </c>
      <c r="AS700" s="4">
        <v>2962</v>
      </c>
      <c r="AT700" s="1">
        <v>1367</v>
      </c>
      <c r="AU700" s="3">
        <v>2.5299999999999998</v>
      </c>
      <c r="AV700" s="4">
        <v>3582</v>
      </c>
      <c r="AW700" s="1">
        <v>1417</v>
      </c>
      <c r="AX700" s="3">
        <v>2100928.2000000002</v>
      </c>
      <c r="BB700" t="s">
        <v>84</v>
      </c>
      <c r="BD700" s="3">
        <v>2.39</v>
      </c>
      <c r="BE700" s="4">
        <v>2056</v>
      </c>
      <c r="BF700" s="1">
        <v>860</v>
      </c>
      <c r="BG700" s="1">
        <v>123</v>
      </c>
      <c r="BH700" s="1">
        <v>171</v>
      </c>
      <c r="BI700" s="1">
        <v>37</v>
      </c>
    </row>
    <row r="701" spans="1:67" x14ac:dyDescent="0.25">
      <c r="A701" t="s">
        <v>3629</v>
      </c>
      <c r="B701" t="s">
        <v>3630</v>
      </c>
      <c r="C701" s="4">
        <f>(AA701*(H701*0.9))*12</f>
        <v>6278688</v>
      </c>
      <c r="D701" s="4">
        <f>IF(C701=0,"",(H701*150*12)+C701)</f>
        <v>6665688</v>
      </c>
      <c r="E701" s="4">
        <f>IFERROR(D701*0.5,"")</f>
        <v>3332844</v>
      </c>
      <c r="F701" s="4">
        <f>IFERROR(E701/0.06,"")</f>
        <v>55547400</v>
      </c>
      <c r="G701" s="4">
        <f>IFERROR(F701/H701,"")</f>
        <v>258360</v>
      </c>
      <c r="H701" s="1">
        <v>215</v>
      </c>
      <c r="I701" s="1">
        <v>2000</v>
      </c>
      <c r="J701" t="s">
        <v>64</v>
      </c>
      <c r="K701" t="s">
        <v>477</v>
      </c>
      <c r="L701" t="s">
        <v>3221</v>
      </c>
      <c r="M701" t="s">
        <v>3631</v>
      </c>
      <c r="N701" t="s">
        <v>3632</v>
      </c>
      <c r="O701" t="s">
        <v>3221</v>
      </c>
      <c r="P701" s="1">
        <v>4</v>
      </c>
      <c r="Q701" t="s">
        <v>91</v>
      </c>
      <c r="R701" t="s">
        <v>70</v>
      </c>
      <c r="S701" t="s">
        <v>71</v>
      </c>
      <c r="U701" t="s">
        <v>72</v>
      </c>
      <c r="V701" t="s">
        <v>110</v>
      </c>
      <c r="W701" t="s">
        <v>74</v>
      </c>
      <c r="X701" t="s">
        <v>3633</v>
      </c>
      <c r="Y701" s="2">
        <v>714</v>
      </c>
      <c r="Z701" s="3">
        <v>3.79</v>
      </c>
      <c r="AA701" s="4">
        <v>2704</v>
      </c>
      <c r="AK701" s="5">
        <v>13.9535</v>
      </c>
      <c r="AN701" s="1">
        <v>3</v>
      </c>
      <c r="AO701" t="s">
        <v>81</v>
      </c>
      <c r="AP701" t="s">
        <v>82</v>
      </c>
      <c r="AQ701" t="s">
        <v>83</v>
      </c>
      <c r="AR701" s="3">
        <v>3.08</v>
      </c>
      <c r="AS701" s="4">
        <v>2901</v>
      </c>
      <c r="AT701" s="1">
        <v>943</v>
      </c>
      <c r="AX701" s="3">
        <v>415260.2</v>
      </c>
      <c r="AY701" s="3">
        <v>5.01</v>
      </c>
      <c r="AZ701" s="4">
        <v>2231</v>
      </c>
      <c r="BA701" s="6">
        <v>445</v>
      </c>
      <c r="BB701" t="s">
        <v>84</v>
      </c>
      <c r="BD701" s="3">
        <v>4.37</v>
      </c>
      <c r="BE701" s="4">
        <v>2677</v>
      </c>
      <c r="BF701" s="1">
        <v>613</v>
      </c>
      <c r="BG701" s="1">
        <v>108</v>
      </c>
      <c r="BH701" s="1">
        <v>80</v>
      </c>
    </row>
    <row r="702" spans="1:67" x14ac:dyDescent="0.25">
      <c r="A702" t="s">
        <v>4208</v>
      </c>
      <c r="B702" t="s">
        <v>4209</v>
      </c>
      <c r="C702" s="4">
        <f>(AA702*(H702*0.9))*12</f>
        <v>3464791.1999999997</v>
      </c>
      <c r="D702" s="4">
        <f>IF(C702=0,"",(H702*150*12)+C702)</f>
        <v>3675391.1999999997</v>
      </c>
      <c r="E702" s="4">
        <f>IFERROR(D702*0.5,"")</f>
        <v>1837695.5999999999</v>
      </c>
      <c r="F702" s="4">
        <f>IFERROR(E702/0.06,"")</f>
        <v>30628260</v>
      </c>
      <c r="G702" s="4">
        <f>IFERROR(F702/H702,"")</f>
        <v>261780</v>
      </c>
      <c r="H702" s="1">
        <v>117</v>
      </c>
      <c r="I702" s="1">
        <v>1999</v>
      </c>
      <c r="J702" t="s">
        <v>64</v>
      </c>
      <c r="K702" t="s">
        <v>1498</v>
      </c>
      <c r="L702" t="s">
        <v>1493</v>
      </c>
      <c r="M702" t="s">
        <v>4210</v>
      </c>
      <c r="N702" t="s">
        <v>4211</v>
      </c>
      <c r="O702" t="s">
        <v>1493</v>
      </c>
      <c r="P702" s="1">
        <v>3</v>
      </c>
      <c r="Q702" t="s">
        <v>91</v>
      </c>
      <c r="R702" t="s">
        <v>70</v>
      </c>
      <c r="S702" t="s">
        <v>71</v>
      </c>
      <c r="U702" t="s">
        <v>72</v>
      </c>
      <c r="V702" t="s">
        <v>73</v>
      </c>
      <c r="W702" t="s">
        <v>74</v>
      </c>
      <c r="X702" t="s">
        <v>997</v>
      </c>
      <c r="Y702" s="2">
        <v>708</v>
      </c>
      <c r="Z702" s="3">
        <v>3.87</v>
      </c>
      <c r="AA702" s="4">
        <v>2742</v>
      </c>
      <c r="AK702" s="5">
        <v>2.5640999999999998</v>
      </c>
      <c r="AN702" s="1">
        <v>3</v>
      </c>
      <c r="AO702" t="s">
        <v>81</v>
      </c>
      <c r="AP702" t="s">
        <v>82</v>
      </c>
      <c r="AQ702" t="s">
        <v>83</v>
      </c>
      <c r="AR702" s="3">
        <v>3.48</v>
      </c>
      <c r="AS702" s="4">
        <v>3327</v>
      </c>
      <c r="AT702" s="1">
        <v>956</v>
      </c>
      <c r="AY702" s="3">
        <v>6.1</v>
      </c>
      <c r="AZ702" s="4">
        <v>2244</v>
      </c>
      <c r="BA702" s="6">
        <v>368</v>
      </c>
      <c r="BB702" t="s">
        <v>84</v>
      </c>
      <c r="BD702" s="3">
        <v>3.27</v>
      </c>
      <c r="BE702" s="4">
        <v>2647</v>
      </c>
      <c r="BF702" s="1">
        <v>810</v>
      </c>
      <c r="BG702" s="1">
        <v>37</v>
      </c>
      <c r="BH702" s="1">
        <v>40</v>
      </c>
    </row>
    <row r="703" spans="1:67" x14ac:dyDescent="0.25">
      <c r="A703" t="s">
        <v>2753</v>
      </c>
      <c r="B703" t="s">
        <v>2754</v>
      </c>
      <c r="C703" s="4">
        <f>(AA703*(H703*0.9))*12</f>
        <v>3549722.4000000004</v>
      </c>
      <c r="D703" s="4">
        <f>IF(C703=0,"",(H703*150*12)+C703)</f>
        <v>3763922.4000000004</v>
      </c>
      <c r="E703" s="4">
        <f>IFERROR(D703*0.5,"")</f>
        <v>1881961.2000000002</v>
      </c>
      <c r="F703" s="4">
        <f>IFERROR(E703/0.06,"")</f>
        <v>31366020.000000004</v>
      </c>
      <c r="G703" s="4">
        <f>IFERROR(F703/H703,"")</f>
        <v>263580.00000000006</v>
      </c>
      <c r="H703" s="1">
        <v>119</v>
      </c>
      <c r="I703" s="1">
        <v>1996</v>
      </c>
      <c r="J703" t="s">
        <v>64</v>
      </c>
      <c r="K703" t="s">
        <v>293</v>
      </c>
      <c r="L703" t="s">
        <v>1493</v>
      </c>
      <c r="M703" t="s">
        <v>2755</v>
      </c>
      <c r="N703" t="s">
        <v>2756</v>
      </c>
      <c r="O703" t="s">
        <v>1493</v>
      </c>
      <c r="P703" s="1">
        <v>2</v>
      </c>
      <c r="Q703" t="s">
        <v>69</v>
      </c>
      <c r="R703" t="s">
        <v>70</v>
      </c>
      <c r="S703" t="s">
        <v>71</v>
      </c>
      <c r="U703" t="s">
        <v>72</v>
      </c>
      <c r="V703" t="s">
        <v>73</v>
      </c>
      <c r="W703" t="s">
        <v>74</v>
      </c>
      <c r="X703" t="s">
        <v>2757</v>
      </c>
      <c r="Y703" s="2">
        <v>591</v>
      </c>
      <c r="Z703" s="3">
        <v>4.67</v>
      </c>
      <c r="AA703" s="4">
        <v>2762</v>
      </c>
      <c r="AK703" s="5">
        <v>10.9244</v>
      </c>
      <c r="AN703" s="1">
        <v>3</v>
      </c>
      <c r="AO703" t="s">
        <v>81</v>
      </c>
      <c r="AP703" t="s">
        <v>82</v>
      </c>
      <c r="AQ703" t="s">
        <v>83</v>
      </c>
      <c r="AR703" s="3">
        <v>3.24</v>
      </c>
      <c r="AS703" s="4">
        <v>3299</v>
      </c>
      <c r="AT703" s="1">
        <v>1018</v>
      </c>
      <c r="AX703" s="3">
        <v>187742.52</v>
      </c>
      <c r="AY703" s="3">
        <v>5.53</v>
      </c>
      <c r="AZ703" s="4">
        <v>2400</v>
      </c>
      <c r="BA703" s="6">
        <v>434</v>
      </c>
      <c r="BB703" t="s">
        <v>84</v>
      </c>
      <c r="BD703" s="3">
        <v>4.67</v>
      </c>
      <c r="BE703" s="4">
        <v>2999</v>
      </c>
      <c r="BF703" s="1">
        <v>642</v>
      </c>
      <c r="BG703" s="1">
        <v>51</v>
      </c>
      <c r="BH703" s="1">
        <v>14</v>
      </c>
    </row>
    <row r="704" spans="1:67" x14ac:dyDescent="0.25">
      <c r="A704" t="s">
        <v>2100</v>
      </c>
      <c r="B704" t="s">
        <v>2101</v>
      </c>
      <c r="C704" s="4">
        <f>(AA704*(H704*0.9))*12</f>
        <v>8750808</v>
      </c>
      <c r="D704" s="4">
        <f>IF(C704=0,"",(H704*150*12)+C704)</f>
        <v>9272808</v>
      </c>
      <c r="E704" s="4">
        <f>IFERROR(D704*0.5,"")</f>
        <v>4636404</v>
      </c>
      <c r="F704" s="4">
        <f>IFERROR(E704/0.06,"")</f>
        <v>77273400</v>
      </c>
      <c r="G704" s="4">
        <f>IFERROR(F704/H704,"")</f>
        <v>266460</v>
      </c>
      <c r="H704" s="1">
        <v>290</v>
      </c>
      <c r="I704" s="1">
        <v>1999</v>
      </c>
      <c r="J704" t="s">
        <v>64</v>
      </c>
      <c r="K704" t="s">
        <v>87</v>
      </c>
      <c r="L704" t="s">
        <v>2102</v>
      </c>
      <c r="M704" t="s">
        <v>2103</v>
      </c>
      <c r="O704" t="s">
        <v>2102</v>
      </c>
      <c r="P704" s="1">
        <v>4</v>
      </c>
      <c r="Q704" t="s">
        <v>729</v>
      </c>
      <c r="R704" t="s">
        <v>70</v>
      </c>
      <c r="S704" t="s">
        <v>71</v>
      </c>
      <c r="U704" t="s">
        <v>72</v>
      </c>
      <c r="V704" t="s">
        <v>73</v>
      </c>
      <c r="W704" t="s">
        <v>74</v>
      </c>
      <c r="X704" t="s">
        <v>92</v>
      </c>
      <c r="Y704" s="2">
        <v>1143</v>
      </c>
      <c r="Z704" s="3">
        <v>2.44</v>
      </c>
      <c r="AA704" s="4">
        <v>2794</v>
      </c>
      <c r="AK704" s="5">
        <v>6.8966000000000003</v>
      </c>
      <c r="AN704" s="1">
        <v>7</v>
      </c>
      <c r="AO704" t="s">
        <v>81</v>
      </c>
      <c r="AP704" t="s">
        <v>82</v>
      </c>
      <c r="AQ704" t="s">
        <v>83</v>
      </c>
      <c r="AR704" s="3">
        <v>2.41</v>
      </c>
      <c r="AS704" s="4">
        <v>3262</v>
      </c>
      <c r="AT704" s="1">
        <v>1352</v>
      </c>
      <c r="AU704" s="3">
        <v>1.97</v>
      </c>
      <c r="AV704" s="4">
        <v>5036</v>
      </c>
      <c r="AW704" s="1">
        <v>2560</v>
      </c>
      <c r="AX704" s="3">
        <v>1915225.2</v>
      </c>
      <c r="BB704" t="s">
        <v>84</v>
      </c>
      <c r="BD704" s="3">
        <v>2.58</v>
      </c>
      <c r="BE704" s="4">
        <v>2247</v>
      </c>
      <c r="BF704" s="1">
        <v>870</v>
      </c>
      <c r="BG704" s="1">
        <v>166</v>
      </c>
      <c r="BH704" s="1">
        <v>108</v>
      </c>
      <c r="BI704" s="1">
        <v>12</v>
      </c>
      <c r="BJ704" s="1">
        <v>4</v>
      </c>
      <c r="BL704" t="s">
        <v>94</v>
      </c>
      <c r="BM704" s="3">
        <v>2.39</v>
      </c>
      <c r="BN704" s="4">
        <v>6164</v>
      </c>
      <c r="BO704" s="1">
        <v>2582</v>
      </c>
    </row>
    <row r="705" spans="1:67" x14ac:dyDescent="0.25">
      <c r="A705" t="s">
        <v>2121</v>
      </c>
      <c r="B705" t="s">
        <v>2122</v>
      </c>
      <c r="C705" s="4">
        <f>(AA705*(H705*0.9))*12</f>
        <v>3212352</v>
      </c>
      <c r="D705" s="4">
        <f>IF(C705=0,"",(H705*150*12)+C705)</f>
        <v>3399552</v>
      </c>
      <c r="E705" s="4">
        <f>IFERROR(D705*0.5,"")</f>
        <v>1699776</v>
      </c>
      <c r="F705" s="4">
        <f>IFERROR(E705/0.06,"")</f>
        <v>28329600</v>
      </c>
      <c r="G705" s="4">
        <f>IFERROR(F705/H705,"")</f>
        <v>272400</v>
      </c>
      <c r="H705" s="1">
        <v>104</v>
      </c>
      <c r="I705" s="1">
        <v>1996</v>
      </c>
      <c r="J705" t="s">
        <v>64</v>
      </c>
      <c r="K705" t="s">
        <v>134</v>
      </c>
      <c r="L705" t="s">
        <v>1493</v>
      </c>
      <c r="M705" t="s">
        <v>2123</v>
      </c>
      <c r="N705" t="s">
        <v>2124</v>
      </c>
      <c r="O705" t="s">
        <v>1493</v>
      </c>
      <c r="P705" s="1">
        <v>3</v>
      </c>
      <c r="Q705" t="s">
        <v>91</v>
      </c>
      <c r="R705" t="s">
        <v>70</v>
      </c>
      <c r="S705" t="s">
        <v>71</v>
      </c>
      <c r="U705" t="s">
        <v>72</v>
      </c>
      <c r="V705" t="s">
        <v>134</v>
      </c>
      <c r="W705" t="s">
        <v>74</v>
      </c>
      <c r="X705" t="s">
        <v>2125</v>
      </c>
      <c r="Y705" s="2">
        <v>695</v>
      </c>
      <c r="Z705" s="3">
        <v>4.1100000000000003</v>
      </c>
      <c r="AA705" s="4">
        <v>2860</v>
      </c>
      <c r="AK705" s="5">
        <v>16.3462</v>
      </c>
      <c r="AN705" s="1">
        <v>2</v>
      </c>
      <c r="AO705" t="s">
        <v>81</v>
      </c>
      <c r="AP705" t="s">
        <v>82</v>
      </c>
      <c r="AQ705" t="s">
        <v>83</v>
      </c>
      <c r="AR705" s="3">
        <v>3.61</v>
      </c>
      <c r="AS705" s="4">
        <v>3930</v>
      </c>
      <c r="AT705" s="1">
        <v>1089</v>
      </c>
      <c r="AX705" s="3">
        <v>152633.25</v>
      </c>
      <c r="AY705" s="3">
        <v>4.5</v>
      </c>
      <c r="AZ705" s="4">
        <v>2419</v>
      </c>
      <c r="BA705" s="6">
        <v>537</v>
      </c>
      <c r="BB705" t="s">
        <v>84</v>
      </c>
      <c r="BD705" s="3">
        <v>4.01</v>
      </c>
      <c r="BE705" s="4">
        <v>3023</v>
      </c>
      <c r="BF705" s="1">
        <v>753</v>
      </c>
      <c r="BG705" s="1">
        <v>56</v>
      </c>
      <c r="BH705" s="1">
        <v>8</v>
      </c>
    </row>
    <row r="706" spans="1:67" x14ac:dyDescent="0.25">
      <c r="A706" t="s">
        <v>2433</v>
      </c>
      <c r="B706" t="s">
        <v>2434</v>
      </c>
      <c r="C706" s="4">
        <f>(AA706*(H706*0.9))*12</f>
        <v>10604412</v>
      </c>
      <c r="D706" s="4">
        <f>IF(C706=0,"",(H706*150*12)+C706)</f>
        <v>11212812</v>
      </c>
      <c r="E706" s="4">
        <f>IFERROR(D706*0.5,"")</f>
        <v>5606406</v>
      </c>
      <c r="F706" s="4">
        <f>IFERROR(E706/0.06,"")</f>
        <v>93440100</v>
      </c>
      <c r="G706" s="4">
        <f>IFERROR(F706/H706,"")</f>
        <v>276450</v>
      </c>
      <c r="H706" s="1">
        <v>338</v>
      </c>
      <c r="I706" s="1">
        <v>1997</v>
      </c>
      <c r="J706" t="s">
        <v>64</v>
      </c>
      <c r="K706" t="s">
        <v>275</v>
      </c>
      <c r="L706" t="s">
        <v>2435</v>
      </c>
      <c r="M706" t="s">
        <v>2436</v>
      </c>
      <c r="N706" t="s">
        <v>2437</v>
      </c>
      <c r="O706" t="s">
        <v>2435</v>
      </c>
      <c r="P706" s="1">
        <v>4</v>
      </c>
      <c r="Q706" t="s">
        <v>729</v>
      </c>
      <c r="R706" t="s">
        <v>70</v>
      </c>
      <c r="S706" t="s">
        <v>71</v>
      </c>
      <c r="U706" t="s">
        <v>72</v>
      </c>
      <c r="V706" t="s">
        <v>73</v>
      </c>
      <c r="W706" t="s">
        <v>74</v>
      </c>
      <c r="X706" t="s">
        <v>2438</v>
      </c>
      <c r="Y706" s="2">
        <v>1169</v>
      </c>
      <c r="Z706" s="3">
        <v>2.48</v>
      </c>
      <c r="AA706" s="4">
        <v>2905</v>
      </c>
      <c r="AK706" s="5">
        <v>6.8047000000000004</v>
      </c>
      <c r="AM706" s="1">
        <v>2012</v>
      </c>
      <c r="AN706" s="1">
        <v>3</v>
      </c>
      <c r="AO706" t="s">
        <v>81</v>
      </c>
      <c r="AP706" t="s">
        <v>82</v>
      </c>
      <c r="AQ706" t="s">
        <v>83</v>
      </c>
      <c r="AR706" s="3">
        <v>2.34</v>
      </c>
      <c r="AS706" s="4">
        <v>3399</v>
      </c>
      <c r="AT706" s="1">
        <v>1455</v>
      </c>
      <c r="AX706" s="3">
        <v>2547934.2000000002</v>
      </c>
      <c r="BB706" t="s">
        <v>84</v>
      </c>
      <c r="BD706" s="3">
        <v>2.66</v>
      </c>
      <c r="BE706" s="4">
        <v>2494</v>
      </c>
      <c r="BF706" s="1">
        <v>937</v>
      </c>
      <c r="BG706" s="1">
        <v>186</v>
      </c>
      <c r="BH706" s="1">
        <v>152</v>
      </c>
      <c r="BL706" t="s">
        <v>744</v>
      </c>
    </row>
    <row r="707" spans="1:67" x14ac:dyDescent="0.25">
      <c r="A707" t="s">
        <v>2724</v>
      </c>
      <c r="B707" t="s">
        <v>2725</v>
      </c>
      <c r="C707" s="4">
        <f>(AA707*(H707*0.9))*12</f>
        <v>5325350.4000000004</v>
      </c>
      <c r="D707" s="4">
        <f>IF(C707=0,"",(H707*150*12)+C707)</f>
        <v>5598950.4000000004</v>
      </c>
      <c r="E707" s="4">
        <f>IFERROR(D707*0.5,"")</f>
        <v>2799475.2</v>
      </c>
      <c r="F707" s="4">
        <f>IFERROR(E707/0.06,"")</f>
        <v>46657920.000000007</v>
      </c>
      <c r="G707" s="4">
        <f>IFERROR(F707/H707,"")</f>
        <v>306960.00000000006</v>
      </c>
      <c r="H707" s="1">
        <v>152</v>
      </c>
      <c r="I707" s="1">
        <v>1999</v>
      </c>
      <c r="J707" t="s">
        <v>64</v>
      </c>
      <c r="K707" t="s">
        <v>2726</v>
      </c>
      <c r="L707" t="s">
        <v>2727</v>
      </c>
      <c r="M707" t="s">
        <v>2728</v>
      </c>
      <c r="N707" t="s">
        <v>2729</v>
      </c>
      <c r="O707" t="s">
        <v>2727</v>
      </c>
      <c r="P707" s="1">
        <v>4</v>
      </c>
      <c r="Q707" t="s">
        <v>91</v>
      </c>
      <c r="R707" t="s">
        <v>70</v>
      </c>
      <c r="S707" t="s">
        <v>71</v>
      </c>
      <c r="U707" t="s">
        <v>72</v>
      </c>
      <c r="V707" t="s">
        <v>73</v>
      </c>
      <c r="W707" t="s">
        <v>74</v>
      </c>
      <c r="X707" t="s">
        <v>1568</v>
      </c>
      <c r="Y707" s="2">
        <v>1302</v>
      </c>
      <c r="Z707" s="3">
        <v>2.4900000000000002</v>
      </c>
      <c r="AA707" s="4">
        <v>3244</v>
      </c>
      <c r="AK707" s="5">
        <v>3.2894999999999999</v>
      </c>
      <c r="AN707" s="1">
        <v>8</v>
      </c>
      <c r="AO707" t="s">
        <v>81</v>
      </c>
      <c r="AP707" t="s">
        <v>82</v>
      </c>
      <c r="AQ707" t="s">
        <v>83</v>
      </c>
      <c r="AR707" s="3">
        <v>2.4300000000000002</v>
      </c>
      <c r="AS707" s="4">
        <v>3542</v>
      </c>
      <c r="AT707" s="1">
        <v>1459</v>
      </c>
      <c r="AU707" s="3">
        <v>2.14</v>
      </c>
      <c r="AV707" s="4">
        <v>5688</v>
      </c>
      <c r="AW707" s="1">
        <v>2661</v>
      </c>
      <c r="AX707" s="3">
        <v>11301.14</v>
      </c>
      <c r="BB707" t="s">
        <v>84</v>
      </c>
      <c r="BD707" s="3">
        <v>2.74</v>
      </c>
      <c r="BE707" s="4">
        <v>2531</v>
      </c>
      <c r="BF707" s="1">
        <v>924</v>
      </c>
      <c r="BG707" s="1">
        <v>49</v>
      </c>
      <c r="BH707" s="1">
        <v>101</v>
      </c>
      <c r="BI707" s="1">
        <v>2</v>
      </c>
      <c r="BL707" t="s">
        <v>131</v>
      </c>
    </row>
    <row r="708" spans="1:67" x14ac:dyDescent="0.25">
      <c r="A708" t="s">
        <v>2526</v>
      </c>
      <c r="B708" t="s">
        <v>2527</v>
      </c>
      <c r="C708" s="4">
        <f>(AA708*(H708*0.9))*12</f>
        <v>6253632</v>
      </c>
      <c r="D708" s="4">
        <f>IF(C708=0,"",(H708*150*12)+C708)</f>
        <v>6541632</v>
      </c>
      <c r="E708" s="4">
        <f>IFERROR(D708*0.5,"")</f>
        <v>3270816</v>
      </c>
      <c r="F708" s="4">
        <f>IFERROR(E708/0.06,"")</f>
        <v>54513600</v>
      </c>
      <c r="G708" s="4">
        <f>IFERROR(F708/H708,"")</f>
        <v>340710</v>
      </c>
      <c r="H708" s="1">
        <v>160</v>
      </c>
      <c r="I708" s="1">
        <v>1998</v>
      </c>
      <c r="J708" t="s">
        <v>64</v>
      </c>
      <c r="K708" t="s">
        <v>123</v>
      </c>
      <c r="L708" t="s">
        <v>2528</v>
      </c>
      <c r="M708" t="s">
        <v>2529</v>
      </c>
      <c r="N708" t="s">
        <v>2530</v>
      </c>
      <c r="O708" t="s">
        <v>2528</v>
      </c>
      <c r="P708" s="1">
        <v>3</v>
      </c>
      <c r="Q708" t="s">
        <v>91</v>
      </c>
      <c r="R708" t="s">
        <v>70</v>
      </c>
      <c r="S708" t="s">
        <v>71</v>
      </c>
      <c r="U708" t="s">
        <v>72</v>
      </c>
      <c r="V708" t="s">
        <v>129</v>
      </c>
      <c r="W708" t="s">
        <v>74</v>
      </c>
      <c r="X708" t="s">
        <v>2531</v>
      </c>
      <c r="Y708" s="2">
        <v>532</v>
      </c>
      <c r="Z708" s="3">
        <v>6.79</v>
      </c>
      <c r="AA708" s="4">
        <v>3619</v>
      </c>
      <c r="AK708" s="5">
        <v>16.25</v>
      </c>
      <c r="AN708" s="1">
        <v>3</v>
      </c>
      <c r="AO708" t="s">
        <v>81</v>
      </c>
      <c r="AP708" t="s">
        <v>82</v>
      </c>
      <c r="AQ708" t="s">
        <v>83</v>
      </c>
      <c r="AR708" s="3">
        <v>4.6399999999999997</v>
      </c>
      <c r="AS708" s="4">
        <v>3899</v>
      </c>
      <c r="AT708" s="1">
        <v>840</v>
      </c>
      <c r="AX708" s="3">
        <v>274163.7</v>
      </c>
      <c r="AY708" s="3">
        <v>9.33</v>
      </c>
      <c r="AZ708" s="4">
        <v>3679</v>
      </c>
      <c r="BA708" s="6">
        <v>394</v>
      </c>
      <c r="BB708" t="s">
        <v>84</v>
      </c>
      <c r="BD708" s="3">
        <v>5.92</v>
      </c>
      <c r="BE708" s="4">
        <v>3401</v>
      </c>
      <c r="BF708" s="1">
        <v>575</v>
      </c>
      <c r="BG708" s="1">
        <v>56</v>
      </c>
      <c r="BH708" s="1">
        <v>27</v>
      </c>
      <c r="BK708" t="s">
        <v>679</v>
      </c>
      <c r="BL708" t="s">
        <v>104</v>
      </c>
    </row>
    <row r="709" spans="1:67" x14ac:dyDescent="0.25">
      <c r="A709" t="s">
        <v>2500</v>
      </c>
      <c r="B709" t="s">
        <v>2501</v>
      </c>
      <c r="C709" s="4">
        <f>(AA709*(H709*0.9))*12</f>
        <v>11416204.800000001</v>
      </c>
      <c r="D709" s="4">
        <f>IF(C709=0,"",(H709*150*12)+C709)</f>
        <v>11907604.800000001</v>
      </c>
      <c r="E709" s="4">
        <f>IFERROR(D709*0.5,"")</f>
        <v>5953802.4000000004</v>
      </c>
      <c r="F709" s="4">
        <f>IFERROR(E709/0.06,"")</f>
        <v>99230040.000000015</v>
      </c>
      <c r="G709" s="4">
        <f>IFERROR(F709/H709,"")</f>
        <v>363480.00000000006</v>
      </c>
      <c r="H709" s="1">
        <v>273</v>
      </c>
      <c r="I709" s="1">
        <v>1999</v>
      </c>
      <c r="J709" t="s">
        <v>64</v>
      </c>
      <c r="K709" t="s">
        <v>756</v>
      </c>
      <c r="L709" t="s">
        <v>2502</v>
      </c>
      <c r="M709" t="s">
        <v>2503</v>
      </c>
      <c r="N709" t="s">
        <v>2504</v>
      </c>
      <c r="O709" t="s">
        <v>2502</v>
      </c>
      <c r="P709" s="1">
        <v>3</v>
      </c>
      <c r="Q709" t="s">
        <v>91</v>
      </c>
      <c r="R709" t="s">
        <v>70</v>
      </c>
      <c r="S709" t="s">
        <v>71</v>
      </c>
      <c r="U709" t="s">
        <v>72</v>
      </c>
      <c r="V709" t="s">
        <v>73</v>
      </c>
      <c r="W709" t="s">
        <v>74</v>
      </c>
      <c r="X709" t="s">
        <v>2475</v>
      </c>
      <c r="Y709" s="2">
        <v>785</v>
      </c>
      <c r="Z709" s="3">
        <v>4.93</v>
      </c>
      <c r="AA709" s="4">
        <v>3872</v>
      </c>
      <c r="AK709" s="5">
        <v>26.3736</v>
      </c>
      <c r="AN709" s="1">
        <v>3</v>
      </c>
      <c r="AO709" t="s">
        <v>81</v>
      </c>
      <c r="AP709" t="s">
        <v>82</v>
      </c>
      <c r="AQ709" t="s">
        <v>83</v>
      </c>
      <c r="AR709" s="3">
        <v>4.6900000000000004</v>
      </c>
      <c r="AS709" s="4">
        <v>4746</v>
      </c>
      <c r="AT709" s="1">
        <v>1012</v>
      </c>
      <c r="AX709" s="3">
        <v>656038.6</v>
      </c>
      <c r="AY709" s="3">
        <v>5.71</v>
      </c>
      <c r="AZ709" s="4">
        <v>2455</v>
      </c>
      <c r="BA709" s="6">
        <v>430</v>
      </c>
      <c r="BB709" t="s">
        <v>84</v>
      </c>
      <c r="BD709" s="3">
        <v>5.19</v>
      </c>
      <c r="BE709" s="4">
        <v>3379</v>
      </c>
      <c r="BF709" s="1">
        <v>651</v>
      </c>
      <c r="BG709" s="1">
        <v>84</v>
      </c>
      <c r="BH709" s="1">
        <v>135</v>
      </c>
      <c r="BL709" t="s">
        <v>131</v>
      </c>
    </row>
    <row r="710" spans="1:67" x14ac:dyDescent="0.25">
      <c r="A710" t="s">
        <v>3234</v>
      </c>
      <c r="B710" t="s">
        <v>3235</v>
      </c>
      <c r="C710" s="4">
        <f>(AA710*(H710*0.9))*12</f>
        <v>5843577.5999999996</v>
      </c>
      <c r="D710" s="4">
        <f>IF(C710=0,"",(H710*150*12)+C710)</f>
        <v>6045177.5999999996</v>
      </c>
      <c r="E710" s="4">
        <f>IFERROR(D710*0.5,"")</f>
        <v>3022588.8</v>
      </c>
      <c r="F710" s="4">
        <f>IFERROR(E710/0.06,"")</f>
        <v>50376480</v>
      </c>
      <c r="G710" s="4">
        <f>IFERROR(F710/H710,"")</f>
        <v>449790</v>
      </c>
      <c r="H710" s="1">
        <v>112</v>
      </c>
      <c r="I710" s="1">
        <v>2000</v>
      </c>
      <c r="J710" t="s">
        <v>64</v>
      </c>
      <c r="K710" t="s">
        <v>3236</v>
      </c>
      <c r="L710" t="s">
        <v>3237</v>
      </c>
      <c r="M710" t="s">
        <v>3238</v>
      </c>
      <c r="N710" t="s">
        <v>3239</v>
      </c>
      <c r="O710" t="s">
        <v>3237</v>
      </c>
      <c r="P710" s="1">
        <v>4</v>
      </c>
      <c r="Q710" t="s">
        <v>91</v>
      </c>
      <c r="R710" t="s">
        <v>70</v>
      </c>
      <c r="S710" t="s">
        <v>71</v>
      </c>
      <c r="U710" t="s">
        <v>72</v>
      </c>
      <c r="V710" t="s">
        <v>73</v>
      </c>
      <c r="W710" t="s">
        <v>74</v>
      </c>
      <c r="X710" t="s">
        <v>1568</v>
      </c>
      <c r="Y710" s="2">
        <v>1887</v>
      </c>
      <c r="Z710" s="3">
        <v>2.56</v>
      </c>
      <c r="AA710" s="4">
        <v>4831</v>
      </c>
      <c r="AK710" s="5">
        <v>18.75</v>
      </c>
      <c r="AN710" s="1">
        <v>3</v>
      </c>
      <c r="AO710" t="s">
        <v>81</v>
      </c>
      <c r="AP710" t="s">
        <v>82</v>
      </c>
      <c r="AQ710" t="s">
        <v>83</v>
      </c>
      <c r="AR710" s="3">
        <v>2.75</v>
      </c>
      <c r="AS710" s="4">
        <v>4720</v>
      </c>
      <c r="AT710" s="1">
        <v>1719</v>
      </c>
      <c r="AU710" s="3">
        <v>2.41</v>
      </c>
      <c r="AV710" s="4">
        <v>5600</v>
      </c>
      <c r="AW710" s="1">
        <v>2326</v>
      </c>
      <c r="AX710" s="3">
        <v>1076.3</v>
      </c>
      <c r="BB710" t="s">
        <v>84</v>
      </c>
      <c r="BD710" s="3">
        <v>2.37</v>
      </c>
      <c r="BE710" s="4">
        <v>3299</v>
      </c>
      <c r="BF710" s="1">
        <v>1393</v>
      </c>
      <c r="BG710" s="1">
        <v>16</v>
      </c>
      <c r="BH710" s="1">
        <v>57</v>
      </c>
      <c r="BI710" s="1">
        <v>38</v>
      </c>
      <c r="BJ710" s="1">
        <v>1</v>
      </c>
      <c r="BK710" t="s">
        <v>3240</v>
      </c>
      <c r="BL710" t="s">
        <v>104</v>
      </c>
      <c r="BM710" s="3">
        <v>2.36</v>
      </c>
      <c r="BN710" s="4">
        <v>6459</v>
      </c>
      <c r="BO710" s="1">
        <v>2736</v>
      </c>
    </row>
    <row r="711" spans="1:67" x14ac:dyDescent="0.25">
      <c r="A711" t="s">
        <v>121</v>
      </c>
      <c r="B711" t="s">
        <v>122</v>
      </c>
      <c r="C711" s="4">
        <f>(AA711*(H711*0.9))*12</f>
        <v>0</v>
      </c>
      <c r="D711" s="4" t="str">
        <f>IF(C711=0,"",(H711*150*12)+C711)</f>
        <v/>
      </c>
      <c r="E711" s="4" t="str">
        <f>IFERROR(D711*0.5,"")</f>
        <v/>
      </c>
      <c r="F711" s="4" t="str">
        <f>IFERROR(E711/0.06,"")</f>
        <v/>
      </c>
      <c r="G711" s="4" t="str">
        <f>IFERROR(F711/H711,"")</f>
        <v/>
      </c>
      <c r="H711" s="1">
        <v>582</v>
      </c>
      <c r="I711" s="1">
        <v>1985</v>
      </c>
      <c r="J711" t="s">
        <v>64</v>
      </c>
      <c r="K711" t="s">
        <v>123</v>
      </c>
      <c r="L711" t="s">
        <v>124</v>
      </c>
      <c r="M711" t="s">
        <v>125</v>
      </c>
      <c r="N711" t="s">
        <v>126</v>
      </c>
      <c r="O711" t="s">
        <v>124</v>
      </c>
      <c r="P711" s="1">
        <v>3</v>
      </c>
      <c r="Q711" t="s">
        <v>69</v>
      </c>
      <c r="R711" t="s">
        <v>70</v>
      </c>
      <c r="S711" t="s">
        <v>127</v>
      </c>
      <c r="T711" t="s">
        <v>128</v>
      </c>
      <c r="U711" t="s">
        <v>72</v>
      </c>
      <c r="V711" t="s">
        <v>129</v>
      </c>
      <c r="W711" t="s">
        <v>74</v>
      </c>
      <c r="X711" t="s">
        <v>130</v>
      </c>
      <c r="AK711" s="5">
        <v>7.0446999999999997</v>
      </c>
      <c r="AN711" s="1">
        <v>1</v>
      </c>
      <c r="AO711" t="s">
        <v>81</v>
      </c>
      <c r="AP711" t="s">
        <v>82</v>
      </c>
      <c r="AQ711" t="s">
        <v>83</v>
      </c>
      <c r="AX711" s="3">
        <v>419929.28</v>
      </c>
      <c r="BB711" t="s">
        <v>84</v>
      </c>
      <c r="BL711" t="s">
        <v>131</v>
      </c>
    </row>
    <row r="712" spans="1:67" x14ac:dyDescent="0.25">
      <c r="A712" t="s">
        <v>262</v>
      </c>
      <c r="B712" t="s">
        <v>263</v>
      </c>
      <c r="C712" s="4">
        <f>(AA712*(H712*0.9))*12</f>
        <v>0</v>
      </c>
      <c r="D712" s="4" t="str">
        <f>IF(C712=0,"",(H712*150*12)+C712)</f>
        <v/>
      </c>
      <c r="E712" s="4" t="str">
        <f>IFERROR(D712*0.5,"")</f>
        <v/>
      </c>
      <c r="F712" s="4" t="str">
        <f>IFERROR(E712/0.06,"")</f>
        <v/>
      </c>
      <c r="G712" s="4" t="str">
        <f>IFERROR(F712/H712,"")</f>
        <v/>
      </c>
      <c r="H712" s="1">
        <v>51</v>
      </c>
      <c r="I712" s="1">
        <v>1985</v>
      </c>
      <c r="J712" t="s">
        <v>64</v>
      </c>
      <c r="K712" t="s">
        <v>264</v>
      </c>
      <c r="L712" t="s">
        <v>265</v>
      </c>
      <c r="N712" t="s">
        <v>265</v>
      </c>
      <c r="P712" s="1">
        <v>3</v>
      </c>
      <c r="Q712" t="s">
        <v>91</v>
      </c>
      <c r="R712" t="s">
        <v>70</v>
      </c>
      <c r="S712" t="s">
        <v>71</v>
      </c>
      <c r="U712" t="s">
        <v>72</v>
      </c>
      <c r="V712" t="s">
        <v>264</v>
      </c>
      <c r="W712" t="s">
        <v>74</v>
      </c>
      <c r="X712" t="s">
        <v>266</v>
      </c>
      <c r="Y712" s="2">
        <v>1219</v>
      </c>
      <c r="AN712" s="1">
        <v>2</v>
      </c>
      <c r="AO712" t="s">
        <v>81</v>
      </c>
      <c r="AP712" t="s">
        <v>82</v>
      </c>
      <c r="AQ712" t="s">
        <v>83</v>
      </c>
      <c r="AT712" s="1">
        <v>1151</v>
      </c>
      <c r="AW712" s="1">
        <v>1544</v>
      </c>
      <c r="AX712" s="3">
        <v>1962.38</v>
      </c>
      <c r="BB712" t="s">
        <v>84</v>
      </c>
      <c r="BF712" s="1">
        <v>851</v>
      </c>
      <c r="BG712" s="1">
        <v>4</v>
      </c>
      <c r="BH712" s="1">
        <v>35</v>
      </c>
      <c r="BI712" s="1">
        <v>12</v>
      </c>
    </row>
    <row r="713" spans="1:67" x14ac:dyDescent="0.25">
      <c r="A713" t="s">
        <v>267</v>
      </c>
      <c r="B713" t="s">
        <v>268</v>
      </c>
      <c r="C713" s="4">
        <f>(AA713*(H713*0.9))*12</f>
        <v>0</v>
      </c>
      <c r="D713" s="4" t="str">
        <f>IF(C713=0,"",(H713*150*12)+C713)</f>
        <v/>
      </c>
      <c r="E713" s="4" t="str">
        <f>IFERROR(D713*0.5,"")</f>
        <v/>
      </c>
      <c r="F713" s="4" t="str">
        <f>IFERROR(E713/0.06,"")</f>
        <v/>
      </c>
      <c r="G713" s="4" t="str">
        <f>IFERROR(F713/H713,"")</f>
        <v/>
      </c>
      <c r="H713" s="1">
        <v>101</v>
      </c>
      <c r="I713" s="1">
        <v>1985</v>
      </c>
      <c r="J713" t="s">
        <v>64</v>
      </c>
      <c r="K713" t="s">
        <v>269</v>
      </c>
      <c r="L713" t="s">
        <v>270</v>
      </c>
      <c r="M713" t="s">
        <v>271</v>
      </c>
      <c r="N713" t="s">
        <v>271</v>
      </c>
      <c r="O713" t="s">
        <v>270</v>
      </c>
      <c r="P713" s="1">
        <v>3</v>
      </c>
      <c r="Q713" t="s">
        <v>91</v>
      </c>
      <c r="R713" t="s">
        <v>70</v>
      </c>
      <c r="S713" t="s">
        <v>71</v>
      </c>
      <c r="U713" t="s">
        <v>72</v>
      </c>
      <c r="V713" t="s">
        <v>73</v>
      </c>
      <c r="W713" t="s">
        <v>74</v>
      </c>
      <c r="X713" t="s">
        <v>272</v>
      </c>
      <c r="AN713" s="1">
        <v>2</v>
      </c>
      <c r="AO713" t="s">
        <v>81</v>
      </c>
      <c r="AP713" t="s">
        <v>82</v>
      </c>
      <c r="AQ713" t="s">
        <v>83</v>
      </c>
      <c r="AX713" s="3">
        <v>249764.61</v>
      </c>
      <c r="BB713" t="s">
        <v>84</v>
      </c>
    </row>
    <row r="714" spans="1:67" x14ac:dyDescent="0.25">
      <c r="A714" t="s">
        <v>273</v>
      </c>
      <c r="B714" t="s">
        <v>274</v>
      </c>
      <c r="C714" s="4">
        <f>(AA714*(H714*0.9))*12</f>
        <v>0</v>
      </c>
      <c r="D714" s="4" t="str">
        <f>IF(C714=0,"",(H714*150*12)+C714)</f>
        <v/>
      </c>
      <c r="E714" s="4" t="str">
        <f>IFERROR(D714*0.5,"")</f>
        <v/>
      </c>
      <c r="F714" s="4" t="str">
        <f>IFERROR(E714/0.06,"")</f>
        <v/>
      </c>
      <c r="G714" s="4" t="str">
        <f>IFERROR(F714/H714,"")</f>
        <v/>
      </c>
      <c r="H714" s="1">
        <v>52</v>
      </c>
      <c r="I714" s="1">
        <v>1985</v>
      </c>
      <c r="J714" t="s">
        <v>64</v>
      </c>
      <c r="K714" t="s">
        <v>275</v>
      </c>
      <c r="P714" s="1">
        <v>3</v>
      </c>
      <c r="Q714" t="s">
        <v>91</v>
      </c>
      <c r="R714" t="s">
        <v>70</v>
      </c>
      <c r="S714" t="s">
        <v>71</v>
      </c>
      <c r="U714" t="s">
        <v>72</v>
      </c>
      <c r="V714" t="s">
        <v>73</v>
      </c>
      <c r="W714" t="s">
        <v>74</v>
      </c>
      <c r="X714" t="s">
        <v>276</v>
      </c>
      <c r="Y714" s="2">
        <v>1081</v>
      </c>
      <c r="AN714" s="1">
        <v>3</v>
      </c>
      <c r="AO714" t="s">
        <v>81</v>
      </c>
      <c r="AP714" t="s">
        <v>82</v>
      </c>
      <c r="AQ714" t="s">
        <v>83</v>
      </c>
      <c r="AT714" s="1">
        <v>1141</v>
      </c>
      <c r="AX714" s="3">
        <v>22094.01</v>
      </c>
      <c r="BB714" t="s">
        <v>84</v>
      </c>
      <c r="BF714" s="1">
        <v>1039</v>
      </c>
      <c r="BG714" s="1">
        <v>30</v>
      </c>
      <c r="BH714" s="1">
        <v>22</v>
      </c>
      <c r="BK714" t="s">
        <v>277</v>
      </c>
      <c r="BL714" t="s">
        <v>94</v>
      </c>
    </row>
    <row r="715" spans="1:67" x14ac:dyDescent="0.25">
      <c r="A715" t="s">
        <v>463</v>
      </c>
      <c r="B715" t="s">
        <v>464</v>
      </c>
      <c r="C715" s="4">
        <f>(AA715*(H715*0.9))*12</f>
        <v>0</v>
      </c>
      <c r="D715" s="4" t="str">
        <f>IF(C715=0,"",(H715*150*12)+C715)</f>
        <v/>
      </c>
      <c r="E715" s="4" t="str">
        <f>IFERROR(D715*0.5,"")</f>
        <v/>
      </c>
      <c r="F715" s="4" t="str">
        <f>IFERROR(E715/0.06,"")</f>
        <v/>
      </c>
      <c r="G715" s="4" t="str">
        <f>IFERROR(F715/H715,"")</f>
        <v/>
      </c>
      <c r="H715" s="1">
        <v>73</v>
      </c>
      <c r="I715" s="1">
        <v>1987</v>
      </c>
      <c r="J715" t="s">
        <v>64</v>
      </c>
      <c r="K715" t="s">
        <v>465</v>
      </c>
      <c r="L715" t="s">
        <v>466</v>
      </c>
      <c r="N715" t="s">
        <v>466</v>
      </c>
      <c r="P715" s="1">
        <v>2</v>
      </c>
      <c r="Q715" t="s">
        <v>69</v>
      </c>
      <c r="R715" t="s">
        <v>70</v>
      </c>
      <c r="S715" t="s">
        <v>127</v>
      </c>
      <c r="U715" t="s">
        <v>72</v>
      </c>
      <c r="V715" t="s">
        <v>152</v>
      </c>
      <c r="W715" t="s">
        <v>74</v>
      </c>
      <c r="X715" t="s">
        <v>467</v>
      </c>
      <c r="AK715" s="5">
        <v>8.2192000000000007</v>
      </c>
      <c r="AO715" t="s">
        <v>81</v>
      </c>
      <c r="AP715" t="s">
        <v>82</v>
      </c>
      <c r="AQ715" t="s">
        <v>83</v>
      </c>
      <c r="BB715" t="s">
        <v>84</v>
      </c>
      <c r="BG715" s="1">
        <v>73</v>
      </c>
    </row>
    <row r="716" spans="1:67" x14ac:dyDescent="0.25">
      <c r="A716" t="s">
        <v>499</v>
      </c>
      <c r="B716" t="s">
        <v>500</v>
      </c>
      <c r="C716" s="4">
        <f>(AA716*(H716*0.9))*12</f>
        <v>0</v>
      </c>
      <c r="D716" s="4" t="str">
        <f>IF(C716=0,"",(H716*150*12)+C716)</f>
        <v/>
      </c>
      <c r="E716" s="4" t="str">
        <f>IFERROR(D716*0.5,"")</f>
        <v/>
      </c>
      <c r="F716" s="4" t="str">
        <f>IFERROR(E716/0.06,"")</f>
        <v/>
      </c>
      <c r="G716" s="4" t="str">
        <f>IFERROR(F716/H716,"")</f>
        <v/>
      </c>
      <c r="H716" s="1">
        <v>253</v>
      </c>
      <c r="I716" s="1">
        <v>1985</v>
      </c>
      <c r="J716" t="s">
        <v>64</v>
      </c>
      <c r="K716" t="s">
        <v>501</v>
      </c>
      <c r="L716" t="s">
        <v>502</v>
      </c>
      <c r="N716" t="s">
        <v>503</v>
      </c>
      <c r="O716" t="s">
        <v>502</v>
      </c>
      <c r="P716" s="1">
        <v>2</v>
      </c>
      <c r="Q716" t="s">
        <v>69</v>
      </c>
      <c r="R716" t="s">
        <v>70</v>
      </c>
      <c r="S716" t="s">
        <v>127</v>
      </c>
      <c r="U716" t="s">
        <v>72</v>
      </c>
      <c r="V716" t="s">
        <v>152</v>
      </c>
      <c r="W716" t="s">
        <v>74</v>
      </c>
      <c r="X716" t="s">
        <v>504</v>
      </c>
      <c r="AK716" s="5">
        <v>9.4862000000000002</v>
      </c>
      <c r="AN716" s="1">
        <v>1</v>
      </c>
      <c r="AO716" t="s">
        <v>81</v>
      </c>
      <c r="AP716" t="s">
        <v>82</v>
      </c>
      <c r="AQ716" t="s">
        <v>83</v>
      </c>
      <c r="AX716" s="3">
        <v>2549.37</v>
      </c>
      <c r="BB716" t="s">
        <v>84</v>
      </c>
      <c r="BK716" t="s">
        <v>505</v>
      </c>
      <c r="BL716" t="s">
        <v>104</v>
      </c>
    </row>
    <row r="717" spans="1:67" x14ac:dyDescent="0.25">
      <c r="A717" t="s">
        <v>512</v>
      </c>
      <c r="B717" t="s">
        <v>513</v>
      </c>
      <c r="C717" s="4">
        <f>(AA717*(H717*0.9))*12</f>
        <v>0</v>
      </c>
      <c r="D717" s="4" t="str">
        <f>IF(C717=0,"",(H717*150*12)+C717)</f>
        <v/>
      </c>
      <c r="E717" s="4" t="str">
        <f>IFERROR(D717*0.5,"")</f>
        <v/>
      </c>
      <c r="F717" s="4" t="str">
        <f>IFERROR(E717/0.06,"")</f>
        <v/>
      </c>
      <c r="G717" s="4" t="str">
        <f>IFERROR(F717/H717,"")</f>
        <v/>
      </c>
      <c r="H717" s="1">
        <v>324</v>
      </c>
      <c r="I717" s="1">
        <v>1987</v>
      </c>
      <c r="J717" t="s">
        <v>64</v>
      </c>
      <c r="K717" t="s">
        <v>514</v>
      </c>
      <c r="L717" t="s">
        <v>515</v>
      </c>
      <c r="N717" t="s">
        <v>516</v>
      </c>
      <c r="O717" t="s">
        <v>515</v>
      </c>
      <c r="P717" s="1">
        <v>3</v>
      </c>
      <c r="Q717" t="s">
        <v>69</v>
      </c>
      <c r="R717" t="s">
        <v>70</v>
      </c>
      <c r="S717" t="s">
        <v>71</v>
      </c>
      <c r="U717" t="s">
        <v>72</v>
      </c>
      <c r="V717" t="s">
        <v>264</v>
      </c>
      <c r="W717" t="s">
        <v>74</v>
      </c>
      <c r="X717" t="s">
        <v>517</v>
      </c>
      <c r="Y717" s="2">
        <v>577</v>
      </c>
      <c r="AN717" s="1">
        <v>3</v>
      </c>
      <c r="AO717" t="s">
        <v>81</v>
      </c>
      <c r="AP717" t="s">
        <v>82</v>
      </c>
      <c r="AQ717" t="s">
        <v>83</v>
      </c>
      <c r="AX717" s="3">
        <v>210164.29</v>
      </c>
      <c r="BA717" s="6">
        <v>500</v>
      </c>
      <c r="BB717" t="s">
        <v>84</v>
      </c>
      <c r="BF717" s="1">
        <v>750</v>
      </c>
      <c r="BG717" s="1">
        <v>100</v>
      </c>
    </row>
    <row r="718" spans="1:67" x14ac:dyDescent="0.25">
      <c r="A718" t="s">
        <v>555</v>
      </c>
      <c r="C718" s="4">
        <f>(AA718*(H718*0.9))*12</f>
        <v>0</v>
      </c>
      <c r="D718" s="4" t="str">
        <f>IF(C718=0,"",(H718*150*12)+C718)</f>
        <v/>
      </c>
      <c r="E718" s="4" t="str">
        <f>IFERROR(D718*0.5,"")</f>
        <v/>
      </c>
      <c r="F718" s="4" t="str">
        <f>IFERROR(E718/0.06,"")</f>
        <v/>
      </c>
      <c r="G718" s="4" t="str">
        <f>IFERROR(F718/H718,"")</f>
        <v/>
      </c>
      <c r="H718" s="1">
        <v>58</v>
      </c>
      <c r="I718" s="1">
        <v>1990</v>
      </c>
      <c r="J718" t="s">
        <v>64</v>
      </c>
      <c r="K718" t="s">
        <v>439</v>
      </c>
      <c r="L718" t="s">
        <v>556</v>
      </c>
      <c r="N718" t="s">
        <v>557</v>
      </c>
      <c r="O718" t="s">
        <v>556</v>
      </c>
      <c r="P718" s="1">
        <v>2</v>
      </c>
      <c r="Q718" t="s">
        <v>69</v>
      </c>
      <c r="R718" t="s">
        <v>70</v>
      </c>
      <c r="S718" t="s">
        <v>127</v>
      </c>
      <c r="U718" t="s">
        <v>72</v>
      </c>
      <c r="V718" t="s">
        <v>558</v>
      </c>
      <c r="W718" t="s">
        <v>74</v>
      </c>
      <c r="X718" t="s">
        <v>559</v>
      </c>
      <c r="AK718" s="5">
        <v>8.6206999999999994</v>
      </c>
      <c r="AN718" s="1">
        <v>1</v>
      </c>
      <c r="AO718" t="s">
        <v>81</v>
      </c>
      <c r="AP718" t="s">
        <v>82</v>
      </c>
      <c r="AQ718" t="s">
        <v>83</v>
      </c>
      <c r="AX718" s="3">
        <v>10.64</v>
      </c>
      <c r="BB718" t="s">
        <v>84</v>
      </c>
      <c r="BG718" s="1">
        <v>58</v>
      </c>
    </row>
    <row r="719" spans="1:67" x14ac:dyDescent="0.25">
      <c r="A719" t="s">
        <v>593</v>
      </c>
      <c r="B719" t="s">
        <v>594</v>
      </c>
      <c r="C719" s="4">
        <f>(AA719*(H719*0.9))*12</f>
        <v>0</v>
      </c>
      <c r="D719" s="4" t="str">
        <f>IF(C719=0,"",(H719*150*12)+C719)</f>
        <v/>
      </c>
      <c r="E719" s="4" t="str">
        <f>IFERROR(D719*0.5,"")</f>
        <v/>
      </c>
      <c r="F719" s="4" t="str">
        <f>IFERROR(E719/0.06,"")</f>
        <v/>
      </c>
      <c r="G719" s="4" t="str">
        <f>IFERROR(F719/H719,"")</f>
        <v/>
      </c>
      <c r="H719" s="1">
        <v>202</v>
      </c>
      <c r="I719" s="1">
        <v>1990</v>
      </c>
      <c r="J719" t="s">
        <v>64</v>
      </c>
      <c r="K719" t="s">
        <v>140</v>
      </c>
      <c r="M719" t="s">
        <v>595</v>
      </c>
      <c r="P719" s="1">
        <v>2</v>
      </c>
      <c r="Q719" t="s">
        <v>69</v>
      </c>
      <c r="R719" t="s">
        <v>70</v>
      </c>
      <c r="S719" t="s">
        <v>71</v>
      </c>
      <c r="U719" t="s">
        <v>72</v>
      </c>
      <c r="V719" t="s">
        <v>140</v>
      </c>
      <c r="W719" t="s">
        <v>74</v>
      </c>
      <c r="X719" t="s">
        <v>596</v>
      </c>
      <c r="AN719" s="1">
        <v>2</v>
      </c>
      <c r="AO719" t="s">
        <v>81</v>
      </c>
      <c r="AP719" t="s">
        <v>82</v>
      </c>
      <c r="AQ719" t="s">
        <v>83</v>
      </c>
      <c r="BB719" t="s">
        <v>84</v>
      </c>
    </row>
    <row r="720" spans="1:67" x14ac:dyDescent="0.25">
      <c r="A720" t="s">
        <v>812</v>
      </c>
      <c r="B720" t="s">
        <v>813</v>
      </c>
      <c r="C720" s="4">
        <f>(AA720*(H720*0.9))*12</f>
        <v>0</v>
      </c>
      <c r="D720" s="4" t="str">
        <f>IF(C720=0,"",(H720*150*12)+C720)</f>
        <v/>
      </c>
      <c r="E720" s="4" t="str">
        <f>IFERROR(D720*0.5,"")</f>
        <v/>
      </c>
      <c r="F720" s="4" t="str">
        <f>IFERROR(E720/0.06,"")</f>
        <v/>
      </c>
      <c r="G720" s="4" t="str">
        <f>IFERROR(F720/H720,"")</f>
        <v/>
      </c>
      <c r="H720" s="1">
        <v>60</v>
      </c>
      <c r="I720" s="1">
        <v>1985</v>
      </c>
      <c r="J720" t="s">
        <v>64</v>
      </c>
      <c r="K720" t="s">
        <v>814</v>
      </c>
      <c r="L720" t="s">
        <v>815</v>
      </c>
      <c r="N720" t="s">
        <v>815</v>
      </c>
      <c r="P720" s="1">
        <v>3</v>
      </c>
      <c r="Q720" t="s">
        <v>91</v>
      </c>
      <c r="R720" t="s">
        <v>70</v>
      </c>
      <c r="S720" t="s">
        <v>71</v>
      </c>
      <c r="U720" t="s">
        <v>72</v>
      </c>
      <c r="V720" t="s">
        <v>814</v>
      </c>
      <c r="W720" t="s">
        <v>74</v>
      </c>
      <c r="X720" t="s">
        <v>816</v>
      </c>
      <c r="AN720" s="1">
        <v>1</v>
      </c>
      <c r="AO720" t="s">
        <v>81</v>
      </c>
      <c r="AP720" t="s">
        <v>82</v>
      </c>
      <c r="AQ720" t="s">
        <v>83</v>
      </c>
      <c r="AX720" s="3">
        <v>16563.57</v>
      </c>
      <c r="BB720" t="s">
        <v>84</v>
      </c>
    </row>
    <row r="721" spans="1:64" x14ac:dyDescent="0.25">
      <c r="A721" t="s">
        <v>864</v>
      </c>
      <c r="B721" t="s">
        <v>865</v>
      </c>
      <c r="C721" s="4">
        <f>(AA721*(H721*0.9))*12</f>
        <v>0</v>
      </c>
      <c r="D721" s="4" t="str">
        <f>IF(C721=0,"",(H721*150*12)+C721)</f>
        <v/>
      </c>
      <c r="E721" s="4" t="str">
        <f>IFERROR(D721*0.5,"")</f>
        <v/>
      </c>
      <c r="F721" s="4" t="str">
        <f>IFERROR(E721/0.06,"")</f>
        <v/>
      </c>
      <c r="G721" s="4" t="str">
        <f>IFERROR(F721/H721,"")</f>
        <v/>
      </c>
      <c r="H721" s="1">
        <v>301</v>
      </c>
      <c r="I721" s="1">
        <v>1987</v>
      </c>
      <c r="J721" t="s">
        <v>64</v>
      </c>
      <c r="K721" t="s">
        <v>156</v>
      </c>
      <c r="L721" t="s">
        <v>866</v>
      </c>
      <c r="M721" t="s">
        <v>867</v>
      </c>
      <c r="N721" t="s">
        <v>868</v>
      </c>
      <c r="O721" t="s">
        <v>866</v>
      </c>
      <c r="P721" s="1">
        <v>2</v>
      </c>
      <c r="Q721" t="s">
        <v>69</v>
      </c>
      <c r="R721" t="s">
        <v>70</v>
      </c>
      <c r="S721" t="s">
        <v>127</v>
      </c>
      <c r="U721" t="s">
        <v>72</v>
      </c>
      <c r="V721" t="s">
        <v>862</v>
      </c>
      <c r="W721" t="s">
        <v>74</v>
      </c>
      <c r="X721" t="s">
        <v>869</v>
      </c>
      <c r="Y721" s="2">
        <v>1086</v>
      </c>
      <c r="AK721" s="5">
        <v>10.6312</v>
      </c>
      <c r="AN721" s="1">
        <v>1</v>
      </c>
      <c r="AO721" t="s">
        <v>81</v>
      </c>
      <c r="AP721" t="s">
        <v>82</v>
      </c>
      <c r="AQ721" t="s">
        <v>83</v>
      </c>
      <c r="AW721" s="1">
        <v>1086</v>
      </c>
      <c r="AX721" s="3">
        <v>257745.14</v>
      </c>
      <c r="BB721" t="s">
        <v>84</v>
      </c>
      <c r="BI721" s="1">
        <v>301</v>
      </c>
    </row>
    <row r="722" spans="1:64" x14ac:dyDescent="0.25">
      <c r="A722" t="s">
        <v>870</v>
      </c>
      <c r="B722" t="s">
        <v>871</v>
      </c>
      <c r="C722" s="4">
        <f>(AA722*(H722*0.9))*12</f>
        <v>0</v>
      </c>
      <c r="D722" s="4" t="str">
        <f>IF(C722=0,"",(H722*150*12)+C722)</f>
        <v/>
      </c>
      <c r="E722" s="4" t="str">
        <f>IFERROR(D722*0.5,"")</f>
        <v/>
      </c>
      <c r="F722" s="4" t="str">
        <f>IFERROR(E722/0.06,"")</f>
        <v/>
      </c>
      <c r="G722" s="4" t="str">
        <f>IFERROR(F722/H722,"")</f>
        <v/>
      </c>
      <c r="H722" s="1">
        <v>87</v>
      </c>
      <c r="I722" s="1">
        <v>1986</v>
      </c>
      <c r="J722" t="s">
        <v>64</v>
      </c>
      <c r="K722" t="s">
        <v>872</v>
      </c>
      <c r="L722" t="s">
        <v>873</v>
      </c>
      <c r="N722" t="s">
        <v>874</v>
      </c>
      <c r="O722" t="s">
        <v>873</v>
      </c>
      <c r="P722" s="1">
        <v>3</v>
      </c>
      <c r="Q722" t="s">
        <v>69</v>
      </c>
      <c r="R722" t="s">
        <v>70</v>
      </c>
      <c r="S722" t="s">
        <v>127</v>
      </c>
      <c r="U722" t="s">
        <v>72</v>
      </c>
      <c r="V722" t="s">
        <v>710</v>
      </c>
      <c r="W722" t="s">
        <v>74</v>
      </c>
      <c r="X722" t="s">
        <v>875</v>
      </c>
      <c r="AK722" s="5">
        <v>8.0459999999999994</v>
      </c>
      <c r="AN722" s="1">
        <v>1</v>
      </c>
      <c r="AO722" t="s">
        <v>81</v>
      </c>
      <c r="AP722" t="s">
        <v>82</v>
      </c>
      <c r="AQ722" t="s">
        <v>83</v>
      </c>
      <c r="AX722" s="3">
        <v>87904.78</v>
      </c>
      <c r="BB722" t="s">
        <v>84</v>
      </c>
      <c r="BG722" s="1">
        <v>87</v>
      </c>
      <c r="BL722" t="s">
        <v>744</v>
      </c>
    </row>
    <row r="723" spans="1:64" x14ac:dyDescent="0.25">
      <c r="A723" t="s">
        <v>876</v>
      </c>
      <c r="B723" t="s">
        <v>877</v>
      </c>
      <c r="C723" s="4">
        <f>(AA723*(H723*0.9))*12</f>
        <v>0</v>
      </c>
      <c r="D723" s="4" t="str">
        <f>IF(C723=0,"",(H723*150*12)+C723)</f>
        <v/>
      </c>
      <c r="E723" s="4" t="str">
        <f>IFERROR(D723*0.5,"")</f>
        <v/>
      </c>
      <c r="F723" s="4" t="str">
        <f>IFERROR(E723/0.06,"")</f>
        <v/>
      </c>
      <c r="G723" s="4" t="str">
        <f>IFERROR(F723/H723,"")</f>
        <v/>
      </c>
      <c r="H723" s="1">
        <v>115</v>
      </c>
      <c r="I723" s="1">
        <v>1986</v>
      </c>
      <c r="J723" t="s">
        <v>64</v>
      </c>
      <c r="K723" t="s">
        <v>756</v>
      </c>
      <c r="L723" t="s">
        <v>878</v>
      </c>
      <c r="N723" t="s">
        <v>878</v>
      </c>
      <c r="P723" s="1">
        <v>3</v>
      </c>
      <c r="Q723" t="s">
        <v>91</v>
      </c>
      <c r="R723" t="s">
        <v>70</v>
      </c>
      <c r="S723" t="s">
        <v>71</v>
      </c>
      <c r="U723" t="s">
        <v>72</v>
      </c>
      <c r="V723" t="s">
        <v>73</v>
      </c>
      <c r="W723" t="s">
        <v>74</v>
      </c>
      <c r="X723" t="s">
        <v>879</v>
      </c>
      <c r="Y723" s="2">
        <v>1132</v>
      </c>
      <c r="AN723" s="1">
        <v>2</v>
      </c>
      <c r="AO723" t="s">
        <v>81</v>
      </c>
      <c r="AP723" t="s">
        <v>82</v>
      </c>
      <c r="AQ723" t="s">
        <v>83</v>
      </c>
      <c r="AT723" s="1">
        <v>1337</v>
      </c>
      <c r="AX723" s="3">
        <v>43013.09</v>
      </c>
      <c r="BB723" t="s">
        <v>84</v>
      </c>
      <c r="BF723" s="1">
        <v>997</v>
      </c>
      <c r="BG723" s="1">
        <v>69</v>
      </c>
      <c r="BH723" s="1">
        <v>46</v>
      </c>
    </row>
    <row r="724" spans="1:64" x14ac:dyDescent="0.25">
      <c r="A724" t="s">
        <v>933</v>
      </c>
      <c r="B724" t="s">
        <v>934</v>
      </c>
      <c r="C724" s="4">
        <f>(AA724*(H724*0.9))*12</f>
        <v>0</v>
      </c>
      <c r="D724" s="4" t="str">
        <f>IF(C724=0,"",(H724*150*12)+C724)</f>
        <v/>
      </c>
      <c r="E724" s="4" t="str">
        <f>IFERROR(D724*0.5,"")</f>
        <v/>
      </c>
      <c r="F724" s="4" t="str">
        <f>IFERROR(E724/0.06,"")</f>
        <v/>
      </c>
      <c r="G724" s="4" t="str">
        <f>IFERROR(F724/H724,"")</f>
        <v/>
      </c>
      <c r="H724" s="1">
        <v>58</v>
      </c>
      <c r="I724" s="1">
        <v>1990</v>
      </c>
      <c r="J724" t="s">
        <v>64</v>
      </c>
      <c r="K724" t="s">
        <v>219</v>
      </c>
      <c r="L724" t="s">
        <v>935</v>
      </c>
      <c r="N724" t="s">
        <v>936</v>
      </c>
      <c r="O724" t="s">
        <v>935</v>
      </c>
      <c r="P724" s="1">
        <v>3</v>
      </c>
      <c r="Q724" t="s">
        <v>69</v>
      </c>
      <c r="R724" t="s">
        <v>70</v>
      </c>
      <c r="S724" t="s">
        <v>127</v>
      </c>
      <c r="U724" t="s">
        <v>72</v>
      </c>
      <c r="V724" t="s">
        <v>152</v>
      </c>
      <c r="W724" t="s">
        <v>74</v>
      </c>
      <c r="X724" t="s">
        <v>937</v>
      </c>
      <c r="Y724" s="2">
        <v>1000</v>
      </c>
      <c r="AK724" s="5">
        <v>8.6206999999999994</v>
      </c>
      <c r="AN724" s="1">
        <v>2</v>
      </c>
      <c r="AO724" t="s">
        <v>81</v>
      </c>
      <c r="AP724" t="s">
        <v>82</v>
      </c>
      <c r="AQ724" t="s">
        <v>83</v>
      </c>
      <c r="AX724" s="3">
        <v>63380.72</v>
      </c>
      <c r="BB724" t="s">
        <v>84</v>
      </c>
      <c r="BF724" s="1">
        <v>1000</v>
      </c>
      <c r="BG724" s="1">
        <v>58</v>
      </c>
      <c r="BK724" t="s">
        <v>566</v>
      </c>
      <c r="BL724" t="s">
        <v>104</v>
      </c>
    </row>
    <row r="725" spans="1:64" x14ac:dyDescent="0.25">
      <c r="A725" t="s">
        <v>938</v>
      </c>
      <c r="B725" t="s">
        <v>939</v>
      </c>
      <c r="C725" s="4">
        <f>(AA725*(H725*0.9))*12</f>
        <v>0</v>
      </c>
      <c r="D725" s="4" t="str">
        <f>IF(C725=0,"",(H725*150*12)+C725)</f>
        <v/>
      </c>
      <c r="E725" s="4" t="str">
        <f>IFERROR(D725*0.5,"")</f>
        <v/>
      </c>
      <c r="F725" s="4" t="str">
        <f>IFERROR(E725/0.06,"")</f>
        <v/>
      </c>
      <c r="G725" s="4" t="str">
        <f>IFERROR(F725/H725,"")</f>
        <v/>
      </c>
      <c r="H725" s="1">
        <v>115</v>
      </c>
      <c r="I725" s="1">
        <v>1985</v>
      </c>
      <c r="J725" t="s">
        <v>64</v>
      </c>
      <c r="K725" t="s">
        <v>280</v>
      </c>
      <c r="L725" t="s">
        <v>939</v>
      </c>
      <c r="M725" t="s">
        <v>939</v>
      </c>
      <c r="N725" t="s">
        <v>939</v>
      </c>
      <c r="P725" s="1">
        <v>3</v>
      </c>
      <c r="Q725" t="s">
        <v>69</v>
      </c>
      <c r="R725" t="s">
        <v>70</v>
      </c>
      <c r="S725" t="s">
        <v>71</v>
      </c>
      <c r="T725" t="s">
        <v>426</v>
      </c>
      <c r="U725" t="s">
        <v>72</v>
      </c>
      <c r="V725" t="s">
        <v>523</v>
      </c>
      <c r="W725" t="s">
        <v>74</v>
      </c>
      <c r="X725" t="s">
        <v>940</v>
      </c>
      <c r="AK725" s="5">
        <v>7.8261000000000003</v>
      </c>
      <c r="AN725" s="1">
        <v>1</v>
      </c>
      <c r="AO725" t="s">
        <v>81</v>
      </c>
      <c r="AP725" t="s">
        <v>82</v>
      </c>
      <c r="AQ725" t="s">
        <v>83</v>
      </c>
      <c r="AX725" s="3">
        <v>57745.120000000003</v>
      </c>
      <c r="BB725" t="s">
        <v>84</v>
      </c>
    </row>
    <row r="726" spans="1:64" x14ac:dyDescent="0.25">
      <c r="A726" t="s">
        <v>1046</v>
      </c>
      <c r="B726" t="s">
        <v>1047</v>
      </c>
      <c r="C726" s="4">
        <f>(AA726*(H726*0.9))*12</f>
        <v>0</v>
      </c>
      <c r="D726" s="4" t="str">
        <f>IF(C726=0,"",(H726*150*12)+C726)</f>
        <v/>
      </c>
      <c r="E726" s="4" t="str">
        <f>IFERROR(D726*0.5,"")</f>
        <v/>
      </c>
      <c r="F726" s="4" t="str">
        <f>IFERROR(E726/0.06,"")</f>
        <v/>
      </c>
      <c r="G726" s="4" t="str">
        <f>IFERROR(F726/H726,"")</f>
        <v/>
      </c>
      <c r="H726" s="1">
        <v>120</v>
      </c>
      <c r="I726" s="1">
        <v>1986</v>
      </c>
      <c r="J726" t="s">
        <v>64</v>
      </c>
      <c r="K726" t="s">
        <v>1048</v>
      </c>
      <c r="L726" t="s">
        <v>1047</v>
      </c>
      <c r="M726" t="s">
        <v>1047</v>
      </c>
      <c r="N726" t="s">
        <v>1049</v>
      </c>
      <c r="O726" t="s">
        <v>1047</v>
      </c>
      <c r="P726" s="1">
        <v>2</v>
      </c>
      <c r="Q726" t="s">
        <v>69</v>
      </c>
      <c r="R726" t="s">
        <v>70</v>
      </c>
      <c r="S726" t="s">
        <v>71</v>
      </c>
      <c r="T726" t="s">
        <v>426</v>
      </c>
      <c r="U726" t="s">
        <v>72</v>
      </c>
      <c r="V726" t="s">
        <v>140</v>
      </c>
      <c r="W726" t="s">
        <v>74</v>
      </c>
      <c r="X726" t="s">
        <v>1050</v>
      </c>
      <c r="Y726" s="2">
        <v>512</v>
      </c>
      <c r="AK726" s="5">
        <v>6.6666999999999996</v>
      </c>
      <c r="AN726" s="1">
        <v>3</v>
      </c>
      <c r="AO726" t="s">
        <v>81</v>
      </c>
      <c r="AP726" t="s">
        <v>82</v>
      </c>
      <c r="AQ726" t="s">
        <v>83</v>
      </c>
      <c r="BA726" s="6">
        <v>480</v>
      </c>
      <c r="BB726" t="s">
        <v>84</v>
      </c>
      <c r="BF726" s="1">
        <v>529</v>
      </c>
      <c r="BG726" s="1">
        <v>80</v>
      </c>
      <c r="BK726" t="s">
        <v>1051</v>
      </c>
      <c r="BL726" t="s">
        <v>104</v>
      </c>
    </row>
    <row r="727" spans="1:64" x14ac:dyDescent="0.25">
      <c r="A727" t="s">
        <v>1067</v>
      </c>
      <c r="B727" t="s">
        <v>1068</v>
      </c>
      <c r="C727" s="4">
        <f>(AA727*(H727*0.9))*12</f>
        <v>0</v>
      </c>
      <c r="D727" s="4" t="str">
        <f>IF(C727=0,"",(H727*150*12)+C727)</f>
        <v/>
      </c>
      <c r="E727" s="4" t="str">
        <f>IFERROR(D727*0.5,"")</f>
        <v/>
      </c>
      <c r="F727" s="4" t="str">
        <f>IFERROR(E727/0.06,"")</f>
        <v/>
      </c>
      <c r="G727" s="4" t="str">
        <f>IFERROR(F727/H727,"")</f>
        <v/>
      </c>
      <c r="H727" s="1">
        <v>124</v>
      </c>
      <c r="I727" s="1">
        <v>1985</v>
      </c>
      <c r="J727" t="s">
        <v>64</v>
      </c>
      <c r="K727" t="s">
        <v>653</v>
      </c>
      <c r="L727" t="s">
        <v>1069</v>
      </c>
      <c r="N727" t="s">
        <v>1069</v>
      </c>
      <c r="P727" s="1">
        <v>2</v>
      </c>
      <c r="Q727" t="s">
        <v>69</v>
      </c>
      <c r="R727" t="s">
        <v>70</v>
      </c>
      <c r="S727" t="s">
        <v>127</v>
      </c>
      <c r="U727" t="s">
        <v>72</v>
      </c>
      <c r="V727" t="s">
        <v>152</v>
      </c>
      <c r="W727" t="s">
        <v>74</v>
      </c>
      <c r="X727" t="s">
        <v>1070</v>
      </c>
      <c r="AK727" s="5">
        <v>15.3226</v>
      </c>
      <c r="AN727" s="1">
        <v>1</v>
      </c>
      <c r="AO727" t="s">
        <v>81</v>
      </c>
      <c r="AP727" t="s">
        <v>82</v>
      </c>
      <c r="AQ727" t="s">
        <v>83</v>
      </c>
      <c r="AX727" s="3">
        <v>118252.48</v>
      </c>
      <c r="BB727" t="s">
        <v>84</v>
      </c>
      <c r="BG727" s="1">
        <v>124</v>
      </c>
      <c r="BK727" t="s">
        <v>1071</v>
      </c>
      <c r="BL727" t="s">
        <v>104</v>
      </c>
    </row>
    <row r="728" spans="1:64" x14ac:dyDescent="0.25">
      <c r="A728" t="s">
        <v>1117</v>
      </c>
      <c r="B728" t="s">
        <v>1118</v>
      </c>
      <c r="C728" s="4">
        <f>(AA728*(H728*0.9))*12</f>
        <v>0</v>
      </c>
      <c r="D728" s="4" t="str">
        <f>IF(C728=0,"",(H728*150*12)+C728)</f>
        <v/>
      </c>
      <c r="E728" s="4" t="str">
        <f>IFERROR(D728*0.5,"")</f>
        <v/>
      </c>
      <c r="F728" s="4" t="str">
        <f>IFERROR(E728/0.06,"")</f>
        <v/>
      </c>
      <c r="G728" s="4" t="str">
        <f>IFERROR(F728/H728,"")</f>
        <v/>
      </c>
      <c r="H728" s="1">
        <v>171</v>
      </c>
      <c r="I728" s="1">
        <v>1987</v>
      </c>
      <c r="J728" t="s">
        <v>64</v>
      </c>
      <c r="K728" t="s">
        <v>501</v>
      </c>
      <c r="L728" t="s">
        <v>1119</v>
      </c>
      <c r="N728" t="s">
        <v>1120</v>
      </c>
      <c r="O728" t="s">
        <v>1119</v>
      </c>
      <c r="P728" s="1">
        <v>2</v>
      </c>
      <c r="Q728" t="s">
        <v>69</v>
      </c>
      <c r="R728" t="s">
        <v>70</v>
      </c>
      <c r="S728" t="s">
        <v>127</v>
      </c>
      <c r="U728" t="s">
        <v>72</v>
      </c>
      <c r="V728" t="s">
        <v>152</v>
      </c>
      <c r="W728" t="s">
        <v>74</v>
      </c>
      <c r="X728" t="s">
        <v>504</v>
      </c>
      <c r="AK728" s="5">
        <v>9.3567</v>
      </c>
      <c r="AN728" s="1">
        <v>1</v>
      </c>
      <c r="AO728" t="s">
        <v>81</v>
      </c>
      <c r="AP728" t="s">
        <v>82</v>
      </c>
      <c r="AQ728" t="s">
        <v>83</v>
      </c>
      <c r="AX728" s="3">
        <v>148096.07999999999</v>
      </c>
      <c r="BB728" t="s">
        <v>84</v>
      </c>
    </row>
    <row r="729" spans="1:64" x14ac:dyDescent="0.25">
      <c r="A729" t="s">
        <v>1152</v>
      </c>
      <c r="B729" t="s">
        <v>1153</v>
      </c>
      <c r="C729" s="4">
        <f>(AA729*(H729*0.9))*12</f>
        <v>0</v>
      </c>
      <c r="D729" s="4" t="str">
        <f>IF(C729=0,"",(H729*150*12)+C729)</f>
        <v/>
      </c>
      <c r="E729" s="4" t="str">
        <f>IFERROR(D729*0.5,"")</f>
        <v/>
      </c>
      <c r="F729" s="4" t="str">
        <f>IFERROR(E729/0.06,"")</f>
        <v/>
      </c>
      <c r="G729" s="4" t="str">
        <f>IFERROR(F729/H729,"")</f>
        <v/>
      </c>
      <c r="H729" s="1">
        <v>145</v>
      </c>
      <c r="I729" s="1">
        <v>1985</v>
      </c>
      <c r="J729" t="s">
        <v>64</v>
      </c>
      <c r="K729" t="s">
        <v>1154</v>
      </c>
      <c r="L729" t="s">
        <v>1155</v>
      </c>
      <c r="M729" t="s">
        <v>1156</v>
      </c>
      <c r="N729" t="s">
        <v>1157</v>
      </c>
      <c r="O729" t="s">
        <v>1155</v>
      </c>
      <c r="P729" s="1">
        <v>2</v>
      </c>
      <c r="Q729" t="s">
        <v>69</v>
      </c>
      <c r="R729" t="s">
        <v>70</v>
      </c>
      <c r="S729" t="s">
        <v>127</v>
      </c>
      <c r="U729" t="s">
        <v>72</v>
      </c>
      <c r="V729" t="s">
        <v>1158</v>
      </c>
      <c r="W729" t="s">
        <v>74</v>
      </c>
      <c r="X729" t="s">
        <v>1159</v>
      </c>
      <c r="AK729" s="5">
        <v>9.6552000000000007</v>
      </c>
      <c r="AN729" s="1">
        <v>1</v>
      </c>
      <c r="AO729" t="s">
        <v>81</v>
      </c>
      <c r="AP729" t="s">
        <v>82</v>
      </c>
      <c r="AQ729" t="s">
        <v>83</v>
      </c>
      <c r="AX729" s="3">
        <v>167444.42000000001</v>
      </c>
      <c r="BB729" t="s">
        <v>84</v>
      </c>
    </row>
    <row r="730" spans="1:64" x14ac:dyDescent="0.25">
      <c r="A730" t="s">
        <v>1177</v>
      </c>
      <c r="B730" t="s">
        <v>1178</v>
      </c>
      <c r="C730" s="4">
        <f>(AA730*(H730*0.9))*12</f>
        <v>0</v>
      </c>
      <c r="D730" s="4" t="str">
        <f>IF(C730=0,"",(H730*150*12)+C730)</f>
        <v/>
      </c>
      <c r="E730" s="4" t="str">
        <f>IFERROR(D730*0.5,"")</f>
        <v/>
      </c>
      <c r="F730" s="4" t="str">
        <f>IFERROR(E730/0.06,"")</f>
        <v/>
      </c>
      <c r="G730" s="4" t="str">
        <f>IFERROR(F730/H730,"")</f>
        <v/>
      </c>
      <c r="H730" s="1">
        <v>115</v>
      </c>
      <c r="I730" s="1">
        <v>1990</v>
      </c>
      <c r="J730" t="s">
        <v>64</v>
      </c>
      <c r="K730" t="s">
        <v>1179</v>
      </c>
      <c r="L730" t="s">
        <v>1180</v>
      </c>
      <c r="N730" t="s">
        <v>1181</v>
      </c>
      <c r="O730" t="s">
        <v>1180</v>
      </c>
      <c r="P730" s="1">
        <v>2</v>
      </c>
      <c r="Q730" t="s">
        <v>69</v>
      </c>
      <c r="R730" t="s">
        <v>70</v>
      </c>
      <c r="S730" t="s">
        <v>71</v>
      </c>
      <c r="U730" t="s">
        <v>72</v>
      </c>
      <c r="V730" t="s">
        <v>73</v>
      </c>
      <c r="W730" t="s">
        <v>74</v>
      </c>
      <c r="X730" t="s">
        <v>1182</v>
      </c>
      <c r="AK730" s="5">
        <v>9.5652000000000008</v>
      </c>
      <c r="AN730" s="1">
        <v>2</v>
      </c>
      <c r="AO730" t="s">
        <v>81</v>
      </c>
      <c r="AP730" t="s">
        <v>82</v>
      </c>
      <c r="AQ730" t="s">
        <v>83</v>
      </c>
      <c r="AX730" s="3">
        <v>164753.22</v>
      </c>
      <c r="BB730" t="s">
        <v>84</v>
      </c>
    </row>
    <row r="731" spans="1:64" x14ac:dyDescent="0.25">
      <c r="A731" t="s">
        <v>1224</v>
      </c>
      <c r="B731" t="s">
        <v>1225</v>
      </c>
      <c r="C731" s="4">
        <f>(AA731*(H731*0.9))*12</f>
        <v>0</v>
      </c>
      <c r="D731" s="4" t="str">
        <f>IF(C731=0,"",(H731*150*12)+C731)</f>
        <v/>
      </c>
      <c r="E731" s="4" t="str">
        <f>IFERROR(D731*0.5,"")</f>
        <v/>
      </c>
      <c r="F731" s="4" t="str">
        <f>IFERROR(E731/0.06,"")</f>
        <v/>
      </c>
      <c r="G731" s="4" t="str">
        <f>IFERROR(F731/H731,"")</f>
        <v/>
      </c>
      <c r="H731" s="1">
        <v>226</v>
      </c>
      <c r="I731" s="1">
        <v>1985</v>
      </c>
      <c r="J731" t="s">
        <v>64</v>
      </c>
      <c r="K731" t="s">
        <v>215</v>
      </c>
      <c r="L731" t="s">
        <v>124</v>
      </c>
      <c r="M731" t="s">
        <v>1226</v>
      </c>
      <c r="N731" t="s">
        <v>1227</v>
      </c>
      <c r="O731" t="s">
        <v>124</v>
      </c>
      <c r="P731" s="1">
        <v>2</v>
      </c>
      <c r="Q731" t="s">
        <v>69</v>
      </c>
      <c r="R731" t="s">
        <v>70</v>
      </c>
      <c r="S731" t="s">
        <v>127</v>
      </c>
      <c r="U731" t="s">
        <v>72</v>
      </c>
      <c r="V731" t="s">
        <v>215</v>
      </c>
      <c r="W731" t="s">
        <v>74</v>
      </c>
      <c r="X731" t="s">
        <v>1228</v>
      </c>
      <c r="AK731" s="5">
        <v>13.716799999999999</v>
      </c>
      <c r="AN731" s="1">
        <v>1</v>
      </c>
      <c r="AO731" t="s">
        <v>81</v>
      </c>
      <c r="AP731" t="s">
        <v>82</v>
      </c>
      <c r="AQ731" t="s">
        <v>83</v>
      </c>
      <c r="AX731" s="3">
        <v>220041.55</v>
      </c>
      <c r="BB731" t="s">
        <v>84</v>
      </c>
      <c r="BK731" t="s">
        <v>592</v>
      </c>
      <c r="BL731" t="s">
        <v>104</v>
      </c>
    </row>
    <row r="732" spans="1:64" x14ac:dyDescent="0.25">
      <c r="A732" t="s">
        <v>1259</v>
      </c>
      <c r="B732" t="s">
        <v>1260</v>
      </c>
      <c r="C732" s="4">
        <f>(AA732*(H732*0.9))*12</f>
        <v>0</v>
      </c>
      <c r="D732" s="4" t="str">
        <f>IF(C732=0,"",(H732*150*12)+C732)</f>
        <v/>
      </c>
      <c r="E732" s="4" t="str">
        <f>IFERROR(D732*0.5,"")</f>
        <v/>
      </c>
      <c r="F732" s="4" t="str">
        <f>IFERROR(E732/0.06,"")</f>
        <v/>
      </c>
      <c r="G732" s="4" t="str">
        <f>IFERROR(F732/H732,"")</f>
        <v/>
      </c>
      <c r="H732" s="1">
        <v>610</v>
      </c>
      <c r="I732" s="1">
        <v>1987</v>
      </c>
      <c r="J732" t="s">
        <v>64</v>
      </c>
      <c r="K732" t="s">
        <v>215</v>
      </c>
      <c r="L732" t="s">
        <v>1155</v>
      </c>
      <c r="M732" t="s">
        <v>1261</v>
      </c>
      <c r="N732" t="s">
        <v>1262</v>
      </c>
      <c r="O732" t="s">
        <v>1155</v>
      </c>
      <c r="P732" s="1">
        <v>2</v>
      </c>
      <c r="Q732" t="s">
        <v>69</v>
      </c>
      <c r="R732" t="s">
        <v>70</v>
      </c>
      <c r="S732" t="s">
        <v>127</v>
      </c>
      <c r="U732" t="s">
        <v>72</v>
      </c>
      <c r="V732" t="s">
        <v>215</v>
      </c>
      <c r="W732" t="s">
        <v>74</v>
      </c>
      <c r="X732" t="s">
        <v>1263</v>
      </c>
      <c r="AK732" s="5">
        <v>13.7705</v>
      </c>
      <c r="AN732" s="1">
        <v>1</v>
      </c>
      <c r="AO732" t="s">
        <v>81</v>
      </c>
      <c r="AP732" t="s">
        <v>82</v>
      </c>
      <c r="AQ732" t="s">
        <v>83</v>
      </c>
      <c r="AX732" s="3">
        <v>580371.03</v>
      </c>
      <c r="BB732" t="s">
        <v>84</v>
      </c>
    </row>
    <row r="733" spans="1:64" x14ac:dyDescent="0.25">
      <c r="A733" t="s">
        <v>1300</v>
      </c>
      <c r="B733" t="s">
        <v>1301</v>
      </c>
      <c r="C733" s="4">
        <f>(AA733*(H733*0.9))*12</f>
        <v>0</v>
      </c>
      <c r="D733" s="4" t="str">
        <f>IF(C733=0,"",(H733*150*12)+C733)</f>
        <v/>
      </c>
      <c r="E733" s="4" t="str">
        <f>IFERROR(D733*0.5,"")</f>
        <v/>
      </c>
      <c r="F733" s="4" t="str">
        <f>IFERROR(E733/0.06,"")</f>
        <v/>
      </c>
      <c r="G733" s="4" t="str">
        <f>IFERROR(F733/H733,"")</f>
        <v/>
      </c>
      <c r="H733" s="1">
        <v>56</v>
      </c>
      <c r="I733" s="1">
        <v>1986</v>
      </c>
      <c r="J733" t="s">
        <v>64</v>
      </c>
      <c r="K733" t="s">
        <v>1302</v>
      </c>
      <c r="L733" t="s">
        <v>935</v>
      </c>
      <c r="N733" t="s">
        <v>1303</v>
      </c>
      <c r="O733" t="s">
        <v>935</v>
      </c>
      <c r="P733" s="1">
        <v>2</v>
      </c>
      <c r="Q733" t="s">
        <v>69</v>
      </c>
      <c r="R733" t="s">
        <v>70</v>
      </c>
      <c r="S733" t="s">
        <v>127</v>
      </c>
      <c r="U733" t="s">
        <v>72</v>
      </c>
      <c r="V733" t="s">
        <v>152</v>
      </c>
      <c r="W733" t="s">
        <v>74</v>
      </c>
      <c r="X733" t="s">
        <v>1304</v>
      </c>
      <c r="AK733" s="5">
        <v>8.9285999999999994</v>
      </c>
      <c r="AN733" s="1">
        <v>1</v>
      </c>
      <c r="AO733" t="s">
        <v>81</v>
      </c>
      <c r="AP733" t="s">
        <v>82</v>
      </c>
      <c r="AQ733" t="s">
        <v>83</v>
      </c>
      <c r="AX733" s="3">
        <v>37226.03</v>
      </c>
      <c r="BB733" t="s">
        <v>84</v>
      </c>
    </row>
    <row r="734" spans="1:64" x14ac:dyDescent="0.25">
      <c r="A734" t="s">
        <v>1332</v>
      </c>
      <c r="B734" t="s">
        <v>1333</v>
      </c>
      <c r="C734" s="4">
        <f>(AA734*(H734*0.9))*12</f>
        <v>0</v>
      </c>
      <c r="D734" s="4" t="str">
        <f>IF(C734=0,"",(H734*150*12)+C734)</f>
        <v/>
      </c>
      <c r="E734" s="4" t="str">
        <f>IFERROR(D734*0.5,"")</f>
        <v/>
      </c>
      <c r="F734" s="4" t="str">
        <f>IFERROR(E734/0.06,"")</f>
        <v/>
      </c>
      <c r="G734" s="4" t="str">
        <f>IFERROR(F734/H734,"")</f>
        <v/>
      </c>
      <c r="H734" s="1">
        <v>64</v>
      </c>
      <c r="I734" s="1">
        <v>1985</v>
      </c>
      <c r="J734" t="s">
        <v>64</v>
      </c>
      <c r="K734" t="s">
        <v>288</v>
      </c>
      <c r="L734" t="s">
        <v>552</v>
      </c>
      <c r="N734" t="s">
        <v>1334</v>
      </c>
      <c r="O734" t="s">
        <v>552</v>
      </c>
      <c r="P734" s="1">
        <v>3</v>
      </c>
      <c r="Q734" t="s">
        <v>91</v>
      </c>
      <c r="R734" t="s">
        <v>70</v>
      </c>
      <c r="S734" t="s">
        <v>71</v>
      </c>
      <c r="U734" t="s">
        <v>1335</v>
      </c>
      <c r="V734" t="s">
        <v>152</v>
      </c>
      <c r="W734" t="s">
        <v>74</v>
      </c>
      <c r="X734" t="s">
        <v>1336</v>
      </c>
      <c r="AN734" s="1">
        <v>2</v>
      </c>
      <c r="AO734" t="s">
        <v>81</v>
      </c>
      <c r="AP734" t="s">
        <v>82</v>
      </c>
      <c r="AQ734" t="s">
        <v>83</v>
      </c>
      <c r="AX734" s="3">
        <v>145548.82999999999</v>
      </c>
      <c r="BB734" t="s">
        <v>84</v>
      </c>
      <c r="BG734" s="1">
        <v>48</v>
      </c>
      <c r="BH734" s="1">
        <v>16</v>
      </c>
    </row>
    <row r="735" spans="1:64" x14ac:dyDescent="0.25">
      <c r="A735" t="s">
        <v>1352</v>
      </c>
      <c r="B735" t="s">
        <v>1353</v>
      </c>
      <c r="C735" s="4">
        <f>(AA735*(H735*0.9))*12</f>
        <v>0</v>
      </c>
      <c r="D735" s="4" t="str">
        <f>IF(C735=0,"",(H735*150*12)+C735)</f>
        <v/>
      </c>
      <c r="E735" s="4" t="str">
        <f>IFERROR(D735*0.5,"")</f>
        <v/>
      </c>
      <c r="F735" s="4" t="str">
        <f>IFERROR(E735/0.06,"")</f>
        <v/>
      </c>
      <c r="G735" s="4" t="str">
        <f>IFERROR(F735/H735,"")</f>
        <v/>
      </c>
      <c r="H735" s="1">
        <v>184</v>
      </c>
      <c r="I735" s="1">
        <v>1985</v>
      </c>
      <c r="J735" t="s">
        <v>64</v>
      </c>
      <c r="K735" t="s">
        <v>734</v>
      </c>
      <c r="P735" s="1">
        <v>3</v>
      </c>
      <c r="Q735" t="s">
        <v>69</v>
      </c>
      <c r="R735" t="s">
        <v>70</v>
      </c>
      <c r="S735" t="s">
        <v>71</v>
      </c>
      <c r="U735" t="s">
        <v>72</v>
      </c>
      <c r="V735" t="s">
        <v>73</v>
      </c>
      <c r="W735" t="s">
        <v>74</v>
      </c>
      <c r="X735" t="s">
        <v>730</v>
      </c>
      <c r="AN735" s="1">
        <v>2</v>
      </c>
      <c r="AO735" t="s">
        <v>81</v>
      </c>
      <c r="AP735" t="s">
        <v>82</v>
      </c>
      <c r="AQ735" t="s">
        <v>83</v>
      </c>
      <c r="AX735" s="3">
        <v>53999.51</v>
      </c>
      <c r="BB735" t="s">
        <v>84</v>
      </c>
      <c r="BH735" s="1">
        <v>184</v>
      </c>
    </row>
    <row r="736" spans="1:64" x14ac:dyDescent="0.25">
      <c r="A736" t="s">
        <v>1369</v>
      </c>
      <c r="B736" t="s">
        <v>1370</v>
      </c>
      <c r="C736" s="4">
        <f>(AA736*(H736*0.9))*12</f>
        <v>0</v>
      </c>
      <c r="D736" s="4" t="str">
        <f>IF(C736=0,"",(H736*150*12)+C736)</f>
        <v/>
      </c>
      <c r="E736" s="4" t="str">
        <f>IFERROR(D736*0.5,"")</f>
        <v/>
      </c>
      <c r="F736" s="4" t="str">
        <f>IFERROR(E736/0.06,"")</f>
        <v/>
      </c>
      <c r="G736" s="4" t="str">
        <f>IFERROR(F736/H736,"")</f>
        <v/>
      </c>
      <c r="H736" s="1">
        <v>409</v>
      </c>
      <c r="I736" s="1">
        <v>1985</v>
      </c>
      <c r="J736" t="s">
        <v>64</v>
      </c>
      <c r="K736" t="s">
        <v>228</v>
      </c>
      <c r="L736" t="s">
        <v>866</v>
      </c>
      <c r="M736" t="s">
        <v>1371</v>
      </c>
      <c r="N736" t="s">
        <v>1372</v>
      </c>
      <c r="O736" t="s">
        <v>866</v>
      </c>
      <c r="P736" s="1">
        <v>2</v>
      </c>
      <c r="Q736" t="s">
        <v>69</v>
      </c>
      <c r="R736" t="s">
        <v>70</v>
      </c>
      <c r="S736" t="s">
        <v>127</v>
      </c>
      <c r="U736" t="s">
        <v>72</v>
      </c>
      <c r="V736" t="s">
        <v>152</v>
      </c>
      <c r="W736" t="s">
        <v>74</v>
      </c>
      <c r="X736" t="s">
        <v>1373</v>
      </c>
      <c r="AK736" s="5">
        <v>7.8239999999999998</v>
      </c>
      <c r="AN736" s="1">
        <v>1</v>
      </c>
      <c r="AO736" t="s">
        <v>81</v>
      </c>
      <c r="AP736" t="s">
        <v>82</v>
      </c>
      <c r="AQ736" t="s">
        <v>83</v>
      </c>
      <c r="AX736" s="3">
        <v>447996</v>
      </c>
      <c r="BB736" t="s">
        <v>84</v>
      </c>
    </row>
    <row r="737" spans="1:64" x14ac:dyDescent="0.25">
      <c r="A737" t="s">
        <v>1424</v>
      </c>
      <c r="B737" t="s">
        <v>1425</v>
      </c>
      <c r="C737" s="4">
        <f>(AA737*(H737*0.9))*12</f>
        <v>0</v>
      </c>
      <c r="D737" s="4" t="str">
        <f>IF(C737=0,"",(H737*150*12)+C737)</f>
        <v/>
      </c>
      <c r="E737" s="4" t="str">
        <f>IFERROR(D737*0.5,"")</f>
        <v/>
      </c>
      <c r="F737" s="4" t="str">
        <f>IFERROR(E737/0.06,"")</f>
        <v/>
      </c>
      <c r="G737" s="4" t="str">
        <f>IFERROR(F737/H737,"")</f>
        <v/>
      </c>
      <c r="H737" s="1">
        <v>56</v>
      </c>
      <c r="I737" s="1">
        <v>1990</v>
      </c>
      <c r="J737" t="s">
        <v>64</v>
      </c>
      <c r="K737" t="s">
        <v>140</v>
      </c>
      <c r="L737" t="s">
        <v>1426</v>
      </c>
      <c r="N737" t="s">
        <v>1426</v>
      </c>
      <c r="P737" s="1">
        <v>3</v>
      </c>
      <c r="Q737" t="s">
        <v>91</v>
      </c>
      <c r="R737" t="s">
        <v>70</v>
      </c>
      <c r="S737" t="s">
        <v>71</v>
      </c>
      <c r="U737" t="s">
        <v>72</v>
      </c>
      <c r="V737" t="s">
        <v>140</v>
      </c>
      <c r="W737" t="s">
        <v>74</v>
      </c>
      <c r="X737" t="s">
        <v>1427</v>
      </c>
      <c r="AN737" s="1">
        <v>2</v>
      </c>
      <c r="AO737" t="s">
        <v>81</v>
      </c>
      <c r="AP737" t="s">
        <v>82</v>
      </c>
      <c r="AQ737" t="s">
        <v>83</v>
      </c>
      <c r="AX737" s="3">
        <v>5435.55</v>
      </c>
      <c r="BB737" t="s">
        <v>84</v>
      </c>
    </row>
    <row r="738" spans="1:64" x14ac:dyDescent="0.25">
      <c r="A738" t="s">
        <v>1585</v>
      </c>
      <c r="B738" t="s">
        <v>1586</v>
      </c>
      <c r="C738" s="4">
        <f>(AA738*(H738*0.9))*12</f>
        <v>0</v>
      </c>
      <c r="D738" s="4" t="str">
        <f>IF(C738=0,"",(H738*150*12)+C738)</f>
        <v/>
      </c>
      <c r="E738" s="4" t="str">
        <f>IFERROR(D738*0.5,"")</f>
        <v/>
      </c>
      <c r="F738" s="4" t="str">
        <f>IFERROR(E738/0.06,"")</f>
        <v/>
      </c>
      <c r="G738" s="4" t="str">
        <f>IFERROR(F738/H738,"")</f>
        <v/>
      </c>
      <c r="H738" s="1">
        <v>87</v>
      </c>
      <c r="I738" s="1">
        <v>1985</v>
      </c>
      <c r="J738" t="s">
        <v>64</v>
      </c>
      <c r="K738" t="s">
        <v>501</v>
      </c>
      <c r="L738" t="s">
        <v>1587</v>
      </c>
      <c r="M738" t="s">
        <v>1588</v>
      </c>
      <c r="N738" t="s">
        <v>1587</v>
      </c>
      <c r="P738" s="1">
        <v>3</v>
      </c>
      <c r="Q738" t="s">
        <v>69</v>
      </c>
      <c r="R738" t="s">
        <v>70</v>
      </c>
      <c r="S738" t="s">
        <v>127</v>
      </c>
      <c r="U738" t="s">
        <v>72</v>
      </c>
      <c r="V738" t="s">
        <v>152</v>
      </c>
      <c r="W738" t="s">
        <v>74</v>
      </c>
      <c r="X738" t="s">
        <v>1589</v>
      </c>
      <c r="AK738" s="5">
        <v>9.1953999999999994</v>
      </c>
      <c r="AL738" s="1">
        <v>1</v>
      </c>
      <c r="AN738" s="1">
        <v>1</v>
      </c>
      <c r="AO738" t="s">
        <v>81</v>
      </c>
      <c r="AP738" t="s">
        <v>82</v>
      </c>
      <c r="AQ738" t="s">
        <v>83</v>
      </c>
      <c r="AX738" s="3">
        <v>85374.12</v>
      </c>
      <c r="BB738" t="s">
        <v>84</v>
      </c>
    </row>
    <row r="739" spans="1:64" x14ac:dyDescent="0.25">
      <c r="A739" t="s">
        <v>1750</v>
      </c>
      <c r="B739" t="s">
        <v>1751</v>
      </c>
      <c r="C739" s="4">
        <f>(AA739*(H739*0.9))*12</f>
        <v>0</v>
      </c>
      <c r="D739" s="4" t="str">
        <f>IF(C739=0,"",(H739*150*12)+C739)</f>
        <v/>
      </c>
      <c r="E739" s="4" t="str">
        <f>IFERROR(D739*0.5,"")</f>
        <v/>
      </c>
      <c r="F739" s="4" t="str">
        <f>IFERROR(E739/0.06,"")</f>
        <v/>
      </c>
      <c r="G739" s="4" t="str">
        <f>IFERROR(F739/H739,"")</f>
        <v/>
      </c>
      <c r="H739" s="1">
        <v>746</v>
      </c>
      <c r="I739" s="1">
        <v>1985</v>
      </c>
      <c r="J739" t="s">
        <v>64</v>
      </c>
      <c r="K739" t="s">
        <v>872</v>
      </c>
      <c r="L739" t="s">
        <v>1155</v>
      </c>
      <c r="M739" t="s">
        <v>1752</v>
      </c>
      <c r="N739" t="s">
        <v>1753</v>
      </c>
      <c r="O739" t="s">
        <v>1155</v>
      </c>
      <c r="P739" s="1">
        <v>3</v>
      </c>
      <c r="Q739" t="s">
        <v>69</v>
      </c>
      <c r="R739" t="s">
        <v>70</v>
      </c>
      <c r="S739" t="s">
        <v>127</v>
      </c>
      <c r="U739" t="s">
        <v>72</v>
      </c>
      <c r="V739" t="s">
        <v>710</v>
      </c>
      <c r="W739" t="s">
        <v>74</v>
      </c>
      <c r="X739" t="s">
        <v>1754</v>
      </c>
      <c r="AK739" s="5">
        <v>10.857900000000001</v>
      </c>
      <c r="AN739" s="1">
        <v>1</v>
      </c>
      <c r="AO739" t="s">
        <v>81</v>
      </c>
      <c r="AP739" t="s">
        <v>82</v>
      </c>
      <c r="AQ739" t="s">
        <v>83</v>
      </c>
      <c r="AX739" s="3">
        <v>434997.34</v>
      </c>
      <c r="BB739" t="s">
        <v>84</v>
      </c>
    </row>
    <row r="740" spans="1:64" x14ac:dyDescent="0.25">
      <c r="A740" t="s">
        <v>1808</v>
      </c>
      <c r="B740" t="s">
        <v>1809</v>
      </c>
      <c r="C740" s="4">
        <f>(AA740*(H740*0.9))*12</f>
        <v>0</v>
      </c>
      <c r="D740" s="4" t="str">
        <f>IF(C740=0,"",(H740*150*12)+C740)</f>
        <v/>
      </c>
      <c r="E740" s="4" t="str">
        <f>IFERROR(D740*0.5,"")</f>
        <v/>
      </c>
      <c r="F740" s="4" t="str">
        <f>IFERROR(E740/0.06,"")</f>
        <v/>
      </c>
      <c r="G740" s="4" t="str">
        <f>IFERROR(F740/H740,"")</f>
        <v/>
      </c>
      <c r="H740" s="1">
        <v>164</v>
      </c>
      <c r="I740" s="1">
        <v>1985</v>
      </c>
      <c r="J740" t="s">
        <v>64</v>
      </c>
      <c r="K740" t="s">
        <v>259</v>
      </c>
      <c r="L740" t="s">
        <v>1810</v>
      </c>
      <c r="N740" t="s">
        <v>1810</v>
      </c>
      <c r="P740" s="1">
        <v>3</v>
      </c>
      <c r="Q740" t="s">
        <v>91</v>
      </c>
      <c r="R740" t="s">
        <v>70</v>
      </c>
      <c r="S740" t="s">
        <v>71</v>
      </c>
      <c r="U740" t="s">
        <v>1335</v>
      </c>
      <c r="V740" t="s">
        <v>259</v>
      </c>
      <c r="W740" t="s">
        <v>74</v>
      </c>
      <c r="X740" t="s">
        <v>1811</v>
      </c>
      <c r="Y740" s="2">
        <v>776</v>
      </c>
      <c r="AM740" s="1">
        <v>2006</v>
      </c>
      <c r="AN740" s="1">
        <v>3</v>
      </c>
      <c r="AO740" t="s">
        <v>81</v>
      </c>
      <c r="AP740" t="s">
        <v>82</v>
      </c>
      <c r="AQ740" t="s">
        <v>83</v>
      </c>
      <c r="AT740" s="1">
        <v>920</v>
      </c>
      <c r="AX740" s="3">
        <v>176776.05</v>
      </c>
      <c r="BB740" t="s">
        <v>84</v>
      </c>
      <c r="BF740" s="1">
        <v>689</v>
      </c>
      <c r="BG740" s="1">
        <v>102</v>
      </c>
      <c r="BH740" s="1">
        <v>62</v>
      </c>
    </row>
    <row r="741" spans="1:64" x14ac:dyDescent="0.25">
      <c r="A741" t="s">
        <v>1828</v>
      </c>
      <c r="B741" t="s">
        <v>1829</v>
      </c>
      <c r="C741" s="4">
        <f>(AA741*(H741*0.9))*12</f>
        <v>0</v>
      </c>
      <c r="D741" s="4" t="str">
        <f>IF(C741=0,"",(H741*150*12)+C741)</f>
        <v/>
      </c>
      <c r="E741" s="4" t="str">
        <f>IFERROR(D741*0.5,"")</f>
        <v/>
      </c>
      <c r="F741" s="4" t="str">
        <f>IFERROR(E741/0.06,"")</f>
        <v/>
      </c>
      <c r="G741" s="4" t="str">
        <f>IFERROR(F741/H741,"")</f>
        <v/>
      </c>
      <c r="H741" s="1">
        <v>384</v>
      </c>
      <c r="I741" s="1">
        <v>1985</v>
      </c>
      <c r="J741" t="s">
        <v>64</v>
      </c>
      <c r="K741" t="s">
        <v>215</v>
      </c>
      <c r="L741" t="s">
        <v>1155</v>
      </c>
      <c r="M741" t="s">
        <v>1830</v>
      </c>
      <c r="N741" t="s">
        <v>866</v>
      </c>
      <c r="O741" t="s">
        <v>1155</v>
      </c>
      <c r="P741" s="1">
        <v>2</v>
      </c>
      <c r="Q741" t="s">
        <v>69</v>
      </c>
      <c r="R741" t="s">
        <v>70</v>
      </c>
      <c r="S741" t="s">
        <v>127</v>
      </c>
      <c r="U741" t="s">
        <v>72</v>
      </c>
      <c r="V741" t="s">
        <v>215</v>
      </c>
      <c r="W741" t="s">
        <v>74</v>
      </c>
      <c r="X741" t="s">
        <v>1831</v>
      </c>
      <c r="AK741" s="5">
        <v>13.802099999999999</v>
      </c>
      <c r="AN741" s="1">
        <v>1</v>
      </c>
      <c r="AO741" t="s">
        <v>81</v>
      </c>
      <c r="AP741" t="s">
        <v>82</v>
      </c>
      <c r="AQ741" t="s">
        <v>83</v>
      </c>
      <c r="AX741" s="3">
        <v>364949.67</v>
      </c>
      <c r="BB741" t="s">
        <v>84</v>
      </c>
    </row>
    <row r="742" spans="1:64" x14ac:dyDescent="0.25">
      <c r="A742" t="s">
        <v>1837</v>
      </c>
      <c r="B742" t="s">
        <v>1838</v>
      </c>
      <c r="C742" s="4">
        <f>(AA742*(H742*0.9))*12</f>
        <v>0</v>
      </c>
      <c r="D742" s="4" t="str">
        <f>IF(C742=0,"",(H742*150*12)+C742)</f>
        <v/>
      </c>
      <c r="E742" s="4" t="str">
        <f>IFERROR(D742*0.5,"")</f>
        <v/>
      </c>
      <c r="F742" s="4" t="str">
        <f>IFERROR(E742/0.06,"")</f>
        <v/>
      </c>
      <c r="G742" s="4" t="str">
        <f>IFERROR(F742/H742,"")</f>
        <v/>
      </c>
      <c r="H742" s="1">
        <v>80</v>
      </c>
      <c r="I742" s="1">
        <v>1990</v>
      </c>
      <c r="J742" t="s">
        <v>64</v>
      </c>
      <c r="K742" t="s">
        <v>140</v>
      </c>
      <c r="L742" t="s">
        <v>1839</v>
      </c>
      <c r="N742" t="s">
        <v>1839</v>
      </c>
      <c r="P742" s="1">
        <v>3</v>
      </c>
      <c r="Q742" t="s">
        <v>91</v>
      </c>
      <c r="R742" t="s">
        <v>70</v>
      </c>
      <c r="S742" t="s">
        <v>71</v>
      </c>
      <c r="U742" t="s">
        <v>72</v>
      </c>
      <c r="V742" t="s">
        <v>140</v>
      </c>
      <c r="W742" t="s">
        <v>74</v>
      </c>
      <c r="X742" t="s">
        <v>165</v>
      </c>
      <c r="AN742" s="1">
        <v>2</v>
      </c>
      <c r="AO742" t="s">
        <v>81</v>
      </c>
      <c r="AP742" t="s">
        <v>82</v>
      </c>
      <c r="AQ742" t="s">
        <v>83</v>
      </c>
      <c r="AX742" s="3">
        <v>16770.75</v>
      </c>
      <c r="BB742" t="s">
        <v>84</v>
      </c>
    </row>
    <row r="743" spans="1:64" x14ac:dyDescent="0.25">
      <c r="A743" t="s">
        <v>1850</v>
      </c>
      <c r="B743" t="s">
        <v>1851</v>
      </c>
      <c r="C743" s="4">
        <f>(AA743*(H743*0.9))*12</f>
        <v>0</v>
      </c>
      <c r="D743" s="4" t="str">
        <f>IF(C743=0,"",(H743*150*12)+C743)</f>
        <v/>
      </c>
      <c r="E743" s="4" t="str">
        <f>IFERROR(D743*0.5,"")</f>
        <v/>
      </c>
      <c r="F743" s="4" t="str">
        <f>IFERROR(E743/0.06,"")</f>
        <v/>
      </c>
      <c r="G743" s="4" t="str">
        <f>IFERROR(F743/H743,"")</f>
        <v/>
      </c>
      <c r="H743" s="1">
        <v>58</v>
      </c>
      <c r="I743" s="1">
        <v>1985</v>
      </c>
      <c r="J743" t="s">
        <v>64</v>
      </c>
      <c r="K743" t="s">
        <v>87</v>
      </c>
      <c r="L743" t="s">
        <v>1852</v>
      </c>
      <c r="N743" t="s">
        <v>1852</v>
      </c>
      <c r="P743" s="1">
        <v>3</v>
      </c>
      <c r="Q743" t="s">
        <v>91</v>
      </c>
      <c r="R743" t="s">
        <v>70</v>
      </c>
      <c r="S743" t="s">
        <v>71</v>
      </c>
      <c r="U743" t="s">
        <v>72</v>
      </c>
      <c r="V743" t="s">
        <v>73</v>
      </c>
      <c r="W743" t="s">
        <v>74</v>
      </c>
      <c r="X743" t="s">
        <v>92</v>
      </c>
      <c r="Y743" s="2">
        <v>900</v>
      </c>
      <c r="AN743" s="1">
        <v>2</v>
      </c>
      <c r="AO743" t="s">
        <v>81</v>
      </c>
      <c r="AP743" t="s">
        <v>82</v>
      </c>
      <c r="AQ743" t="s">
        <v>83</v>
      </c>
      <c r="AX743" s="3">
        <v>30015.79</v>
      </c>
      <c r="BB743" t="s">
        <v>84</v>
      </c>
      <c r="BF743" s="1">
        <v>900</v>
      </c>
      <c r="BG743" s="1">
        <v>58</v>
      </c>
    </row>
    <row r="744" spans="1:64" x14ac:dyDescent="0.25">
      <c r="A744" t="s">
        <v>1940</v>
      </c>
      <c r="C744" s="4">
        <f>(AA744*(H744*0.9))*12</f>
        <v>0</v>
      </c>
      <c r="D744" s="4" t="str">
        <f>IF(C744=0,"",(H744*150*12)+C744)</f>
        <v/>
      </c>
      <c r="E744" s="4" t="str">
        <f>IFERROR(D744*0.5,"")</f>
        <v/>
      </c>
      <c r="F744" s="4" t="str">
        <f>IFERROR(E744/0.06,"")</f>
        <v/>
      </c>
      <c r="G744" s="4" t="str">
        <f>IFERROR(F744/H744,"")</f>
        <v/>
      </c>
      <c r="H744" s="1">
        <v>65</v>
      </c>
      <c r="I744" s="1">
        <v>1990</v>
      </c>
      <c r="J744" t="s">
        <v>64</v>
      </c>
      <c r="K744" t="s">
        <v>97</v>
      </c>
      <c r="L744" t="s">
        <v>1941</v>
      </c>
      <c r="N744" t="s">
        <v>1942</v>
      </c>
      <c r="O744" t="s">
        <v>1941</v>
      </c>
      <c r="P744" s="1">
        <v>3</v>
      </c>
      <c r="Q744" t="s">
        <v>91</v>
      </c>
      <c r="R744" t="s">
        <v>70</v>
      </c>
      <c r="S744" t="s">
        <v>127</v>
      </c>
      <c r="U744" t="s">
        <v>72</v>
      </c>
      <c r="V744" t="s">
        <v>1943</v>
      </c>
      <c r="W744" t="s">
        <v>74</v>
      </c>
      <c r="X744" t="s">
        <v>1944</v>
      </c>
      <c r="AK744" s="5">
        <v>9.2308000000000003</v>
      </c>
      <c r="AN744" s="1">
        <v>1</v>
      </c>
      <c r="AO744" t="s">
        <v>81</v>
      </c>
      <c r="AP744" t="s">
        <v>82</v>
      </c>
      <c r="AQ744" t="s">
        <v>83</v>
      </c>
      <c r="AX744" s="3">
        <v>46727.49</v>
      </c>
      <c r="BB744" t="s">
        <v>84</v>
      </c>
      <c r="BG744" s="1">
        <v>65</v>
      </c>
    </row>
    <row r="745" spans="1:64" x14ac:dyDescent="0.25">
      <c r="A745" t="s">
        <v>1969</v>
      </c>
      <c r="B745" t="s">
        <v>1970</v>
      </c>
      <c r="C745" s="4">
        <f>(AA745*(H745*0.9))*12</f>
        <v>0</v>
      </c>
      <c r="D745" s="4" t="str">
        <f>IF(C745=0,"",(H745*150*12)+C745)</f>
        <v/>
      </c>
      <c r="E745" s="4" t="str">
        <f>IFERROR(D745*0.5,"")</f>
        <v/>
      </c>
      <c r="F745" s="4" t="str">
        <f>IFERROR(E745/0.06,"")</f>
        <v/>
      </c>
      <c r="G745" s="4" t="str">
        <f>IFERROR(F745/H745,"")</f>
        <v/>
      </c>
      <c r="H745" s="1">
        <v>179</v>
      </c>
      <c r="I745" s="1">
        <v>1985</v>
      </c>
      <c r="J745" t="s">
        <v>64</v>
      </c>
      <c r="K745" t="s">
        <v>501</v>
      </c>
      <c r="L745" t="s">
        <v>1941</v>
      </c>
      <c r="N745" t="s">
        <v>1971</v>
      </c>
      <c r="O745" t="s">
        <v>1941</v>
      </c>
      <c r="P745" s="1">
        <v>3</v>
      </c>
      <c r="Q745" t="s">
        <v>69</v>
      </c>
      <c r="R745" t="s">
        <v>70</v>
      </c>
      <c r="S745" t="s">
        <v>127</v>
      </c>
      <c r="T745" t="s">
        <v>128</v>
      </c>
      <c r="U745" t="s">
        <v>72</v>
      </c>
      <c r="V745" t="s">
        <v>152</v>
      </c>
      <c r="W745" t="s">
        <v>74</v>
      </c>
      <c r="X745" t="s">
        <v>1972</v>
      </c>
      <c r="AK745" s="5">
        <v>8.3798999999999992</v>
      </c>
      <c r="AN745" s="1">
        <v>1</v>
      </c>
      <c r="AO745" t="s">
        <v>81</v>
      </c>
      <c r="AP745" t="s">
        <v>82</v>
      </c>
      <c r="AQ745" t="s">
        <v>83</v>
      </c>
      <c r="BB745" t="s">
        <v>84</v>
      </c>
      <c r="BG745" s="1">
        <v>179</v>
      </c>
      <c r="BK745" t="s">
        <v>1973</v>
      </c>
      <c r="BL745" t="s">
        <v>131</v>
      </c>
    </row>
    <row r="746" spans="1:64" x14ac:dyDescent="0.25">
      <c r="A746" t="s">
        <v>2025</v>
      </c>
      <c r="B746" t="s">
        <v>2026</v>
      </c>
      <c r="C746" s="4">
        <f>(AA746*(H746*0.9))*12</f>
        <v>0</v>
      </c>
      <c r="D746" s="4" t="str">
        <f>IF(C746=0,"",(H746*150*12)+C746)</f>
        <v/>
      </c>
      <c r="E746" s="4" t="str">
        <f>IFERROR(D746*0.5,"")</f>
        <v/>
      </c>
      <c r="F746" s="4" t="str">
        <f>IFERROR(E746/0.06,"")</f>
        <v/>
      </c>
      <c r="G746" s="4" t="str">
        <f>IFERROR(F746/H746,"")</f>
        <v/>
      </c>
      <c r="H746" s="1">
        <v>331</v>
      </c>
      <c r="I746" s="1">
        <v>1987</v>
      </c>
      <c r="J746" t="s">
        <v>64</v>
      </c>
      <c r="K746" t="s">
        <v>2027</v>
      </c>
      <c r="L746" t="s">
        <v>1155</v>
      </c>
      <c r="M746" t="s">
        <v>2028</v>
      </c>
      <c r="O746" t="s">
        <v>1155</v>
      </c>
      <c r="P746" s="1">
        <v>2</v>
      </c>
      <c r="Q746" t="s">
        <v>69</v>
      </c>
      <c r="R746" t="s">
        <v>70</v>
      </c>
      <c r="S746" t="s">
        <v>127</v>
      </c>
      <c r="U746" t="s">
        <v>72</v>
      </c>
      <c r="V746" t="s">
        <v>710</v>
      </c>
      <c r="W746" t="s">
        <v>74</v>
      </c>
      <c r="X746" t="s">
        <v>2029</v>
      </c>
      <c r="AK746" s="5">
        <v>10.876099999999999</v>
      </c>
      <c r="AO746" t="s">
        <v>81</v>
      </c>
      <c r="AP746" t="s">
        <v>82</v>
      </c>
      <c r="AQ746" t="s">
        <v>83</v>
      </c>
      <c r="BB746" t="s">
        <v>84</v>
      </c>
    </row>
    <row r="747" spans="1:64" x14ac:dyDescent="0.25">
      <c r="A747" t="s">
        <v>2030</v>
      </c>
      <c r="B747" t="s">
        <v>2031</v>
      </c>
      <c r="C747" s="4">
        <f>(AA747*(H747*0.9))*12</f>
        <v>0</v>
      </c>
      <c r="D747" s="4" t="str">
        <f>IF(C747=0,"",(H747*150*12)+C747)</f>
        <v/>
      </c>
      <c r="E747" s="4" t="str">
        <f>IFERROR(D747*0.5,"")</f>
        <v/>
      </c>
      <c r="F747" s="4" t="str">
        <f>IFERROR(E747/0.06,"")</f>
        <v/>
      </c>
      <c r="G747" s="4" t="str">
        <f>IFERROR(F747/H747,"")</f>
        <v/>
      </c>
      <c r="H747" s="1">
        <v>111</v>
      </c>
      <c r="I747" s="1">
        <v>1985</v>
      </c>
      <c r="J747" t="s">
        <v>64</v>
      </c>
      <c r="K747" t="s">
        <v>264</v>
      </c>
      <c r="L747" t="s">
        <v>2032</v>
      </c>
      <c r="N747" t="s">
        <v>2033</v>
      </c>
      <c r="O747" t="s">
        <v>2032</v>
      </c>
      <c r="P747" s="1">
        <v>3</v>
      </c>
      <c r="Q747" t="s">
        <v>69</v>
      </c>
      <c r="R747" t="s">
        <v>70</v>
      </c>
      <c r="S747" t="s">
        <v>127</v>
      </c>
      <c r="U747" t="s">
        <v>72</v>
      </c>
      <c r="V747" t="s">
        <v>531</v>
      </c>
      <c r="W747" t="s">
        <v>74</v>
      </c>
      <c r="X747" t="s">
        <v>2034</v>
      </c>
      <c r="AK747" s="5">
        <v>9.0090000000000003</v>
      </c>
      <c r="AN747" s="1">
        <v>1</v>
      </c>
      <c r="AO747" t="s">
        <v>81</v>
      </c>
      <c r="AP747" t="s">
        <v>82</v>
      </c>
      <c r="AQ747" t="s">
        <v>83</v>
      </c>
      <c r="AX747" s="3">
        <v>323338.84999999998</v>
      </c>
      <c r="BB747" t="s">
        <v>84</v>
      </c>
      <c r="BG747" s="1">
        <v>111</v>
      </c>
    </row>
    <row r="748" spans="1:64" x14ac:dyDescent="0.25">
      <c r="A748" t="s">
        <v>2035</v>
      </c>
      <c r="B748" t="s">
        <v>2036</v>
      </c>
      <c r="C748" s="4">
        <f>(AA748*(H748*0.9))*12</f>
        <v>0</v>
      </c>
      <c r="D748" s="4" t="str">
        <f>IF(C748=0,"",(H748*150*12)+C748)</f>
        <v/>
      </c>
      <c r="E748" s="4" t="str">
        <f>IFERROR(D748*0.5,"")</f>
        <v/>
      </c>
      <c r="F748" s="4" t="str">
        <f>IFERROR(E748/0.06,"")</f>
        <v/>
      </c>
      <c r="G748" s="4" t="str">
        <f>IFERROR(F748/H748,"")</f>
        <v/>
      </c>
      <c r="H748" s="1">
        <v>111</v>
      </c>
      <c r="I748" s="1">
        <v>1989</v>
      </c>
      <c r="J748" t="s">
        <v>64</v>
      </c>
      <c r="K748" t="s">
        <v>123</v>
      </c>
      <c r="L748" t="s">
        <v>2032</v>
      </c>
      <c r="N748" t="s">
        <v>2037</v>
      </c>
      <c r="O748" t="s">
        <v>2032</v>
      </c>
      <c r="P748" s="1">
        <v>3</v>
      </c>
      <c r="Q748" t="s">
        <v>91</v>
      </c>
      <c r="R748" t="s">
        <v>70</v>
      </c>
      <c r="S748" t="s">
        <v>127</v>
      </c>
      <c r="U748" t="s">
        <v>72</v>
      </c>
      <c r="V748" t="s">
        <v>2038</v>
      </c>
      <c r="W748" t="s">
        <v>74</v>
      </c>
      <c r="X748" t="s">
        <v>2039</v>
      </c>
      <c r="AK748" s="5">
        <v>8.1081000000000003</v>
      </c>
      <c r="AN748" s="1">
        <v>1</v>
      </c>
      <c r="AO748" t="s">
        <v>81</v>
      </c>
      <c r="AP748" t="s">
        <v>82</v>
      </c>
      <c r="AQ748" t="s">
        <v>83</v>
      </c>
      <c r="AX748" s="3">
        <v>99903.32</v>
      </c>
      <c r="BB748" t="s">
        <v>84</v>
      </c>
    </row>
    <row r="749" spans="1:64" x14ac:dyDescent="0.25">
      <c r="A749" t="s">
        <v>2040</v>
      </c>
      <c r="B749" t="s">
        <v>1751</v>
      </c>
      <c r="C749" s="4">
        <f>(AA749*(H749*0.9))*12</f>
        <v>0</v>
      </c>
      <c r="D749" s="4" t="str">
        <f>IF(C749=0,"",(H749*150*12)+C749)</f>
        <v/>
      </c>
      <c r="E749" s="4" t="str">
        <f>IFERROR(D749*0.5,"")</f>
        <v/>
      </c>
      <c r="F749" s="4" t="str">
        <f>IFERROR(E749/0.06,"")</f>
        <v/>
      </c>
      <c r="G749" s="4" t="str">
        <f>IFERROR(F749/H749,"")</f>
        <v/>
      </c>
      <c r="H749" s="1">
        <v>356</v>
      </c>
      <c r="I749" s="1">
        <v>1989</v>
      </c>
      <c r="J749" t="s">
        <v>64</v>
      </c>
      <c r="K749" t="s">
        <v>215</v>
      </c>
      <c r="L749" t="s">
        <v>1155</v>
      </c>
      <c r="M749" t="s">
        <v>1752</v>
      </c>
      <c r="N749" t="s">
        <v>2041</v>
      </c>
      <c r="O749" t="s">
        <v>1155</v>
      </c>
      <c r="P749" s="1">
        <v>2</v>
      </c>
      <c r="Q749" t="s">
        <v>69</v>
      </c>
      <c r="R749" t="s">
        <v>70</v>
      </c>
      <c r="S749" t="s">
        <v>127</v>
      </c>
      <c r="U749" t="s">
        <v>72</v>
      </c>
      <c r="V749" t="s">
        <v>215</v>
      </c>
      <c r="W749" t="s">
        <v>74</v>
      </c>
      <c r="X749" t="s">
        <v>2042</v>
      </c>
      <c r="AK749" s="5">
        <v>13.763999999999999</v>
      </c>
      <c r="AN749" s="1">
        <v>1</v>
      </c>
      <c r="AO749" t="s">
        <v>81</v>
      </c>
      <c r="AP749" t="s">
        <v>82</v>
      </c>
      <c r="AQ749" t="s">
        <v>83</v>
      </c>
      <c r="AX749" s="3">
        <v>258529.4</v>
      </c>
      <c r="BB749" t="s">
        <v>84</v>
      </c>
    </row>
    <row r="750" spans="1:64" x14ac:dyDescent="0.25">
      <c r="A750" t="s">
        <v>2043</v>
      </c>
      <c r="B750" t="s">
        <v>2044</v>
      </c>
      <c r="C750" s="4">
        <f>(AA750*(H750*0.9))*12</f>
        <v>0</v>
      </c>
      <c r="D750" s="4" t="str">
        <f>IF(C750=0,"",(H750*150*12)+C750)</f>
        <v/>
      </c>
      <c r="E750" s="4" t="str">
        <f>IFERROR(D750*0.5,"")</f>
        <v/>
      </c>
      <c r="F750" s="4" t="str">
        <f>IFERROR(E750/0.06,"")</f>
        <v/>
      </c>
      <c r="G750" s="4" t="str">
        <f>IFERROR(F750/H750,"")</f>
        <v/>
      </c>
      <c r="H750" s="1">
        <v>205</v>
      </c>
      <c r="I750" s="1">
        <v>1990</v>
      </c>
      <c r="J750" t="s">
        <v>64</v>
      </c>
      <c r="K750" t="s">
        <v>97</v>
      </c>
      <c r="L750" t="s">
        <v>1941</v>
      </c>
      <c r="N750" t="s">
        <v>2045</v>
      </c>
      <c r="O750" t="s">
        <v>1941</v>
      </c>
      <c r="P750" s="1">
        <v>2</v>
      </c>
      <c r="Q750" t="s">
        <v>69</v>
      </c>
      <c r="R750" t="s">
        <v>70</v>
      </c>
      <c r="S750" t="s">
        <v>127</v>
      </c>
      <c r="U750" t="s">
        <v>72</v>
      </c>
      <c r="V750" t="s">
        <v>2046</v>
      </c>
      <c r="W750" t="s">
        <v>74</v>
      </c>
      <c r="X750" t="s">
        <v>2047</v>
      </c>
      <c r="AK750" s="5">
        <v>9.2683</v>
      </c>
      <c r="AO750" t="s">
        <v>81</v>
      </c>
      <c r="AP750" t="s">
        <v>82</v>
      </c>
      <c r="AQ750" t="s">
        <v>83</v>
      </c>
      <c r="AX750" s="3">
        <v>318421.59999999998</v>
      </c>
      <c r="BB750" t="s">
        <v>84</v>
      </c>
      <c r="BH750" s="1">
        <v>205</v>
      </c>
      <c r="BL750" t="s">
        <v>131</v>
      </c>
    </row>
    <row r="751" spans="1:64" x14ac:dyDescent="0.25">
      <c r="A751" t="s">
        <v>2048</v>
      </c>
      <c r="B751" t="s">
        <v>2049</v>
      </c>
      <c r="C751" s="4">
        <f>(AA751*(H751*0.9))*12</f>
        <v>0</v>
      </c>
      <c r="D751" s="4" t="str">
        <f>IF(C751=0,"",(H751*150*12)+C751)</f>
        <v/>
      </c>
      <c r="E751" s="4" t="str">
        <f>IFERROR(D751*0.5,"")</f>
        <v/>
      </c>
      <c r="F751" s="4" t="str">
        <f>IFERROR(E751/0.06,"")</f>
        <v/>
      </c>
      <c r="G751" s="4" t="str">
        <f>IFERROR(F751/H751,"")</f>
        <v/>
      </c>
      <c r="H751" s="1">
        <v>76</v>
      </c>
      <c r="I751" s="1">
        <v>1998</v>
      </c>
      <c r="J751" t="s">
        <v>64</v>
      </c>
      <c r="K751" t="s">
        <v>215</v>
      </c>
      <c r="L751" t="s">
        <v>2050</v>
      </c>
      <c r="M751" t="s">
        <v>2051</v>
      </c>
      <c r="O751" t="s">
        <v>2050</v>
      </c>
      <c r="P751" s="1">
        <v>3</v>
      </c>
      <c r="Q751" t="s">
        <v>91</v>
      </c>
      <c r="R751" t="s">
        <v>70</v>
      </c>
      <c r="S751" t="s">
        <v>71</v>
      </c>
      <c r="U751" t="s">
        <v>72</v>
      </c>
      <c r="V751" t="s">
        <v>152</v>
      </c>
      <c r="W751" t="s">
        <v>74</v>
      </c>
      <c r="X751" t="s">
        <v>2052</v>
      </c>
      <c r="AN751" s="1">
        <v>10</v>
      </c>
      <c r="AO751" t="s">
        <v>81</v>
      </c>
      <c r="AP751" t="s">
        <v>82</v>
      </c>
      <c r="AQ751" t="s">
        <v>83</v>
      </c>
      <c r="AX751" s="3">
        <v>36097.83</v>
      </c>
      <c r="BB751" t="s">
        <v>2053</v>
      </c>
      <c r="BG751" s="1">
        <v>76</v>
      </c>
    </row>
    <row r="752" spans="1:64" x14ac:dyDescent="0.25">
      <c r="A752" t="s">
        <v>2073</v>
      </c>
      <c r="B752" t="s">
        <v>2074</v>
      </c>
      <c r="C752" s="4">
        <f>(AA752*(H752*0.9))*12</f>
        <v>0</v>
      </c>
      <c r="D752" s="4" t="str">
        <f>IF(C752=0,"",(H752*150*12)+C752)</f>
        <v/>
      </c>
      <c r="E752" s="4" t="str">
        <f>IFERROR(D752*0.5,"")</f>
        <v/>
      </c>
      <c r="F752" s="4" t="str">
        <f>IFERROR(E752/0.06,"")</f>
        <v/>
      </c>
      <c r="G752" s="4" t="str">
        <f>IFERROR(F752/H752,"")</f>
        <v/>
      </c>
      <c r="H752" s="1">
        <v>149</v>
      </c>
      <c r="I752" s="1">
        <v>1999</v>
      </c>
      <c r="J752" t="s">
        <v>64</v>
      </c>
      <c r="K752" t="s">
        <v>140</v>
      </c>
      <c r="L752" t="s">
        <v>1155</v>
      </c>
      <c r="M752" t="s">
        <v>2075</v>
      </c>
      <c r="N752" t="s">
        <v>2076</v>
      </c>
      <c r="O752" t="s">
        <v>1155</v>
      </c>
      <c r="P752" s="1">
        <v>2</v>
      </c>
      <c r="Q752" t="s">
        <v>69</v>
      </c>
      <c r="R752" t="s">
        <v>70</v>
      </c>
      <c r="S752" t="s">
        <v>127</v>
      </c>
      <c r="U752" t="s">
        <v>72</v>
      </c>
      <c r="V752" t="s">
        <v>140</v>
      </c>
      <c r="W752" t="s">
        <v>74</v>
      </c>
      <c r="X752" t="s">
        <v>1050</v>
      </c>
      <c r="Y752" s="2">
        <v>1400</v>
      </c>
      <c r="AK752" s="5">
        <v>7.3826000000000001</v>
      </c>
      <c r="AN752" s="1">
        <v>1</v>
      </c>
      <c r="AO752" t="s">
        <v>81</v>
      </c>
      <c r="AP752" t="s">
        <v>82</v>
      </c>
      <c r="AQ752" t="s">
        <v>83</v>
      </c>
      <c r="AW752" s="1">
        <v>1400</v>
      </c>
      <c r="AX752" s="3">
        <v>88766.89</v>
      </c>
      <c r="BB752" t="s">
        <v>84</v>
      </c>
      <c r="BI752" s="1">
        <v>149</v>
      </c>
    </row>
    <row r="753" spans="1:64" x14ac:dyDescent="0.25">
      <c r="A753" t="s">
        <v>2112</v>
      </c>
      <c r="B753" t="s">
        <v>2113</v>
      </c>
      <c r="C753" s="4">
        <f>(AA753*(H753*0.9))*12</f>
        <v>0</v>
      </c>
      <c r="D753" s="4" t="str">
        <f>IF(C753=0,"",(H753*150*12)+C753)</f>
        <v/>
      </c>
      <c r="E753" s="4" t="str">
        <f>IFERROR(D753*0.5,"")</f>
        <v/>
      </c>
      <c r="F753" s="4" t="str">
        <f>IFERROR(E753/0.06,"")</f>
        <v/>
      </c>
      <c r="G753" s="4" t="str">
        <f>IFERROR(F753/H753,"")</f>
        <v/>
      </c>
      <c r="H753" s="1">
        <v>167</v>
      </c>
      <c r="I753" s="1">
        <v>1996</v>
      </c>
      <c r="J753" t="s">
        <v>64</v>
      </c>
      <c r="K753" t="s">
        <v>140</v>
      </c>
      <c r="L753" t="s">
        <v>1047</v>
      </c>
      <c r="M753" t="s">
        <v>1047</v>
      </c>
      <c r="N753" t="s">
        <v>2114</v>
      </c>
      <c r="O753" t="s">
        <v>1047</v>
      </c>
      <c r="P753" s="1">
        <v>3</v>
      </c>
      <c r="Q753" t="s">
        <v>91</v>
      </c>
      <c r="R753" t="s">
        <v>70</v>
      </c>
      <c r="S753" t="s">
        <v>71</v>
      </c>
      <c r="T753" t="s">
        <v>426</v>
      </c>
      <c r="U753" t="s">
        <v>72</v>
      </c>
      <c r="V753" t="s">
        <v>140</v>
      </c>
      <c r="W753" t="s">
        <v>74</v>
      </c>
      <c r="X753" t="s">
        <v>2115</v>
      </c>
      <c r="Y753" s="2">
        <v>520</v>
      </c>
      <c r="AK753" s="5">
        <v>6.5868000000000002</v>
      </c>
      <c r="AN753" s="1">
        <v>1</v>
      </c>
      <c r="AO753" t="s">
        <v>81</v>
      </c>
      <c r="AP753" t="s">
        <v>82</v>
      </c>
      <c r="AQ753" t="s">
        <v>83</v>
      </c>
      <c r="AX753" s="3">
        <v>84428.72</v>
      </c>
      <c r="BB753" t="s">
        <v>84</v>
      </c>
      <c r="BF753" s="1">
        <v>520</v>
      </c>
      <c r="BG753" s="1">
        <v>167</v>
      </c>
    </row>
    <row r="754" spans="1:64" x14ac:dyDescent="0.25">
      <c r="A754" t="s">
        <v>2154</v>
      </c>
      <c r="B754" t="s">
        <v>2155</v>
      </c>
      <c r="C754" s="4">
        <f>(AA754*(H754*0.9))*12</f>
        <v>0</v>
      </c>
      <c r="D754" s="4" t="str">
        <f>IF(C754=0,"",(H754*150*12)+C754)</f>
        <v/>
      </c>
      <c r="E754" s="4" t="str">
        <f>IFERROR(D754*0.5,"")</f>
        <v/>
      </c>
      <c r="F754" s="4" t="str">
        <f>IFERROR(E754/0.06,"")</f>
        <v/>
      </c>
      <c r="G754" s="4" t="str">
        <f>IFERROR(F754/H754,"")</f>
        <v/>
      </c>
      <c r="H754" s="1">
        <v>75</v>
      </c>
      <c r="I754" s="1">
        <v>1999</v>
      </c>
      <c r="J754" t="s">
        <v>64</v>
      </c>
      <c r="K754" t="s">
        <v>198</v>
      </c>
      <c r="L754" t="s">
        <v>2156</v>
      </c>
      <c r="N754" t="s">
        <v>2156</v>
      </c>
      <c r="P754" s="1">
        <v>2</v>
      </c>
      <c r="Q754" t="s">
        <v>69</v>
      </c>
      <c r="R754" t="s">
        <v>70</v>
      </c>
      <c r="S754" t="s">
        <v>71</v>
      </c>
      <c r="U754" t="s">
        <v>72</v>
      </c>
      <c r="V754" t="s">
        <v>110</v>
      </c>
      <c r="W754" t="s">
        <v>74</v>
      </c>
      <c r="X754" t="s">
        <v>202</v>
      </c>
      <c r="Y754" s="2">
        <v>800</v>
      </c>
      <c r="AN754" s="1">
        <v>3</v>
      </c>
      <c r="AO754" t="s">
        <v>81</v>
      </c>
      <c r="AP754" t="s">
        <v>82</v>
      </c>
      <c r="AQ754" t="s">
        <v>83</v>
      </c>
      <c r="AX754" s="3">
        <v>6447.77</v>
      </c>
      <c r="BB754" t="s">
        <v>84</v>
      </c>
      <c r="BF754" s="1">
        <v>800</v>
      </c>
      <c r="BG754" s="1">
        <v>75</v>
      </c>
    </row>
    <row r="755" spans="1:64" x14ac:dyDescent="0.25">
      <c r="A755" t="s">
        <v>2209</v>
      </c>
      <c r="B755" t="s">
        <v>2210</v>
      </c>
      <c r="C755" s="4">
        <f>(AA755*(H755*0.9))*12</f>
        <v>0</v>
      </c>
      <c r="D755" s="4" t="str">
        <f>IF(C755=0,"",(H755*150*12)+C755)</f>
        <v/>
      </c>
      <c r="E755" s="4" t="str">
        <f>IFERROR(D755*0.5,"")</f>
        <v/>
      </c>
      <c r="F755" s="4" t="str">
        <f>IFERROR(E755/0.06,"")</f>
        <v/>
      </c>
      <c r="G755" s="4" t="str">
        <f>IFERROR(F755/H755,"")</f>
        <v/>
      </c>
      <c r="H755" s="1">
        <v>56</v>
      </c>
      <c r="I755" s="1">
        <v>1996</v>
      </c>
      <c r="J755" t="s">
        <v>64</v>
      </c>
      <c r="K755" t="s">
        <v>264</v>
      </c>
      <c r="L755" t="s">
        <v>2211</v>
      </c>
      <c r="N755" t="s">
        <v>2212</v>
      </c>
      <c r="O755" t="s">
        <v>2211</v>
      </c>
      <c r="P755" s="1">
        <v>2</v>
      </c>
      <c r="Q755" t="s">
        <v>69</v>
      </c>
      <c r="R755" t="s">
        <v>70</v>
      </c>
      <c r="S755" t="s">
        <v>127</v>
      </c>
      <c r="U755" t="s">
        <v>72</v>
      </c>
      <c r="V755" t="s">
        <v>264</v>
      </c>
      <c r="W755" t="s">
        <v>74</v>
      </c>
      <c r="X755" t="s">
        <v>2213</v>
      </c>
      <c r="AK755" s="5">
        <v>8.9285999999999994</v>
      </c>
      <c r="AN755" s="1">
        <v>1</v>
      </c>
      <c r="AO755" t="s">
        <v>81</v>
      </c>
      <c r="AP755" t="s">
        <v>82</v>
      </c>
      <c r="AQ755" t="s">
        <v>83</v>
      </c>
      <c r="AX755" s="3">
        <v>0</v>
      </c>
      <c r="BB755" t="s">
        <v>84</v>
      </c>
    </row>
    <row r="756" spans="1:64" x14ac:dyDescent="0.25">
      <c r="A756" t="s">
        <v>2214</v>
      </c>
      <c r="B756" t="s">
        <v>2215</v>
      </c>
      <c r="C756" s="4">
        <f>(AA756*(H756*0.9))*12</f>
        <v>0</v>
      </c>
      <c r="D756" s="4" t="str">
        <f>IF(C756=0,"",(H756*150*12)+C756)</f>
        <v/>
      </c>
      <c r="E756" s="4" t="str">
        <f>IFERROR(D756*0.5,"")</f>
        <v/>
      </c>
      <c r="F756" s="4" t="str">
        <f>IFERROR(E756/0.06,"")</f>
        <v/>
      </c>
      <c r="G756" s="4" t="str">
        <f>IFERROR(F756/H756,"")</f>
        <v/>
      </c>
      <c r="H756" s="1">
        <v>95</v>
      </c>
      <c r="I756" s="1">
        <v>1995</v>
      </c>
      <c r="J756" t="s">
        <v>64</v>
      </c>
      <c r="K756" t="s">
        <v>264</v>
      </c>
      <c r="L756" t="s">
        <v>2216</v>
      </c>
      <c r="N756" t="s">
        <v>2216</v>
      </c>
      <c r="P756" s="1">
        <v>2</v>
      </c>
      <c r="Q756" t="s">
        <v>69</v>
      </c>
      <c r="R756" t="s">
        <v>70</v>
      </c>
      <c r="S756" t="s">
        <v>127</v>
      </c>
      <c r="U756" t="s">
        <v>72</v>
      </c>
      <c r="V756" t="s">
        <v>264</v>
      </c>
      <c r="W756" t="s">
        <v>74</v>
      </c>
      <c r="X756" t="s">
        <v>678</v>
      </c>
      <c r="AK756" s="5">
        <v>8.4210999999999991</v>
      </c>
      <c r="AN756" s="1">
        <v>1</v>
      </c>
      <c r="AO756" t="s">
        <v>81</v>
      </c>
      <c r="AP756" t="s">
        <v>82</v>
      </c>
      <c r="AQ756" t="s">
        <v>83</v>
      </c>
      <c r="AX756" s="3">
        <v>30.52</v>
      </c>
      <c r="BB756" t="s">
        <v>84</v>
      </c>
      <c r="BK756" t="s">
        <v>2217</v>
      </c>
      <c r="BL756" t="s">
        <v>104</v>
      </c>
    </row>
    <row r="757" spans="1:64" x14ac:dyDescent="0.25">
      <c r="A757" t="s">
        <v>2224</v>
      </c>
      <c r="B757" t="s">
        <v>2225</v>
      </c>
      <c r="C757" s="4">
        <f>(AA757*(H757*0.9))*12</f>
        <v>0</v>
      </c>
      <c r="D757" s="4" t="str">
        <f>IF(C757=0,"",(H757*150*12)+C757)</f>
        <v/>
      </c>
      <c r="E757" s="4" t="str">
        <f>IFERROR(D757*0.5,"")</f>
        <v/>
      </c>
      <c r="F757" s="4" t="str">
        <f>IFERROR(E757/0.06,"")</f>
        <v/>
      </c>
      <c r="G757" s="4" t="str">
        <f>IFERROR(F757/H757,"")</f>
        <v/>
      </c>
      <c r="H757" s="1">
        <v>120</v>
      </c>
      <c r="I757" s="1">
        <v>2000</v>
      </c>
      <c r="J757" t="s">
        <v>64</v>
      </c>
      <c r="K757" t="s">
        <v>156</v>
      </c>
      <c r="L757" t="s">
        <v>866</v>
      </c>
      <c r="M757" t="s">
        <v>2226</v>
      </c>
      <c r="N757" t="s">
        <v>2227</v>
      </c>
      <c r="O757" t="s">
        <v>866</v>
      </c>
      <c r="P757" s="1">
        <v>2</v>
      </c>
      <c r="Q757" t="s">
        <v>69</v>
      </c>
      <c r="R757" t="s">
        <v>70</v>
      </c>
      <c r="S757" t="s">
        <v>127</v>
      </c>
      <c r="U757" t="s">
        <v>72</v>
      </c>
      <c r="V757" t="s">
        <v>73</v>
      </c>
      <c r="W757" t="s">
        <v>74</v>
      </c>
      <c r="X757" t="s">
        <v>2228</v>
      </c>
      <c r="AK757" s="5">
        <v>10.833299999999999</v>
      </c>
      <c r="AN757" s="1">
        <v>1</v>
      </c>
      <c r="AO757" t="s">
        <v>81</v>
      </c>
      <c r="AP757" t="s">
        <v>82</v>
      </c>
      <c r="AQ757" t="s">
        <v>83</v>
      </c>
      <c r="AX757" s="3">
        <v>0</v>
      </c>
      <c r="BB757" t="s">
        <v>84</v>
      </c>
      <c r="BL757" t="s">
        <v>131</v>
      </c>
    </row>
    <row r="758" spans="1:64" x14ac:dyDescent="0.25">
      <c r="A758" t="s">
        <v>2236</v>
      </c>
      <c r="B758" t="s">
        <v>2237</v>
      </c>
      <c r="C758" s="4">
        <f>(AA758*(H758*0.9))*12</f>
        <v>0</v>
      </c>
      <c r="D758" s="4" t="str">
        <f>IF(C758=0,"",(H758*150*12)+C758)</f>
        <v/>
      </c>
      <c r="E758" s="4" t="str">
        <f>IFERROR(D758*0.5,"")</f>
        <v/>
      </c>
      <c r="F758" s="4" t="str">
        <f>IFERROR(E758/0.06,"")</f>
        <v/>
      </c>
      <c r="G758" s="4" t="str">
        <f>IFERROR(F758/H758,"")</f>
        <v/>
      </c>
      <c r="H758" s="1">
        <v>57</v>
      </c>
      <c r="I758" s="1">
        <v>1994</v>
      </c>
      <c r="J758" t="s">
        <v>64</v>
      </c>
      <c r="K758" t="s">
        <v>2085</v>
      </c>
      <c r="L758" t="s">
        <v>2238</v>
      </c>
      <c r="M758" t="s">
        <v>2239</v>
      </c>
      <c r="N758" t="s">
        <v>2240</v>
      </c>
      <c r="O758" t="s">
        <v>2238</v>
      </c>
      <c r="P758" s="1">
        <v>3</v>
      </c>
      <c r="Q758" t="s">
        <v>91</v>
      </c>
      <c r="R758" t="s">
        <v>70</v>
      </c>
      <c r="S758" t="s">
        <v>71</v>
      </c>
      <c r="U758" t="s">
        <v>72</v>
      </c>
      <c r="V758" t="s">
        <v>2085</v>
      </c>
      <c r="W758" t="s">
        <v>74</v>
      </c>
      <c r="X758" t="s">
        <v>2086</v>
      </c>
      <c r="Y758" s="2">
        <v>1248</v>
      </c>
      <c r="AN758" s="1">
        <v>2</v>
      </c>
      <c r="AO758" t="s">
        <v>81</v>
      </c>
      <c r="AP758" t="s">
        <v>82</v>
      </c>
      <c r="AQ758" t="s">
        <v>83</v>
      </c>
      <c r="AT758" s="1">
        <v>1283</v>
      </c>
      <c r="AX758" s="3">
        <v>203335.86</v>
      </c>
      <c r="BB758" t="s">
        <v>84</v>
      </c>
      <c r="BF758" s="1">
        <v>1004</v>
      </c>
      <c r="BG758" s="1">
        <v>7</v>
      </c>
      <c r="BH758" s="1">
        <v>50</v>
      </c>
      <c r="BK758" t="s">
        <v>372</v>
      </c>
      <c r="BL758" t="s">
        <v>104</v>
      </c>
    </row>
    <row r="759" spans="1:64" x14ac:dyDescent="0.25">
      <c r="A759" t="s">
        <v>2248</v>
      </c>
      <c r="B759" t="s">
        <v>2249</v>
      </c>
      <c r="C759" s="4">
        <f>(AA759*(H759*0.9))*12</f>
        <v>0</v>
      </c>
      <c r="D759" s="4" t="str">
        <f>IF(C759=0,"",(H759*150*12)+C759)</f>
        <v/>
      </c>
      <c r="E759" s="4" t="str">
        <f>IFERROR(D759*0.5,"")</f>
        <v/>
      </c>
      <c r="F759" s="4" t="str">
        <f>IFERROR(E759/0.06,"")</f>
        <v/>
      </c>
      <c r="G759" s="4" t="str">
        <f>IFERROR(F759/H759,"")</f>
        <v/>
      </c>
      <c r="H759" s="1">
        <v>127</v>
      </c>
      <c r="I759" s="1">
        <v>1995</v>
      </c>
      <c r="J759" t="s">
        <v>64</v>
      </c>
      <c r="K759" t="s">
        <v>734</v>
      </c>
      <c r="M759" t="s">
        <v>2250</v>
      </c>
      <c r="P759" s="1">
        <v>3</v>
      </c>
      <c r="Q759" t="s">
        <v>91</v>
      </c>
      <c r="R759" t="s">
        <v>70</v>
      </c>
      <c r="S759" t="s">
        <v>71</v>
      </c>
      <c r="U759" t="s">
        <v>72</v>
      </c>
      <c r="V759" t="s">
        <v>73</v>
      </c>
      <c r="W759" t="s">
        <v>74</v>
      </c>
      <c r="X759" t="s">
        <v>738</v>
      </c>
      <c r="AN759" s="1">
        <v>2</v>
      </c>
      <c r="AO759" t="s">
        <v>81</v>
      </c>
      <c r="AP759" t="s">
        <v>82</v>
      </c>
      <c r="AQ759" t="s">
        <v>83</v>
      </c>
      <c r="AX759" s="3">
        <v>52189.62</v>
      </c>
      <c r="BB759" t="s">
        <v>84</v>
      </c>
      <c r="BH759" s="1">
        <v>127</v>
      </c>
    </row>
    <row r="760" spans="1:64" x14ac:dyDescent="0.25">
      <c r="A760" t="s">
        <v>2251</v>
      </c>
      <c r="B760" t="s">
        <v>2252</v>
      </c>
      <c r="C760" s="4">
        <f>(AA760*(H760*0.9))*12</f>
        <v>0</v>
      </c>
      <c r="D760" s="4" t="str">
        <f>IF(C760=0,"",(H760*150*12)+C760)</f>
        <v/>
      </c>
      <c r="E760" s="4" t="str">
        <f>IFERROR(D760*0.5,"")</f>
        <v/>
      </c>
      <c r="F760" s="4" t="str">
        <f>IFERROR(E760/0.06,"")</f>
        <v/>
      </c>
      <c r="G760" s="4" t="str">
        <f>IFERROR(F760/H760,"")</f>
        <v/>
      </c>
      <c r="H760" s="1">
        <v>225</v>
      </c>
      <c r="I760" s="1">
        <v>1997</v>
      </c>
      <c r="J760" t="s">
        <v>64</v>
      </c>
      <c r="K760" t="s">
        <v>2253</v>
      </c>
      <c r="L760" t="s">
        <v>546</v>
      </c>
      <c r="M760" t="s">
        <v>2254</v>
      </c>
      <c r="N760" t="s">
        <v>546</v>
      </c>
      <c r="O760" t="s">
        <v>546</v>
      </c>
      <c r="P760" s="1">
        <v>3</v>
      </c>
      <c r="Q760" t="s">
        <v>91</v>
      </c>
      <c r="R760" t="s">
        <v>70</v>
      </c>
      <c r="S760" t="s">
        <v>71</v>
      </c>
      <c r="T760" t="s">
        <v>426</v>
      </c>
      <c r="U760" t="s">
        <v>72</v>
      </c>
      <c r="V760" t="s">
        <v>73</v>
      </c>
      <c r="W760" t="s">
        <v>74</v>
      </c>
      <c r="X760" t="s">
        <v>2255</v>
      </c>
      <c r="AK760" s="5">
        <v>2.2222</v>
      </c>
      <c r="AN760" s="1">
        <v>2</v>
      </c>
      <c r="AO760" t="s">
        <v>81</v>
      </c>
      <c r="AP760" t="s">
        <v>82</v>
      </c>
      <c r="AQ760" t="s">
        <v>83</v>
      </c>
      <c r="BB760" t="s">
        <v>84</v>
      </c>
    </row>
    <row r="761" spans="1:64" x14ac:dyDescent="0.25">
      <c r="A761" t="s">
        <v>2271</v>
      </c>
      <c r="B761" t="s">
        <v>2272</v>
      </c>
      <c r="C761" s="4">
        <f>(AA761*(H761*0.9))*12</f>
        <v>0</v>
      </c>
      <c r="D761" s="4" t="str">
        <f>IF(C761=0,"",(H761*150*12)+C761)</f>
        <v/>
      </c>
      <c r="E761" s="4" t="str">
        <f>IFERROR(D761*0.5,"")</f>
        <v/>
      </c>
      <c r="F761" s="4" t="str">
        <f>IFERROR(E761/0.06,"")</f>
        <v/>
      </c>
      <c r="G761" s="4" t="str">
        <f>IFERROR(F761/H761,"")</f>
        <v/>
      </c>
      <c r="H761" s="1">
        <v>76</v>
      </c>
      <c r="I761" s="1">
        <v>2000</v>
      </c>
      <c r="J761" t="s">
        <v>64</v>
      </c>
      <c r="K761" t="s">
        <v>1871</v>
      </c>
      <c r="L761" t="s">
        <v>866</v>
      </c>
      <c r="M761" t="s">
        <v>2273</v>
      </c>
      <c r="N761" t="s">
        <v>2274</v>
      </c>
      <c r="O761" t="s">
        <v>866</v>
      </c>
      <c r="P761" s="1">
        <v>2</v>
      </c>
      <c r="Q761" t="s">
        <v>69</v>
      </c>
      <c r="R761" t="s">
        <v>70</v>
      </c>
      <c r="S761" t="s">
        <v>127</v>
      </c>
      <c r="U761" t="s">
        <v>72</v>
      </c>
      <c r="V761" t="s">
        <v>2275</v>
      </c>
      <c r="W761" t="s">
        <v>74</v>
      </c>
      <c r="X761" t="s">
        <v>2276</v>
      </c>
      <c r="AK761" s="5">
        <v>9.2104999999999997</v>
      </c>
      <c r="AO761" t="s">
        <v>81</v>
      </c>
      <c r="AP761" t="s">
        <v>82</v>
      </c>
      <c r="AQ761" t="s">
        <v>83</v>
      </c>
      <c r="BB761" t="s">
        <v>84</v>
      </c>
      <c r="BG761" s="1">
        <v>76</v>
      </c>
    </row>
    <row r="762" spans="1:64" x14ac:dyDescent="0.25">
      <c r="A762" t="s">
        <v>2341</v>
      </c>
      <c r="B762" t="s">
        <v>2342</v>
      </c>
      <c r="C762" s="4">
        <f>(AA762*(H762*0.9))*12</f>
        <v>0</v>
      </c>
      <c r="D762" s="4" t="str">
        <f>IF(C762=0,"",(H762*150*12)+C762)</f>
        <v/>
      </c>
      <c r="E762" s="4" t="str">
        <f>IFERROR(D762*0.5,"")</f>
        <v/>
      </c>
      <c r="F762" s="4" t="str">
        <f>IFERROR(E762/0.06,"")</f>
        <v/>
      </c>
      <c r="G762" s="4" t="str">
        <f>IFERROR(F762/H762,"")</f>
        <v/>
      </c>
      <c r="H762" s="1">
        <v>60</v>
      </c>
      <c r="I762" s="1">
        <v>1998</v>
      </c>
      <c r="J762" t="s">
        <v>64</v>
      </c>
      <c r="K762" t="s">
        <v>301</v>
      </c>
      <c r="L762" t="s">
        <v>2343</v>
      </c>
      <c r="M762" t="s">
        <v>2344</v>
      </c>
      <c r="N762" t="s">
        <v>2345</v>
      </c>
      <c r="O762" t="s">
        <v>2343</v>
      </c>
      <c r="P762" s="1">
        <v>2</v>
      </c>
      <c r="Q762" t="s">
        <v>69</v>
      </c>
      <c r="R762" t="s">
        <v>70</v>
      </c>
      <c r="S762" t="s">
        <v>71</v>
      </c>
      <c r="T762" t="s">
        <v>426</v>
      </c>
      <c r="U762" t="s">
        <v>72</v>
      </c>
      <c r="V762" t="s">
        <v>152</v>
      </c>
      <c r="W762" t="s">
        <v>74</v>
      </c>
      <c r="X762" t="s">
        <v>2346</v>
      </c>
      <c r="Y762" s="2">
        <v>520</v>
      </c>
      <c r="AK762" s="5">
        <v>10</v>
      </c>
      <c r="AN762" s="1">
        <v>3</v>
      </c>
      <c r="AO762" t="s">
        <v>81</v>
      </c>
      <c r="AP762" t="s">
        <v>82</v>
      </c>
      <c r="AQ762" t="s">
        <v>83</v>
      </c>
      <c r="BB762" t="s">
        <v>84</v>
      </c>
      <c r="BF762" s="1">
        <v>520</v>
      </c>
      <c r="BG762" s="1">
        <v>60</v>
      </c>
    </row>
    <row r="763" spans="1:64" x14ac:dyDescent="0.25">
      <c r="A763" t="s">
        <v>2398</v>
      </c>
      <c r="C763" s="4">
        <f>(AA763*(H763*0.9))*12</f>
        <v>0</v>
      </c>
      <c r="D763" s="4" t="str">
        <f>IF(C763=0,"",(H763*150*12)+C763)</f>
        <v/>
      </c>
      <c r="E763" s="4" t="str">
        <f>IFERROR(D763*0.5,"")</f>
        <v/>
      </c>
      <c r="F763" s="4" t="str">
        <f>IFERROR(E763/0.06,"")</f>
        <v/>
      </c>
      <c r="G763" s="4" t="str">
        <f>IFERROR(F763/H763,"")</f>
        <v/>
      </c>
      <c r="H763" s="1">
        <v>104</v>
      </c>
      <c r="I763" s="1">
        <v>1992</v>
      </c>
      <c r="J763" t="s">
        <v>64</v>
      </c>
      <c r="K763" t="s">
        <v>439</v>
      </c>
      <c r="L763" t="s">
        <v>2399</v>
      </c>
      <c r="N763" t="s">
        <v>2400</v>
      </c>
      <c r="O763" t="s">
        <v>2399</v>
      </c>
      <c r="P763" s="1">
        <v>2</v>
      </c>
      <c r="Q763" t="s">
        <v>69</v>
      </c>
      <c r="R763" t="s">
        <v>70</v>
      </c>
      <c r="S763" t="s">
        <v>127</v>
      </c>
      <c r="U763" t="s">
        <v>72</v>
      </c>
      <c r="V763" t="s">
        <v>885</v>
      </c>
      <c r="W763" t="s">
        <v>74</v>
      </c>
      <c r="X763" t="s">
        <v>886</v>
      </c>
      <c r="AK763" s="5">
        <v>9.6153999999999993</v>
      </c>
      <c r="AN763" s="1">
        <v>1</v>
      </c>
      <c r="AO763" t="s">
        <v>81</v>
      </c>
      <c r="AP763" t="s">
        <v>82</v>
      </c>
      <c r="AQ763" t="s">
        <v>83</v>
      </c>
      <c r="AX763" s="3">
        <v>20247.95</v>
      </c>
      <c r="BB763" t="s">
        <v>84</v>
      </c>
      <c r="BG763" s="1">
        <v>104</v>
      </c>
      <c r="BK763" t="s">
        <v>2401</v>
      </c>
      <c r="BL763" t="s">
        <v>131</v>
      </c>
    </row>
    <row r="764" spans="1:64" x14ac:dyDescent="0.25">
      <c r="A764" t="s">
        <v>2425</v>
      </c>
      <c r="B764" t="s">
        <v>2426</v>
      </c>
      <c r="C764" s="4">
        <f>(AA764*(H764*0.9))*12</f>
        <v>0</v>
      </c>
      <c r="D764" s="4" t="str">
        <f>IF(C764=0,"",(H764*150*12)+C764)</f>
        <v/>
      </c>
      <c r="E764" s="4" t="str">
        <f>IFERROR(D764*0.5,"")</f>
        <v/>
      </c>
      <c r="F764" s="4" t="str">
        <f>IFERROR(E764/0.06,"")</f>
        <v/>
      </c>
      <c r="G764" s="4" t="str">
        <f>IFERROR(F764/H764,"")</f>
        <v/>
      </c>
      <c r="H764" s="1">
        <v>136</v>
      </c>
      <c r="I764" s="1">
        <v>2000</v>
      </c>
      <c r="J764" t="s">
        <v>64</v>
      </c>
      <c r="K764" t="s">
        <v>734</v>
      </c>
      <c r="M764" t="s">
        <v>2427</v>
      </c>
      <c r="P764" s="1">
        <v>3</v>
      </c>
      <c r="Q764" t="s">
        <v>91</v>
      </c>
      <c r="R764" t="s">
        <v>70</v>
      </c>
      <c r="S764" t="s">
        <v>71</v>
      </c>
      <c r="U764" t="s">
        <v>72</v>
      </c>
      <c r="V764" t="s">
        <v>73</v>
      </c>
      <c r="W764" t="s">
        <v>74</v>
      </c>
      <c r="X764" t="s">
        <v>730</v>
      </c>
      <c r="AN764" s="1">
        <v>2</v>
      </c>
      <c r="AO764" t="s">
        <v>81</v>
      </c>
      <c r="AP764" t="s">
        <v>82</v>
      </c>
      <c r="AQ764" t="s">
        <v>83</v>
      </c>
      <c r="AX764" s="3">
        <v>66371.73</v>
      </c>
      <c r="BB764" t="s">
        <v>84</v>
      </c>
    </row>
    <row r="765" spans="1:64" x14ac:dyDescent="0.25">
      <c r="A765" t="s">
        <v>2551</v>
      </c>
      <c r="B765" t="s">
        <v>2552</v>
      </c>
      <c r="C765" s="4">
        <f>(AA765*(H765*0.9))*12</f>
        <v>0</v>
      </c>
      <c r="D765" s="4" t="str">
        <f>IF(C765=0,"",(H765*150*12)+C765)</f>
        <v/>
      </c>
      <c r="E765" s="4" t="str">
        <f>IFERROR(D765*0.5,"")</f>
        <v/>
      </c>
      <c r="F765" s="4" t="str">
        <f>IFERROR(E765/0.06,"")</f>
        <v/>
      </c>
      <c r="G765" s="4" t="str">
        <f>IFERROR(F765/H765,"")</f>
        <v/>
      </c>
      <c r="H765" s="1">
        <v>136</v>
      </c>
      <c r="I765" s="1">
        <v>2000</v>
      </c>
      <c r="J765" t="s">
        <v>64</v>
      </c>
      <c r="K765" t="s">
        <v>814</v>
      </c>
      <c r="L765" t="s">
        <v>866</v>
      </c>
      <c r="M765" t="s">
        <v>2553</v>
      </c>
      <c r="N765" t="s">
        <v>2554</v>
      </c>
      <c r="O765" t="s">
        <v>866</v>
      </c>
      <c r="P765" s="1">
        <v>2</v>
      </c>
      <c r="Q765" t="s">
        <v>69</v>
      </c>
      <c r="R765" t="s">
        <v>70</v>
      </c>
      <c r="S765" t="s">
        <v>127</v>
      </c>
      <c r="U765" t="s">
        <v>72</v>
      </c>
      <c r="V765" t="s">
        <v>814</v>
      </c>
      <c r="W765" t="s">
        <v>74</v>
      </c>
      <c r="X765" t="s">
        <v>816</v>
      </c>
      <c r="AK765" s="5">
        <v>7.3529</v>
      </c>
      <c r="AN765" s="1">
        <v>1</v>
      </c>
      <c r="AO765" t="s">
        <v>81</v>
      </c>
      <c r="AP765" t="s">
        <v>82</v>
      </c>
      <c r="AQ765" t="s">
        <v>83</v>
      </c>
      <c r="AX765" s="3">
        <v>415017.66</v>
      </c>
      <c r="BB765" t="s">
        <v>84</v>
      </c>
    </row>
    <row r="766" spans="1:64" x14ac:dyDescent="0.25">
      <c r="A766" t="s">
        <v>555</v>
      </c>
      <c r="C766" s="4">
        <f>(AA766*(H766*0.9))*12</f>
        <v>0</v>
      </c>
      <c r="D766" s="4" t="str">
        <f>IF(C766=0,"",(H766*150*12)+C766)</f>
        <v/>
      </c>
      <c r="E766" s="4" t="str">
        <f>IFERROR(D766*0.5,"")</f>
        <v/>
      </c>
      <c r="F766" s="4" t="str">
        <f>IFERROR(E766/0.06,"")</f>
        <v/>
      </c>
      <c r="G766" s="4" t="str">
        <f>IFERROR(F766/H766,"")</f>
        <v/>
      </c>
      <c r="H766" s="1">
        <v>58</v>
      </c>
      <c r="I766" s="1">
        <v>1990</v>
      </c>
      <c r="J766" t="s">
        <v>64</v>
      </c>
      <c r="K766" t="s">
        <v>439</v>
      </c>
      <c r="L766" t="s">
        <v>556</v>
      </c>
      <c r="N766" t="s">
        <v>557</v>
      </c>
      <c r="O766" t="s">
        <v>556</v>
      </c>
      <c r="P766" s="1">
        <v>2</v>
      </c>
      <c r="Q766" t="s">
        <v>69</v>
      </c>
      <c r="R766" t="s">
        <v>70</v>
      </c>
      <c r="S766" t="s">
        <v>127</v>
      </c>
      <c r="U766" t="s">
        <v>72</v>
      </c>
      <c r="V766" t="s">
        <v>558</v>
      </c>
      <c r="W766" t="s">
        <v>74</v>
      </c>
      <c r="X766" t="s">
        <v>559</v>
      </c>
      <c r="AK766" s="5">
        <v>8.6206999999999994</v>
      </c>
      <c r="AN766" s="1">
        <v>1</v>
      </c>
      <c r="AO766" t="s">
        <v>81</v>
      </c>
      <c r="AP766" t="s">
        <v>82</v>
      </c>
      <c r="AQ766" t="s">
        <v>83</v>
      </c>
      <c r="AX766" s="3">
        <v>10.64</v>
      </c>
      <c r="BB766" t="s">
        <v>84</v>
      </c>
      <c r="BG766" s="1">
        <v>58</v>
      </c>
    </row>
    <row r="767" spans="1:64" x14ac:dyDescent="0.25">
      <c r="A767" t="s">
        <v>2566</v>
      </c>
      <c r="B767" t="s">
        <v>2567</v>
      </c>
      <c r="C767" s="4">
        <f>(AA767*(H767*0.9))*12</f>
        <v>0</v>
      </c>
      <c r="D767" s="4" t="str">
        <f>IF(C767=0,"",(H767*150*12)+C767)</f>
        <v/>
      </c>
      <c r="E767" s="4" t="str">
        <f>IFERROR(D767*0.5,"")</f>
        <v/>
      </c>
      <c r="F767" s="4" t="str">
        <f>IFERROR(E767/0.06,"")</f>
        <v/>
      </c>
      <c r="G767" s="4" t="str">
        <f>IFERROR(F767/H767,"")</f>
        <v/>
      </c>
      <c r="H767" s="1">
        <v>289</v>
      </c>
      <c r="I767" s="1">
        <v>1997</v>
      </c>
      <c r="J767" t="s">
        <v>64</v>
      </c>
      <c r="K767" t="s">
        <v>123</v>
      </c>
      <c r="L767" t="s">
        <v>1155</v>
      </c>
      <c r="M767" t="s">
        <v>2568</v>
      </c>
      <c r="N767" t="s">
        <v>2569</v>
      </c>
      <c r="O767" t="s">
        <v>1155</v>
      </c>
      <c r="P767" s="1">
        <v>2</v>
      </c>
      <c r="Q767" t="s">
        <v>69</v>
      </c>
      <c r="R767" t="s">
        <v>70</v>
      </c>
      <c r="S767" t="s">
        <v>127</v>
      </c>
      <c r="U767" t="s">
        <v>72</v>
      </c>
      <c r="V767" t="s">
        <v>129</v>
      </c>
      <c r="W767" t="s">
        <v>74</v>
      </c>
      <c r="X767" t="s">
        <v>2570</v>
      </c>
      <c r="AK767" s="5">
        <v>7.9584999999999999</v>
      </c>
      <c r="AN767" s="1">
        <v>1</v>
      </c>
      <c r="AO767" t="s">
        <v>81</v>
      </c>
      <c r="AP767" t="s">
        <v>82</v>
      </c>
      <c r="AQ767" t="s">
        <v>83</v>
      </c>
      <c r="AX767" s="3">
        <v>275490.88</v>
      </c>
      <c r="BB767" t="s">
        <v>84</v>
      </c>
    </row>
    <row r="768" spans="1:64" x14ac:dyDescent="0.25">
      <c r="A768" t="s">
        <v>593</v>
      </c>
      <c r="B768" t="s">
        <v>594</v>
      </c>
      <c r="C768" s="4">
        <f>(AA768*(H768*0.9))*12</f>
        <v>0</v>
      </c>
      <c r="D768" s="4" t="str">
        <f>IF(C768=0,"",(H768*150*12)+C768)</f>
        <v/>
      </c>
      <c r="E768" s="4" t="str">
        <f>IFERROR(D768*0.5,"")</f>
        <v/>
      </c>
      <c r="F768" s="4" t="str">
        <f>IFERROR(E768/0.06,"")</f>
        <v/>
      </c>
      <c r="G768" s="4" t="str">
        <f>IFERROR(F768/H768,"")</f>
        <v/>
      </c>
      <c r="H768" s="1">
        <v>202</v>
      </c>
      <c r="I768" s="1">
        <v>1990</v>
      </c>
      <c r="J768" t="s">
        <v>64</v>
      </c>
      <c r="K768" t="s">
        <v>140</v>
      </c>
      <c r="M768" t="s">
        <v>595</v>
      </c>
      <c r="P768" s="1">
        <v>2</v>
      </c>
      <c r="Q768" t="s">
        <v>69</v>
      </c>
      <c r="R768" t="s">
        <v>70</v>
      </c>
      <c r="S768" t="s">
        <v>71</v>
      </c>
      <c r="U768" t="s">
        <v>72</v>
      </c>
      <c r="V768" t="s">
        <v>140</v>
      </c>
      <c r="W768" t="s">
        <v>74</v>
      </c>
      <c r="X768" t="s">
        <v>596</v>
      </c>
      <c r="AN768" s="1">
        <v>2</v>
      </c>
      <c r="AO768" t="s">
        <v>81</v>
      </c>
      <c r="AP768" t="s">
        <v>82</v>
      </c>
      <c r="AQ768" t="s">
        <v>83</v>
      </c>
      <c r="BB768" t="s">
        <v>84</v>
      </c>
    </row>
    <row r="769" spans="1:64" x14ac:dyDescent="0.25">
      <c r="A769" t="s">
        <v>2693</v>
      </c>
      <c r="B769" t="s">
        <v>2694</v>
      </c>
      <c r="C769" s="4">
        <f>(AA769*(H769*0.9))*12</f>
        <v>0</v>
      </c>
      <c r="D769" s="4" t="str">
        <f>IF(C769=0,"",(H769*150*12)+C769)</f>
        <v/>
      </c>
      <c r="E769" s="4" t="str">
        <f>IFERROR(D769*0.5,"")</f>
        <v/>
      </c>
      <c r="F769" s="4" t="str">
        <f>IFERROR(E769/0.06,"")</f>
        <v/>
      </c>
      <c r="G769" s="4" t="str">
        <f>IFERROR(F769/H769,"")</f>
        <v/>
      </c>
      <c r="H769" s="1">
        <v>156</v>
      </c>
      <c r="I769" s="1">
        <v>1997</v>
      </c>
      <c r="J769" t="s">
        <v>64</v>
      </c>
      <c r="K769" t="s">
        <v>97</v>
      </c>
      <c r="L769" t="s">
        <v>1155</v>
      </c>
      <c r="M769" t="s">
        <v>2695</v>
      </c>
      <c r="N769" t="s">
        <v>2696</v>
      </c>
      <c r="O769" t="s">
        <v>1155</v>
      </c>
      <c r="P769" s="1">
        <v>2</v>
      </c>
      <c r="Q769" t="s">
        <v>69</v>
      </c>
      <c r="R769" t="s">
        <v>70</v>
      </c>
      <c r="S769" t="s">
        <v>127</v>
      </c>
      <c r="U769" t="s">
        <v>72</v>
      </c>
      <c r="V769" t="s">
        <v>1662</v>
      </c>
      <c r="W769" t="s">
        <v>74</v>
      </c>
      <c r="X769" t="s">
        <v>1663</v>
      </c>
      <c r="AK769" s="5">
        <v>8.9743999999999993</v>
      </c>
      <c r="AN769" s="1">
        <v>1</v>
      </c>
      <c r="AO769" t="s">
        <v>81</v>
      </c>
      <c r="AP769" t="s">
        <v>82</v>
      </c>
      <c r="AQ769" t="s">
        <v>83</v>
      </c>
      <c r="AX769" s="3">
        <v>393890.11</v>
      </c>
      <c r="BB769" t="s">
        <v>84</v>
      </c>
    </row>
    <row r="770" spans="1:64" x14ac:dyDescent="0.25">
      <c r="A770" t="s">
        <v>2730</v>
      </c>
      <c r="B770" t="s">
        <v>2731</v>
      </c>
      <c r="C770" s="4">
        <f>(AA770*(H770*0.9))*12</f>
        <v>0</v>
      </c>
      <c r="D770" s="4" t="str">
        <f>IF(C770=0,"",(H770*150*12)+C770)</f>
        <v/>
      </c>
      <c r="E770" s="4" t="str">
        <f>IFERROR(D770*0.5,"")</f>
        <v/>
      </c>
      <c r="F770" s="4" t="str">
        <f>IFERROR(E770/0.06,"")</f>
        <v/>
      </c>
      <c r="G770" s="4" t="str">
        <f>IFERROR(F770/H770,"")</f>
        <v/>
      </c>
      <c r="H770" s="1">
        <v>334</v>
      </c>
      <c r="I770" s="1">
        <v>1997</v>
      </c>
      <c r="J770" t="s">
        <v>64</v>
      </c>
      <c r="K770" t="s">
        <v>264</v>
      </c>
      <c r="L770" t="s">
        <v>2732</v>
      </c>
      <c r="N770" t="s">
        <v>2733</v>
      </c>
      <c r="O770" t="s">
        <v>2732</v>
      </c>
      <c r="P770" s="1">
        <v>3</v>
      </c>
      <c r="Q770" t="s">
        <v>69</v>
      </c>
      <c r="R770" t="s">
        <v>70</v>
      </c>
      <c r="S770" t="s">
        <v>127</v>
      </c>
      <c r="U770" t="s">
        <v>72</v>
      </c>
      <c r="V770" t="s">
        <v>531</v>
      </c>
      <c r="W770" t="s">
        <v>74</v>
      </c>
      <c r="X770" t="s">
        <v>2734</v>
      </c>
      <c r="AN770" s="1">
        <v>1</v>
      </c>
      <c r="AO770" t="s">
        <v>81</v>
      </c>
      <c r="AP770" t="s">
        <v>82</v>
      </c>
      <c r="AQ770" t="s">
        <v>83</v>
      </c>
      <c r="AX770" s="3">
        <v>740610.53</v>
      </c>
      <c r="BB770" t="s">
        <v>84</v>
      </c>
    </row>
    <row r="771" spans="1:64" x14ac:dyDescent="0.25">
      <c r="A771" t="s">
        <v>2735</v>
      </c>
      <c r="B771" t="s">
        <v>2736</v>
      </c>
      <c r="C771" s="4">
        <f>(AA771*(H771*0.9))*12</f>
        <v>0</v>
      </c>
      <c r="D771" s="4" t="str">
        <f>IF(C771=0,"",(H771*150*12)+C771)</f>
        <v/>
      </c>
      <c r="E771" s="4" t="str">
        <f>IFERROR(D771*0.5,"")</f>
        <v/>
      </c>
      <c r="F771" s="4" t="str">
        <f>IFERROR(E771/0.06,"")</f>
        <v/>
      </c>
      <c r="G771" s="4" t="str">
        <f>IFERROR(F771/H771,"")</f>
        <v/>
      </c>
      <c r="H771" s="1">
        <v>527</v>
      </c>
      <c r="I771" s="1">
        <v>1997</v>
      </c>
      <c r="J771" t="s">
        <v>64</v>
      </c>
      <c r="K771" t="s">
        <v>2737</v>
      </c>
      <c r="L771" t="s">
        <v>2738</v>
      </c>
      <c r="N771" t="s">
        <v>2739</v>
      </c>
      <c r="O771" t="s">
        <v>2738</v>
      </c>
      <c r="P771" s="1">
        <v>3</v>
      </c>
      <c r="Q771" t="s">
        <v>91</v>
      </c>
      <c r="R771" t="s">
        <v>70</v>
      </c>
      <c r="S771" t="s">
        <v>71</v>
      </c>
      <c r="U771" t="s">
        <v>1335</v>
      </c>
      <c r="V771" t="s">
        <v>73</v>
      </c>
      <c r="W771" t="s">
        <v>74</v>
      </c>
      <c r="X771" t="s">
        <v>2424</v>
      </c>
      <c r="Y771" s="2">
        <v>871</v>
      </c>
      <c r="AN771" s="1">
        <v>4</v>
      </c>
      <c r="AO771" t="s">
        <v>81</v>
      </c>
      <c r="AP771" t="s">
        <v>82</v>
      </c>
      <c r="AQ771" t="s">
        <v>83</v>
      </c>
      <c r="AT771" s="1">
        <v>1125</v>
      </c>
      <c r="AW771" s="1">
        <v>1571</v>
      </c>
      <c r="AX771" s="3">
        <v>202807.36</v>
      </c>
      <c r="BB771" t="s">
        <v>84</v>
      </c>
      <c r="BF771" s="1">
        <v>679</v>
      </c>
      <c r="BG771" s="1">
        <v>334</v>
      </c>
      <c r="BH771" s="1">
        <v>159</v>
      </c>
      <c r="BI771" s="1">
        <v>34</v>
      </c>
      <c r="BL771" t="s">
        <v>131</v>
      </c>
    </row>
    <row r="772" spans="1:64" x14ac:dyDescent="0.25">
      <c r="A772" t="s">
        <v>2806</v>
      </c>
      <c r="B772" t="s">
        <v>2807</v>
      </c>
      <c r="C772" s="4">
        <f>(AA772*(H772*0.9))*12</f>
        <v>0</v>
      </c>
      <c r="D772" s="4" t="str">
        <f>IF(C772=0,"",(H772*150*12)+C772)</f>
        <v/>
      </c>
      <c r="E772" s="4" t="str">
        <f>IFERROR(D772*0.5,"")</f>
        <v/>
      </c>
      <c r="F772" s="4" t="str">
        <f>IFERROR(E772/0.06,"")</f>
        <v/>
      </c>
      <c r="G772" s="4" t="str">
        <f>IFERROR(F772/H772,"")</f>
        <v/>
      </c>
      <c r="H772" s="1">
        <v>80</v>
      </c>
      <c r="I772" s="1">
        <v>1995</v>
      </c>
      <c r="J772" t="s">
        <v>64</v>
      </c>
      <c r="K772" t="s">
        <v>734</v>
      </c>
      <c r="P772" s="1">
        <v>3</v>
      </c>
      <c r="Q772" t="s">
        <v>91</v>
      </c>
      <c r="R772" t="s">
        <v>70</v>
      </c>
      <c r="S772" t="s">
        <v>71</v>
      </c>
      <c r="U772" t="s">
        <v>72</v>
      </c>
      <c r="V772" t="s">
        <v>73</v>
      </c>
      <c r="W772" t="s">
        <v>74</v>
      </c>
      <c r="X772" t="s">
        <v>730</v>
      </c>
      <c r="AN772" s="1">
        <v>2</v>
      </c>
      <c r="AO772" t="s">
        <v>81</v>
      </c>
      <c r="AP772" t="s">
        <v>82</v>
      </c>
      <c r="AQ772" t="s">
        <v>83</v>
      </c>
      <c r="AX772" s="3">
        <v>31605.72</v>
      </c>
      <c r="BB772" t="s">
        <v>84</v>
      </c>
    </row>
    <row r="773" spans="1:64" x14ac:dyDescent="0.25">
      <c r="A773" t="s">
        <v>2813</v>
      </c>
      <c r="B773" t="s">
        <v>2814</v>
      </c>
      <c r="C773" s="4">
        <f>(AA773*(H773*0.9))*12</f>
        <v>0</v>
      </c>
      <c r="D773" s="4" t="str">
        <f>IF(C773=0,"",(H773*150*12)+C773)</f>
        <v/>
      </c>
      <c r="E773" s="4" t="str">
        <f>IFERROR(D773*0.5,"")</f>
        <v/>
      </c>
      <c r="F773" s="4" t="str">
        <f>IFERROR(E773/0.06,"")</f>
        <v/>
      </c>
      <c r="G773" s="4" t="str">
        <f>IFERROR(F773/H773,"")</f>
        <v/>
      </c>
      <c r="H773" s="1">
        <v>80</v>
      </c>
      <c r="I773" s="1">
        <v>1995</v>
      </c>
      <c r="J773" t="s">
        <v>64</v>
      </c>
      <c r="K773" t="s">
        <v>734</v>
      </c>
      <c r="L773" t="s">
        <v>2815</v>
      </c>
      <c r="N773" t="s">
        <v>2815</v>
      </c>
      <c r="P773" s="1">
        <v>3</v>
      </c>
      <c r="Q773" t="s">
        <v>91</v>
      </c>
      <c r="R773" t="s">
        <v>70</v>
      </c>
      <c r="S773" t="s">
        <v>71</v>
      </c>
      <c r="U773" t="s">
        <v>72</v>
      </c>
      <c r="V773" t="s">
        <v>73</v>
      </c>
      <c r="W773" t="s">
        <v>74</v>
      </c>
      <c r="X773" t="s">
        <v>2816</v>
      </c>
      <c r="AN773" s="1">
        <v>2</v>
      </c>
      <c r="AO773" t="s">
        <v>81</v>
      </c>
      <c r="AP773" t="s">
        <v>82</v>
      </c>
      <c r="AQ773" t="s">
        <v>83</v>
      </c>
      <c r="AX773" s="3">
        <v>42763.94</v>
      </c>
      <c r="BB773" t="s">
        <v>84</v>
      </c>
      <c r="BG773" s="1">
        <v>60</v>
      </c>
      <c r="BH773" s="1">
        <v>20</v>
      </c>
    </row>
    <row r="774" spans="1:64" x14ac:dyDescent="0.25">
      <c r="A774" t="s">
        <v>2976</v>
      </c>
      <c r="B774" t="s">
        <v>2977</v>
      </c>
      <c r="C774" s="4">
        <f>(AA774*(H774*0.9))*12</f>
        <v>0</v>
      </c>
      <c r="D774" s="4" t="str">
        <f>IF(C774=0,"",(H774*150*12)+C774)</f>
        <v/>
      </c>
      <c r="E774" s="4" t="str">
        <f>IFERROR(D774*0.5,"")</f>
        <v/>
      </c>
      <c r="F774" s="4" t="str">
        <f>IFERROR(E774/0.06,"")</f>
        <v/>
      </c>
      <c r="G774" s="4" t="str">
        <f>IFERROR(F774/H774,"")</f>
        <v/>
      </c>
      <c r="H774" s="1">
        <v>115</v>
      </c>
      <c r="I774" s="1">
        <v>1998</v>
      </c>
      <c r="J774" t="s">
        <v>64</v>
      </c>
      <c r="K774" t="s">
        <v>156</v>
      </c>
      <c r="L774" t="s">
        <v>2978</v>
      </c>
      <c r="M774" t="s">
        <v>2979</v>
      </c>
      <c r="N774" t="s">
        <v>2978</v>
      </c>
      <c r="P774" s="1">
        <v>2</v>
      </c>
      <c r="Q774" t="s">
        <v>69</v>
      </c>
      <c r="R774" t="s">
        <v>70</v>
      </c>
      <c r="S774" t="s">
        <v>127</v>
      </c>
      <c r="U774" t="s">
        <v>72</v>
      </c>
      <c r="V774" t="s">
        <v>862</v>
      </c>
      <c r="W774" t="s">
        <v>74</v>
      </c>
      <c r="X774" t="s">
        <v>869</v>
      </c>
      <c r="AK774" s="5">
        <v>10.434799999999999</v>
      </c>
      <c r="AN774" s="1">
        <v>1</v>
      </c>
      <c r="AO774" t="s">
        <v>81</v>
      </c>
      <c r="AP774" t="s">
        <v>82</v>
      </c>
      <c r="AQ774" t="s">
        <v>83</v>
      </c>
      <c r="AX774" s="3">
        <v>206130.66</v>
      </c>
      <c r="BB774" t="s">
        <v>84</v>
      </c>
    </row>
    <row r="775" spans="1:64" x14ac:dyDescent="0.25">
      <c r="A775" t="s">
        <v>3002</v>
      </c>
      <c r="B775" t="s">
        <v>3003</v>
      </c>
      <c r="C775" s="4">
        <f>(AA775*(H775*0.9))*12</f>
        <v>0</v>
      </c>
      <c r="D775" s="4" t="str">
        <f>IF(C775=0,"",(H775*150*12)+C775)</f>
        <v/>
      </c>
      <c r="E775" s="4" t="str">
        <f>IFERROR(D775*0.5,"")</f>
        <v/>
      </c>
      <c r="F775" s="4" t="str">
        <f>IFERROR(E775/0.06,"")</f>
        <v/>
      </c>
      <c r="G775" s="4" t="str">
        <f>IFERROR(F775/H775,"")</f>
        <v/>
      </c>
      <c r="H775" s="1">
        <v>106</v>
      </c>
      <c r="I775" s="1">
        <v>2000</v>
      </c>
      <c r="J775" t="s">
        <v>64</v>
      </c>
      <c r="K775" t="s">
        <v>2726</v>
      </c>
      <c r="P775" s="1">
        <v>3</v>
      </c>
      <c r="Q775" t="s">
        <v>91</v>
      </c>
      <c r="R775" t="s">
        <v>70</v>
      </c>
      <c r="S775" t="s">
        <v>71</v>
      </c>
      <c r="U775" t="s">
        <v>72</v>
      </c>
      <c r="V775" t="s">
        <v>73</v>
      </c>
      <c r="W775" t="s">
        <v>74</v>
      </c>
      <c r="X775" t="s">
        <v>3004</v>
      </c>
      <c r="AN775" s="1">
        <v>22</v>
      </c>
      <c r="AO775" t="s">
        <v>81</v>
      </c>
      <c r="AP775" t="s">
        <v>82</v>
      </c>
      <c r="AQ775" t="s">
        <v>83</v>
      </c>
      <c r="AX775" s="3">
        <v>322579.61</v>
      </c>
      <c r="BB775" t="s">
        <v>84</v>
      </c>
      <c r="BG775" s="1">
        <v>106</v>
      </c>
      <c r="BK775" t="s">
        <v>3005</v>
      </c>
      <c r="BL775" t="s">
        <v>643</v>
      </c>
    </row>
    <row r="776" spans="1:64" x14ac:dyDescent="0.25">
      <c r="A776" t="s">
        <v>3034</v>
      </c>
      <c r="B776" t="s">
        <v>3035</v>
      </c>
      <c r="C776" s="4">
        <f>(AA776*(H776*0.9))*12</f>
        <v>0</v>
      </c>
      <c r="D776" s="4" t="str">
        <f>IF(C776=0,"",(H776*150*12)+C776)</f>
        <v/>
      </c>
      <c r="E776" s="4" t="str">
        <f>IFERROR(D776*0.5,"")</f>
        <v/>
      </c>
      <c r="F776" s="4" t="str">
        <f>IFERROR(E776/0.06,"")</f>
        <v/>
      </c>
      <c r="G776" s="4" t="str">
        <f>IFERROR(F776/H776,"")</f>
        <v/>
      </c>
      <c r="H776" s="1">
        <v>138</v>
      </c>
      <c r="I776" s="1">
        <v>1996</v>
      </c>
      <c r="J776" t="s">
        <v>64</v>
      </c>
      <c r="K776" t="s">
        <v>97</v>
      </c>
      <c r="L776" t="s">
        <v>1155</v>
      </c>
      <c r="M776" t="s">
        <v>3036</v>
      </c>
      <c r="N776" t="s">
        <v>3037</v>
      </c>
      <c r="O776" t="s">
        <v>1155</v>
      </c>
      <c r="P776" s="1">
        <v>2</v>
      </c>
      <c r="Q776" t="s">
        <v>69</v>
      </c>
      <c r="R776" t="s">
        <v>70</v>
      </c>
      <c r="S776" t="s">
        <v>127</v>
      </c>
      <c r="U776" t="s">
        <v>72</v>
      </c>
      <c r="V776" t="s">
        <v>1662</v>
      </c>
      <c r="W776" t="s">
        <v>74</v>
      </c>
      <c r="X776" t="s">
        <v>3038</v>
      </c>
      <c r="AK776" s="5">
        <v>9.4202999999999992</v>
      </c>
      <c r="AN776" s="1">
        <v>1</v>
      </c>
      <c r="AO776" t="s">
        <v>81</v>
      </c>
      <c r="AP776" t="s">
        <v>82</v>
      </c>
      <c r="AQ776" t="s">
        <v>83</v>
      </c>
      <c r="AX776" s="3">
        <v>354119.22</v>
      </c>
      <c r="BB776" t="s">
        <v>84</v>
      </c>
    </row>
    <row r="777" spans="1:64" x14ac:dyDescent="0.25">
      <c r="A777" t="s">
        <v>933</v>
      </c>
      <c r="B777" t="s">
        <v>934</v>
      </c>
      <c r="C777" s="4">
        <f>(AA777*(H777*0.9))*12</f>
        <v>0</v>
      </c>
      <c r="D777" s="4" t="str">
        <f>IF(C777=0,"",(H777*150*12)+C777)</f>
        <v/>
      </c>
      <c r="E777" s="4" t="str">
        <f>IFERROR(D777*0.5,"")</f>
        <v/>
      </c>
      <c r="F777" s="4" t="str">
        <f>IFERROR(E777/0.06,"")</f>
        <v/>
      </c>
      <c r="G777" s="4" t="str">
        <f>IFERROR(F777/H777,"")</f>
        <v/>
      </c>
      <c r="H777" s="1">
        <v>58</v>
      </c>
      <c r="I777" s="1">
        <v>1990</v>
      </c>
      <c r="J777" t="s">
        <v>64</v>
      </c>
      <c r="K777" t="s">
        <v>219</v>
      </c>
      <c r="L777" t="s">
        <v>935</v>
      </c>
      <c r="N777" t="s">
        <v>936</v>
      </c>
      <c r="O777" t="s">
        <v>935</v>
      </c>
      <c r="P777" s="1">
        <v>3</v>
      </c>
      <c r="Q777" t="s">
        <v>69</v>
      </c>
      <c r="R777" t="s">
        <v>70</v>
      </c>
      <c r="S777" t="s">
        <v>127</v>
      </c>
      <c r="U777" t="s">
        <v>72</v>
      </c>
      <c r="V777" t="s">
        <v>152</v>
      </c>
      <c r="W777" t="s">
        <v>74</v>
      </c>
      <c r="X777" t="s">
        <v>937</v>
      </c>
      <c r="Y777" s="2">
        <v>1000</v>
      </c>
      <c r="AK777" s="5">
        <v>8.6206999999999994</v>
      </c>
      <c r="AN777" s="1">
        <v>2</v>
      </c>
      <c r="AO777" t="s">
        <v>81</v>
      </c>
      <c r="AP777" t="s">
        <v>82</v>
      </c>
      <c r="AQ777" t="s">
        <v>83</v>
      </c>
      <c r="AX777" s="3">
        <v>63380.72</v>
      </c>
      <c r="BB777" t="s">
        <v>84</v>
      </c>
      <c r="BF777" s="1">
        <v>1000</v>
      </c>
      <c r="BG777" s="1">
        <v>58</v>
      </c>
      <c r="BK777" t="s">
        <v>566</v>
      </c>
      <c r="BL777" t="s">
        <v>104</v>
      </c>
    </row>
    <row r="778" spans="1:64" x14ac:dyDescent="0.25">
      <c r="A778" t="s">
        <v>3131</v>
      </c>
      <c r="B778" t="s">
        <v>3132</v>
      </c>
      <c r="C778" s="4">
        <f>(AA778*(H778*0.9))*12</f>
        <v>0</v>
      </c>
      <c r="D778" s="4" t="str">
        <f>IF(C778=0,"",(H778*150*12)+C778)</f>
        <v/>
      </c>
      <c r="E778" s="4" t="str">
        <f>IFERROR(D778*0.5,"")</f>
        <v/>
      </c>
      <c r="F778" s="4" t="str">
        <f>IFERROR(E778/0.06,"")</f>
        <v/>
      </c>
      <c r="G778" s="4" t="str">
        <f>IFERROR(F778/H778,"")</f>
        <v/>
      </c>
      <c r="H778" s="1">
        <v>71</v>
      </c>
      <c r="I778" s="1">
        <v>2000</v>
      </c>
      <c r="J778" t="s">
        <v>64</v>
      </c>
      <c r="K778" t="s">
        <v>65</v>
      </c>
      <c r="L778" t="s">
        <v>546</v>
      </c>
      <c r="M778" t="s">
        <v>3133</v>
      </c>
      <c r="N778" t="s">
        <v>3134</v>
      </c>
      <c r="O778" t="s">
        <v>546</v>
      </c>
      <c r="P778" s="1">
        <v>3</v>
      </c>
      <c r="Q778" t="s">
        <v>69</v>
      </c>
      <c r="R778" t="s">
        <v>70</v>
      </c>
      <c r="S778" t="s">
        <v>71</v>
      </c>
      <c r="T778" t="s">
        <v>118</v>
      </c>
      <c r="U778" t="s">
        <v>72</v>
      </c>
      <c r="V778" t="s">
        <v>73</v>
      </c>
      <c r="W778" t="s">
        <v>74</v>
      </c>
      <c r="X778" t="s">
        <v>3135</v>
      </c>
      <c r="AK778" s="5">
        <v>8.4506999999999994</v>
      </c>
      <c r="AN778" s="1">
        <v>3</v>
      </c>
      <c r="AO778" t="s">
        <v>81</v>
      </c>
      <c r="AP778" t="s">
        <v>82</v>
      </c>
      <c r="AQ778" t="s">
        <v>83</v>
      </c>
      <c r="BB778" t="s">
        <v>84</v>
      </c>
      <c r="BG778" s="1">
        <v>12</v>
      </c>
      <c r="BH778" s="1">
        <v>44</v>
      </c>
      <c r="BI778" s="1">
        <v>15</v>
      </c>
    </row>
    <row r="779" spans="1:64" x14ac:dyDescent="0.25">
      <c r="A779" t="s">
        <v>3184</v>
      </c>
      <c r="B779" t="s">
        <v>3185</v>
      </c>
      <c r="C779" s="4">
        <f>(AA779*(H779*0.9))*12</f>
        <v>0</v>
      </c>
      <c r="D779" s="4" t="str">
        <f>IF(C779=0,"",(H779*150*12)+C779)</f>
        <v/>
      </c>
      <c r="E779" s="4" t="str">
        <f>IFERROR(D779*0.5,"")</f>
        <v/>
      </c>
      <c r="F779" s="4" t="str">
        <f>IFERROR(E779/0.06,"")</f>
        <v/>
      </c>
      <c r="G779" s="4" t="str">
        <f>IFERROR(F779/H779,"")</f>
        <v/>
      </c>
      <c r="H779" s="1">
        <v>144</v>
      </c>
      <c r="I779" s="1">
        <v>1998</v>
      </c>
      <c r="J779" t="s">
        <v>64</v>
      </c>
      <c r="K779" t="s">
        <v>2726</v>
      </c>
      <c r="L779" t="s">
        <v>3186</v>
      </c>
      <c r="N779" t="s">
        <v>3186</v>
      </c>
      <c r="P779" s="1">
        <v>3</v>
      </c>
      <c r="Q779" t="s">
        <v>91</v>
      </c>
      <c r="R779" t="s">
        <v>70</v>
      </c>
      <c r="S779" t="s">
        <v>71</v>
      </c>
      <c r="U779" t="s">
        <v>72</v>
      </c>
      <c r="V779" t="s">
        <v>73</v>
      </c>
      <c r="W779" t="s">
        <v>74</v>
      </c>
      <c r="X779" t="s">
        <v>1568</v>
      </c>
      <c r="AN779" s="1">
        <v>22</v>
      </c>
      <c r="AO779" t="s">
        <v>81</v>
      </c>
      <c r="AP779" t="s">
        <v>82</v>
      </c>
      <c r="AQ779" t="s">
        <v>83</v>
      </c>
      <c r="AX779" s="3">
        <v>283501.19</v>
      </c>
      <c r="BB779" t="s">
        <v>84</v>
      </c>
      <c r="BH779" s="1">
        <v>144</v>
      </c>
    </row>
    <row r="780" spans="1:64" x14ac:dyDescent="0.25">
      <c r="A780" t="s">
        <v>3225</v>
      </c>
      <c r="B780" t="s">
        <v>3226</v>
      </c>
      <c r="C780" s="4">
        <f>(AA780*(H780*0.9))*12</f>
        <v>0</v>
      </c>
      <c r="D780" s="4" t="str">
        <f>IF(C780=0,"",(H780*150*12)+C780)</f>
        <v/>
      </c>
      <c r="E780" s="4" t="str">
        <f>IFERROR(D780*0.5,"")</f>
        <v/>
      </c>
      <c r="F780" s="4" t="str">
        <f>IFERROR(E780/0.06,"")</f>
        <v/>
      </c>
      <c r="G780" s="4" t="str">
        <f>IFERROR(F780/H780,"")</f>
        <v/>
      </c>
      <c r="H780" s="1">
        <v>113</v>
      </c>
      <c r="I780" s="1">
        <v>1998</v>
      </c>
      <c r="J780" t="s">
        <v>64</v>
      </c>
      <c r="K780" t="s">
        <v>338</v>
      </c>
      <c r="L780" t="s">
        <v>3227</v>
      </c>
      <c r="N780" t="s">
        <v>3227</v>
      </c>
      <c r="P780" s="1">
        <v>3</v>
      </c>
      <c r="Q780" t="s">
        <v>91</v>
      </c>
      <c r="R780" t="s">
        <v>70</v>
      </c>
      <c r="S780" t="s">
        <v>71</v>
      </c>
      <c r="U780" t="s">
        <v>72</v>
      </c>
      <c r="V780" t="s">
        <v>73</v>
      </c>
      <c r="W780" t="s">
        <v>74</v>
      </c>
      <c r="X780" t="s">
        <v>92</v>
      </c>
      <c r="AN780" s="1">
        <v>4</v>
      </c>
      <c r="AO780" t="s">
        <v>81</v>
      </c>
      <c r="AP780" t="s">
        <v>82</v>
      </c>
      <c r="AQ780" t="s">
        <v>83</v>
      </c>
      <c r="AX780" s="3">
        <v>83418.789999999994</v>
      </c>
      <c r="BB780" t="s">
        <v>84</v>
      </c>
    </row>
    <row r="781" spans="1:64" x14ac:dyDescent="0.25">
      <c r="A781" t="s">
        <v>3251</v>
      </c>
      <c r="B781" t="s">
        <v>3252</v>
      </c>
      <c r="C781" s="4">
        <f>(AA781*(H781*0.9))*12</f>
        <v>0</v>
      </c>
      <c r="D781" s="4" t="str">
        <f>IF(C781=0,"",(H781*150*12)+C781)</f>
        <v/>
      </c>
      <c r="E781" s="4" t="str">
        <f>IFERROR(D781*0.5,"")</f>
        <v/>
      </c>
      <c r="F781" s="4" t="str">
        <f>IFERROR(E781/0.06,"")</f>
        <v/>
      </c>
      <c r="G781" s="4" t="str">
        <f>IFERROR(F781/H781,"")</f>
        <v/>
      </c>
      <c r="H781" s="1">
        <v>52</v>
      </c>
      <c r="I781" s="1">
        <v>1995</v>
      </c>
      <c r="J781" t="s">
        <v>64</v>
      </c>
      <c r="K781" t="s">
        <v>140</v>
      </c>
      <c r="P781" s="1">
        <v>3</v>
      </c>
      <c r="Q781" t="s">
        <v>91</v>
      </c>
      <c r="R781" t="s">
        <v>70</v>
      </c>
      <c r="S781" t="s">
        <v>71</v>
      </c>
      <c r="U781" t="s">
        <v>72</v>
      </c>
      <c r="V781" t="s">
        <v>134</v>
      </c>
      <c r="W781" t="s">
        <v>74</v>
      </c>
      <c r="X781" t="s">
        <v>3253</v>
      </c>
      <c r="AN781" s="1">
        <v>2</v>
      </c>
      <c r="AO781" t="s">
        <v>81</v>
      </c>
      <c r="AP781" t="s">
        <v>82</v>
      </c>
      <c r="AQ781" t="s">
        <v>83</v>
      </c>
      <c r="AX781" s="3">
        <v>4273.03</v>
      </c>
      <c r="BB781" t="s">
        <v>84</v>
      </c>
    </row>
    <row r="782" spans="1:64" x14ac:dyDescent="0.25">
      <c r="A782" t="s">
        <v>3254</v>
      </c>
      <c r="B782" t="s">
        <v>3255</v>
      </c>
      <c r="C782" s="4">
        <f>(AA782*(H782*0.9))*12</f>
        <v>0</v>
      </c>
      <c r="D782" s="4" t="str">
        <f>IF(C782=0,"",(H782*150*12)+C782)</f>
        <v/>
      </c>
      <c r="E782" s="4" t="str">
        <f>IFERROR(D782*0.5,"")</f>
        <v/>
      </c>
      <c r="F782" s="4" t="str">
        <f>IFERROR(E782/0.06,"")</f>
        <v/>
      </c>
      <c r="G782" s="4" t="str">
        <f>IFERROR(F782/H782,"")</f>
        <v/>
      </c>
      <c r="H782" s="1">
        <v>300</v>
      </c>
      <c r="I782" s="1">
        <v>1999</v>
      </c>
      <c r="J782" t="s">
        <v>64</v>
      </c>
      <c r="K782" t="s">
        <v>501</v>
      </c>
      <c r="L782" t="s">
        <v>3256</v>
      </c>
      <c r="M782" t="s">
        <v>3257</v>
      </c>
      <c r="N782" t="s">
        <v>3258</v>
      </c>
      <c r="O782" t="s">
        <v>3256</v>
      </c>
      <c r="P782" s="1">
        <v>3</v>
      </c>
      <c r="Q782" t="s">
        <v>91</v>
      </c>
      <c r="R782" t="s">
        <v>70</v>
      </c>
      <c r="S782" t="s">
        <v>127</v>
      </c>
      <c r="U782" t="s">
        <v>72</v>
      </c>
      <c r="V782" t="s">
        <v>152</v>
      </c>
      <c r="W782" t="s">
        <v>74</v>
      </c>
      <c r="X782" t="s">
        <v>3259</v>
      </c>
      <c r="AK782" s="5">
        <v>9.6667000000000005</v>
      </c>
      <c r="AM782" s="1">
        <v>2009</v>
      </c>
      <c r="AN782" s="1">
        <v>1</v>
      </c>
      <c r="AO782" t="s">
        <v>81</v>
      </c>
      <c r="AP782" t="s">
        <v>82</v>
      </c>
      <c r="AQ782" t="s">
        <v>83</v>
      </c>
      <c r="AX782" s="3">
        <v>70009.06</v>
      </c>
      <c r="BB782" t="s">
        <v>84</v>
      </c>
    </row>
    <row r="783" spans="1:64" x14ac:dyDescent="0.25">
      <c r="A783" t="s">
        <v>3270</v>
      </c>
      <c r="B783" t="s">
        <v>3271</v>
      </c>
      <c r="C783" s="4">
        <f>(AA783*(H783*0.9))*12</f>
        <v>0</v>
      </c>
      <c r="D783" s="4" t="str">
        <f>IF(C783=0,"",(H783*150*12)+C783)</f>
        <v/>
      </c>
      <c r="E783" s="4" t="str">
        <f>IFERROR(D783*0.5,"")</f>
        <v/>
      </c>
      <c r="F783" s="4" t="str">
        <f>IFERROR(E783/0.06,"")</f>
        <v/>
      </c>
      <c r="G783" s="4" t="str">
        <f>IFERROR(F783/H783,"")</f>
        <v/>
      </c>
      <c r="H783" s="1">
        <v>412</v>
      </c>
      <c r="I783" s="1">
        <v>1995</v>
      </c>
      <c r="J783" t="s">
        <v>64</v>
      </c>
      <c r="K783" t="s">
        <v>3272</v>
      </c>
      <c r="L783" t="s">
        <v>403</v>
      </c>
      <c r="M783" t="s">
        <v>3273</v>
      </c>
      <c r="N783" t="s">
        <v>405</v>
      </c>
      <c r="O783" t="s">
        <v>403</v>
      </c>
      <c r="P783" s="1">
        <v>3</v>
      </c>
      <c r="Q783" t="s">
        <v>91</v>
      </c>
      <c r="R783" t="s">
        <v>70</v>
      </c>
      <c r="S783" t="s">
        <v>71</v>
      </c>
      <c r="T783" t="s">
        <v>118</v>
      </c>
      <c r="U783" t="s">
        <v>3274</v>
      </c>
      <c r="V783" t="s">
        <v>152</v>
      </c>
      <c r="W783" t="s">
        <v>74</v>
      </c>
      <c r="X783" t="s">
        <v>3275</v>
      </c>
      <c r="AN783" s="1">
        <v>1</v>
      </c>
      <c r="AO783" t="s">
        <v>81</v>
      </c>
      <c r="AP783" t="s">
        <v>82</v>
      </c>
      <c r="AQ783" t="s">
        <v>83</v>
      </c>
      <c r="BB783" t="s">
        <v>84</v>
      </c>
    </row>
    <row r="784" spans="1:64" x14ac:dyDescent="0.25">
      <c r="A784" t="s">
        <v>1177</v>
      </c>
      <c r="B784" t="s">
        <v>1178</v>
      </c>
      <c r="C784" s="4">
        <f>(AA784*(H784*0.9))*12</f>
        <v>0</v>
      </c>
      <c r="D784" s="4" t="str">
        <f>IF(C784=0,"",(H784*150*12)+C784)</f>
        <v/>
      </c>
      <c r="E784" s="4" t="str">
        <f>IFERROR(D784*0.5,"")</f>
        <v/>
      </c>
      <c r="F784" s="4" t="str">
        <f>IFERROR(E784/0.06,"")</f>
        <v/>
      </c>
      <c r="G784" s="4" t="str">
        <f>IFERROR(F784/H784,"")</f>
        <v/>
      </c>
      <c r="H784" s="1">
        <v>115</v>
      </c>
      <c r="I784" s="1">
        <v>1990</v>
      </c>
      <c r="J784" t="s">
        <v>64</v>
      </c>
      <c r="K784" t="s">
        <v>1179</v>
      </c>
      <c r="L784" t="s">
        <v>1180</v>
      </c>
      <c r="N784" t="s">
        <v>1181</v>
      </c>
      <c r="O784" t="s">
        <v>1180</v>
      </c>
      <c r="P784" s="1">
        <v>2</v>
      </c>
      <c r="Q784" t="s">
        <v>69</v>
      </c>
      <c r="R784" t="s">
        <v>70</v>
      </c>
      <c r="S784" t="s">
        <v>71</v>
      </c>
      <c r="U784" t="s">
        <v>72</v>
      </c>
      <c r="V784" t="s">
        <v>73</v>
      </c>
      <c r="W784" t="s">
        <v>74</v>
      </c>
      <c r="X784" t="s">
        <v>1182</v>
      </c>
      <c r="AK784" s="5">
        <v>9.5652000000000008</v>
      </c>
      <c r="AN784" s="1">
        <v>2</v>
      </c>
      <c r="AO784" t="s">
        <v>81</v>
      </c>
      <c r="AP784" t="s">
        <v>82</v>
      </c>
      <c r="AQ784" t="s">
        <v>83</v>
      </c>
      <c r="AX784" s="3">
        <v>164753.22</v>
      </c>
      <c r="BB784" t="s">
        <v>84</v>
      </c>
    </row>
    <row r="785" spans="1:64" x14ac:dyDescent="0.25">
      <c r="A785" t="s">
        <v>3351</v>
      </c>
      <c r="B785" t="s">
        <v>3352</v>
      </c>
      <c r="C785" s="4">
        <f>(AA785*(H785*0.9))*12</f>
        <v>0</v>
      </c>
      <c r="D785" s="4" t="str">
        <f>IF(C785=0,"",(H785*150*12)+C785)</f>
        <v/>
      </c>
      <c r="E785" s="4" t="str">
        <f>IFERROR(D785*0.5,"")</f>
        <v/>
      </c>
      <c r="F785" s="4" t="str">
        <f>IFERROR(E785/0.06,"")</f>
        <v/>
      </c>
      <c r="G785" s="4" t="str">
        <f>IFERROR(F785/H785,"")</f>
        <v/>
      </c>
      <c r="H785" s="1">
        <v>121</v>
      </c>
      <c r="I785" s="1">
        <v>1997</v>
      </c>
      <c r="J785" t="s">
        <v>64</v>
      </c>
      <c r="K785" t="s">
        <v>501</v>
      </c>
      <c r="L785" t="s">
        <v>1155</v>
      </c>
      <c r="N785" t="s">
        <v>3353</v>
      </c>
      <c r="O785" t="s">
        <v>1155</v>
      </c>
      <c r="P785" s="1">
        <v>2</v>
      </c>
      <c r="Q785" t="s">
        <v>69</v>
      </c>
      <c r="R785" t="s">
        <v>70</v>
      </c>
      <c r="S785" t="s">
        <v>127</v>
      </c>
      <c r="U785" t="s">
        <v>72</v>
      </c>
      <c r="V785" t="s">
        <v>152</v>
      </c>
      <c r="W785" t="s">
        <v>74</v>
      </c>
      <c r="X785" t="s">
        <v>504</v>
      </c>
      <c r="AK785" s="5">
        <v>9.9174000000000007</v>
      </c>
      <c r="AN785" s="1">
        <v>1</v>
      </c>
      <c r="AO785" t="s">
        <v>81</v>
      </c>
      <c r="AP785" t="s">
        <v>82</v>
      </c>
      <c r="AQ785" t="s">
        <v>83</v>
      </c>
      <c r="BB785" t="s">
        <v>84</v>
      </c>
    </row>
    <row r="786" spans="1:64" x14ac:dyDescent="0.25">
      <c r="A786" t="s">
        <v>3360</v>
      </c>
      <c r="B786" t="s">
        <v>3361</v>
      </c>
      <c r="C786" s="4">
        <f>(AA786*(H786*0.9))*12</f>
        <v>0</v>
      </c>
      <c r="D786" s="4" t="str">
        <f>IF(C786=0,"",(H786*150*12)+C786)</f>
        <v/>
      </c>
      <c r="E786" s="4" t="str">
        <f>IFERROR(D786*0.5,"")</f>
        <v/>
      </c>
      <c r="F786" s="4" t="str">
        <f>IFERROR(E786/0.06,"")</f>
        <v/>
      </c>
      <c r="G786" s="4" t="str">
        <f>IFERROR(F786/H786,"")</f>
        <v/>
      </c>
      <c r="H786" s="1">
        <v>98</v>
      </c>
      <c r="I786" s="1">
        <v>1999</v>
      </c>
      <c r="J786" t="s">
        <v>64</v>
      </c>
      <c r="K786" t="s">
        <v>422</v>
      </c>
      <c r="L786" t="s">
        <v>3362</v>
      </c>
      <c r="M786" t="s">
        <v>3363</v>
      </c>
      <c r="N786" t="s">
        <v>3364</v>
      </c>
      <c r="O786" t="s">
        <v>3362</v>
      </c>
      <c r="P786" s="1">
        <v>3</v>
      </c>
      <c r="Q786" t="s">
        <v>91</v>
      </c>
      <c r="R786" t="s">
        <v>70</v>
      </c>
      <c r="S786" t="s">
        <v>71</v>
      </c>
      <c r="U786" t="s">
        <v>72</v>
      </c>
      <c r="V786" t="s">
        <v>427</v>
      </c>
      <c r="W786" t="s">
        <v>74</v>
      </c>
      <c r="X786" t="s">
        <v>3365</v>
      </c>
      <c r="Y786" s="2">
        <v>752</v>
      </c>
      <c r="AK786" s="5">
        <v>11.1111</v>
      </c>
      <c r="AN786" s="1">
        <v>2</v>
      </c>
      <c r="AO786" t="s">
        <v>81</v>
      </c>
      <c r="AP786" t="s">
        <v>82</v>
      </c>
      <c r="AQ786" t="s">
        <v>83</v>
      </c>
      <c r="AX786" s="3">
        <v>117293.15</v>
      </c>
      <c r="BB786" t="s">
        <v>84</v>
      </c>
      <c r="BF786" s="1">
        <v>752</v>
      </c>
      <c r="BG786" s="1">
        <v>18</v>
      </c>
    </row>
    <row r="787" spans="1:64" x14ac:dyDescent="0.25">
      <c r="A787" t="s">
        <v>3371</v>
      </c>
      <c r="C787" s="4">
        <f>(AA787*(H787*0.9))*12</f>
        <v>0</v>
      </c>
      <c r="D787" s="4" t="str">
        <f>IF(C787=0,"",(H787*150*12)+C787)</f>
        <v/>
      </c>
      <c r="E787" s="4" t="str">
        <f>IFERROR(D787*0.5,"")</f>
        <v/>
      </c>
      <c r="F787" s="4" t="str">
        <f>IFERROR(E787/0.06,"")</f>
        <v/>
      </c>
      <c r="G787" s="4" t="str">
        <f>IFERROR(F787/H787,"")</f>
        <v/>
      </c>
      <c r="H787" s="1">
        <v>60</v>
      </c>
      <c r="I787" s="1">
        <v>2000</v>
      </c>
      <c r="J787" t="s">
        <v>64</v>
      </c>
      <c r="K787" t="s">
        <v>87</v>
      </c>
      <c r="L787" t="s">
        <v>3372</v>
      </c>
      <c r="N787" t="s">
        <v>3372</v>
      </c>
      <c r="P787" s="1">
        <v>4</v>
      </c>
      <c r="Q787" t="s">
        <v>91</v>
      </c>
      <c r="R787" t="s">
        <v>70</v>
      </c>
      <c r="S787" t="s">
        <v>71</v>
      </c>
      <c r="U787" t="s">
        <v>72</v>
      </c>
      <c r="V787" t="s">
        <v>73</v>
      </c>
      <c r="W787" t="s">
        <v>74</v>
      </c>
      <c r="X787" t="s">
        <v>2424</v>
      </c>
      <c r="AN787" s="1">
        <v>18</v>
      </c>
      <c r="AO787" t="s">
        <v>81</v>
      </c>
      <c r="AP787" t="s">
        <v>82</v>
      </c>
      <c r="AQ787" t="s">
        <v>83</v>
      </c>
      <c r="AX787" s="3">
        <v>181464.89</v>
      </c>
      <c r="BB787" t="s">
        <v>84</v>
      </c>
    </row>
    <row r="788" spans="1:64" x14ac:dyDescent="0.25">
      <c r="A788" t="s">
        <v>3387</v>
      </c>
      <c r="B788" t="s">
        <v>3388</v>
      </c>
      <c r="C788" s="4">
        <f>(AA788*(H788*0.9))*12</f>
        <v>0</v>
      </c>
      <c r="D788" s="4" t="str">
        <f>IF(C788=0,"",(H788*150*12)+C788)</f>
        <v/>
      </c>
      <c r="E788" s="4" t="str">
        <f>IFERROR(D788*0.5,"")</f>
        <v/>
      </c>
      <c r="F788" s="4" t="str">
        <f>IFERROR(E788/0.06,"")</f>
        <v/>
      </c>
      <c r="G788" s="4" t="str">
        <f>IFERROR(F788/H788,"")</f>
        <v/>
      </c>
      <c r="H788" s="1">
        <v>120</v>
      </c>
      <c r="I788" s="1">
        <v>1996</v>
      </c>
      <c r="J788" t="s">
        <v>64</v>
      </c>
      <c r="K788" t="s">
        <v>3389</v>
      </c>
      <c r="L788" t="s">
        <v>3390</v>
      </c>
      <c r="M788" t="s">
        <v>3388</v>
      </c>
      <c r="N788" t="s">
        <v>3391</v>
      </c>
      <c r="O788" t="s">
        <v>3390</v>
      </c>
      <c r="P788" s="1">
        <v>3</v>
      </c>
      <c r="Q788" t="s">
        <v>91</v>
      </c>
      <c r="R788" t="s">
        <v>70</v>
      </c>
      <c r="S788" t="s">
        <v>71</v>
      </c>
      <c r="U788" t="s">
        <v>72</v>
      </c>
      <c r="V788" t="s">
        <v>393</v>
      </c>
      <c r="W788" t="s">
        <v>74</v>
      </c>
      <c r="X788" t="s">
        <v>3392</v>
      </c>
      <c r="Y788" s="2">
        <v>496</v>
      </c>
      <c r="AK788" s="5">
        <v>0.83330000000000004</v>
      </c>
      <c r="AN788" s="1">
        <v>3</v>
      </c>
      <c r="AO788" t="s">
        <v>81</v>
      </c>
      <c r="AP788" t="s">
        <v>82</v>
      </c>
      <c r="AQ788" t="s">
        <v>83</v>
      </c>
      <c r="AT788" s="1">
        <v>925</v>
      </c>
      <c r="AX788" s="3">
        <v>207774.55</v>
      </c>
      <c r="BA788" s="6">
        <v>363</v>
      </c>
      <c r="BB788" t="s">
        <v>84</v>
      </c>
      <c r="BF788" s="1">
        <v>659</v>
      </c>
      <c r="BG788" s="1">
        <v>35</v>
      </c>
      <c r="BH788" s="1">
        <v>10</v>
      </c>
      <c r="BL788" t="s">
        <v>131</v>
      </c>
    </row>
    <row r="789" spans="1:64" x14ac:dyDescent="0.25">
      <c r="A789" t="s">
        <v>3398</v>
      </c>
      <c r="B789" t="s">
        <v>3399</v>
      </c>
      <c r="C789" s="4">
        <f>(AA789*(H789*0.9))*12</f>
        <v>0</v>
      </c>
      <c r="D789" s="4" t="str">
        <f>IF(C789=0,"",(H789*150*12)+C789)</f>
        <v/>
      </c>
      <c r="E789" s="4" t="str">
        <f>IFERROR(D789*0.5,"")</f>
        <v/>
      </c>
      <c r="F789" s="4" t="str">
        <f>IFERROR(E789/0.06,"")</f>
        <v/>
      </c>
      <c r="G789" s="4" t="str">
        <f>IFERROR(F789/H789,"")</f>
        <v/>
      </c>
      <c r="H789" s="1">
        <v>179</v>
      </c>
      <c r="I789" s="1">
        <v>1995</v>
      </c>
      <c r="J789" t="s">
        <v>64</v>
      </c>
      <c r="K789" t="s">
        <v>734</v>
      </c>
      <c r="P789" s="1">
        <v>3</v>
      </c>
      <c r="Q789" t="s">
        <v>91</v>
      </c>
      <c r="R789" t="s">
        <v>70</v>
      </c>
      <c r="S789" t="s">
        <v>71</v>
      </c>
      <c r="U789" t="s">
        <v>72</v>
      </c>
      <c r="V789" t="s">
        <v>73</v>
      </c>
      <c r="W789" t="s">
        <v>74</v>
      </c>
      <c r="X789" t="s">
        <v>3400</v>
      </c>
      <c r="AN789" s="1">
        <v>2</v>
      </c>
      <c r="AO789" t="s">
        <v>81</v>
      </c>
      <c r="AP789" t="s">
        <v>82</v>
      </c>
      <c r="AQ789" t="s">
        <v>83</v>
      </c>
      <c r="AX789" s="3">
        <v>60653.42</v>
      </c>
      <c r="BB789" t="s">
        <v>84</v>
      </c>
    </row>
    <row r="790" spans="1:64" x14ac:dyDescent="0.25">
      <c r="A790" t="s">
        <v>3428</v>
      </c>
      <c r="B790" t="s">
        <v>3429</v>
      </c>
      <c r="C790" s="4">
        <f>(AA790*(H790*0.9))*12</f>
        <v>0</v>
      </c>
      <c r="D790" s="4" t="str">
        <f>IF(C790=0,"",(H790*150*12)+C790)</f>
        <v/>
      </c>
      <c r="E790" s="4" t="str">
        <f>IFERROR(D790*0.5,"")</f>
        <v/>
      </c>
      <c r="F790" s="4" t="str">
        <f>IFERROR(E790/0.06,"")</f>
        <v/>
      </c>
      <c r="G790" s="4" t="str">
        <f>IFERROR(F790/H790,"")</f>
        <v/>
      </c>
      <c r="H790" s="1">
        <v>176</v>
      </c>
      <c r="I790" s="1">
        <v>1995</v>
      </c>
      <c r="J790" t="s">
        <v>64</v>
      </c>
      <c r="K790" t="s">
        <v>734</v>
      </c>
      <c r="P790" s="1">
        <v>3</v>
      </c>
      <c r="Q790" t="s">
        <v>91</v>
      </c>
      <c r="R790" t="s">
        <v>70</v>
      </c>
      <c r="S790" t="s">
        <v>71</v>
      </c>
      <c r="U790" t="s">
        <v>72</v>
      </c>
      <c r="V790" t="s">
        <v>73</v>
      </c>
      <c r="W790" t="s">
        <v>74</v>
      </c>
      <c r="X790" t="s">
        <v>730</v>
      </c>
      <c r="AN790" s="1">
        <v>2</v>
      </c>
      <c r="AO790" t="s">
        <v>81</v>
      </c>
      <c r="AP790" t="s">
        <v>82</v>
      </c>
      <c r="AQ790" t="s">
        <v>83</v>
      </c>
      <c r="AX790" s="3">
        <v>67821.75</v>
      </c>
      <c r="BB790" t="s">
        <v>84</v>
      </c>
      <c r="BH790" s="1">
        <v>176</v>
      </c>
    </row>
    <row r="791" spans="1:64" x14ac:dyDescent="0.25">
      <c r="A791" t="s">
        <v>3442</v>
      </c>
      <c r="B791" t="s">
        <v>3443</v>
      </c>
      <c r="C791" s="4">
        <f>(AA791*(H791*0.9))*12</f>
        <v>0</v>
      </c>
      <c r="D791" s="4" t="str">
        <f>IF(C791=0,"",(H791*150*12)+C791)</f>
        <v/>
      </c>
      <c r="E791" s="4" t="str">
        <f>IFERROR(D791*0.5,"")</f>
        <v/>
      </c>
      <c r="F791" s="4" t="str">
        <f>IFERROR(E791/0.06,"")</f>
        <v/>
      </c>
      <c r="G791" s="4" t="str">
        <f>IFERROR(F791/H791,"")</f>
        <v/>
      </c>
      <c r="H791" s="1">
        <v>91</v>
      </c>
      <c r="I791" s="1">
        <v>1993</v>
      </c>
      <c r="J791" t="s">
        <v>64</v>
      </c>
      <c r="K791" t="s">
        <v>156</v>
      </c>
      <c r="L791" t="s">
        <v>866</v>
      </c>
      <c r="M791" t="s">
        <v>3444</v>
      </c>
      <c r="N791" t="s">
        <v>3445</v>
      </c>
      <c r="O791" t="s">
        <v>866</v>
      </c>
      <c r="P791" s="1">
        <v>2</v>
      </c>
      <c r="Q791" t="s">
        <v>69</v>
      </c>
      <c r="R791" t="s">
        <v>70</v>
      </c>
      <c r="S791" t="s">
        <v>127</v>
      </c>
      <c r="U791" t="s">
        <v>72</v>
      </c>
      <c r="V791" t="s">
        <v>862</v>
      </c>
      <c r="W791" t="s">
        <v>74</v>
      </c>
      <c r="X791" t="s">
        <v>869</v>
      </c>
      <c r="AK791" s="5">
        <v>10.989000000000001</v>
      </c>
      <c r="AN791" s="1">
        <v>1</v>
      </c>
      <c r="AO791" t="s">
        <v>81</v>
      </c>
      <c r="AP791" t="s">
        <v>82</v>
      </c>
      <c r="AQ791" t="s">
        <v>83</v>
      </c>
      <c r="AX791" s="3">
        <v>178020.76</v>
      </c>
      <c r="BB791" t="s">
        <v>84</v>
      </c>
      <c r="BL791" t="s">
        <v>131</v>
      </c>
    </row>
    <row r="792" spans="1:64" x14ac:dyDescent="0.25">
      <c r="A792" t="s">
        <v>3477</v>
      </c>
      <c r="C792" s="4">
        <f>(AA792*(H792*0.9))*12</f>
        <v>0</v>
      </c>
      <c r="D792" s="4" t="str">
        <f>IF(C792=0,"",(H792*150*12)+C792)</f>
        <v/>
      </c>
      <c r="E792" s="4" t="str">
        <f>IFERROR(D792*0.5,"")</f>
        <v/>
      </c>
      <c r="F792" s="4" t="str">
        <f>IFERROR(E792/0.06,"")</f>
        <v/>
      </c>
      <c r="G792" s="4" t="str">
        <f>IFERROR(F792/H792,"")</f>
        <v/>
      </c>
      <c r="H792" s="1">
        <v>200</v>
      </c>
      <c r="I792" s="1">
        <v>2000</v>
      </c>
      <c r="J792" t="s">
        <v>64</v>
      </c>
      <c r="K792" t="s">
        <v>228</v>
      </c>
      <c r="P792" s="1">
        <v>2</v>
      </c>
      <c r="Q792" t="s">
        <v>69</v>
      </c>
      <c r="R792" t="s">
        <v>70</v>
      </c>
      <c r="S792" t="s">
        <v>71</v>
      </c>
      <c r="U792" t="s">
        <v>72</v>
      </c>
      <c r="V792" t="s">
        <v>1862</v>
      </c>
      <c r="W792" t="s">
        <v>74</v>
      </c>
      <c r="X792" t="s">
        <v>3478</v>
      </c>
      <c r="AN792" s="1">
        <v>1</v>
      </c>
      <c r="AO792" t="s">
        <v>81</v>
      </c>
      <c r="AP792" t="s">
        <v>82</v>
      </c>
      <c r="AQ792" t="s">
        <v>83</v>
      </c>
      <c r="BB792" t="s">
        <v>84</v>
      </c>
    </row>
    <row r="793" spans="1:64" x14ac:dyDescent="0.25">
      <c r="A793" t="s">
        <v>3490</v>
      </c>
      <c r="B793" t="s">
        <v>3491</v>
      </c>
      <c r="C793" s="4">
        <f>(AA793*(H793*0.9))*12</f>
        <v>0</v>
      </c>
      <c r="D793" s="4" t="str">
        <f>IF(C793=0,"",(H793*150*12)+C793)</f>
        <v/>
      </c>
      <c r="E793" s="4" t="str">
        <f>IFERROR(D793*0.5,"")</f>
        <v/>
      </c>
      <c r="F793" s="4" t="str">
        <f>IFERROR(E793/0.06,"")</f>
        <v/>
      </c>
      <c r="G793" s="4" t="str">
        <f>IFERROR(F793/H793,"")</f>
        <v/>
      </c>
      <c r="H793" s="1">
        <v>94</v>
      </c>
      <c r="I793" s="1">
        <v>1999</v>
      </c>
      <c r="J793" t="s">
        <v>64</v>
      </c>
      <c r="K793" t="s">
        <v>409</v>
      </c>
      <c r="L793" t="s">
        <v>3492</v>
      </c>
      <c r="O793" t="s">
        <v>3492</v>
      </c>
      <c r="P793" s="1">
        <v>2</v>
      </c>
      <c r="Q793" t="s">
        <v>69</v>
      </c>
      <c r="R793" t="s">
        <v>70</v>
      </c>
      <c r="S793" t="s">
        <v>127</v>
      </c>
      <c r="U793" t="s">
        <v>72</v>
      </c>
      <c r="V793" t="s">
        <v>3493</v>
      </c>
      <c r="W793" t="s">
        <v>74</v>
      </c>
      <c r="X793" t="s">
        <v>3494</v>
      </c>
      <c r="AK793" s="5">
        <v>10.638299999999999</v>
      </c>
      <c r="AN793" s="1">
        <v>1</v>
      </c>
      <c r="AO793" t="s">
        <v>81</v>
      </c>
      <c r="AP793" t="s">
        <v>82</v>
      </c>
      <c r="AQ793" t="s">
        <v>83</v>
      </c>
      <c r="AX793" s="3">
        <v>566.78</v>
      </c>
      <c r="BB793" t="s">
        <v>84</v>
      </c>
    </row>
    <row r="794" spans="1:64" x14ac:dyDescent="0.25">
      <c r="A794" t="s">
        <v>3522</v>
      </c>
      <c r="B794" t="s">
        <v>3523</v>
      </c>
      <c r="C794" s="4">
        <f>(AA794*(H794*0.9))*12</f>
        <v>0</v>
      </c>
      <c r="D794" s="4" t="str">
        <f>IF(C794=0,"",(H794*150*12)+C794)</f>
        <v/>
      </c>
      <c r="E794" s="4" t="str">
        <f>IFERROR(D794*0.5,"")</f>
        <v/>
      </c>
      <c r="F794" s="4" t="str">
        <f>IFERROR(E794/0.06,"")</f>
        <v/>
      </c>
      <c r="G794" s="4" t="str">
        <f>IFERROR(F794/H794,"")</f>
        <v/>
      </c>
      <c r="H794" s="1">
        <v>138</v>
      </c>
      <c r="I794" s="1">
        <v>1992</v>
      </c>
      <c r="J794" t="s">
        <v>64</v>
      </c>
      <c r="K794" t="s">
        <v>501</v>
      </c>
      <c r="L794" t="s">
        <v>3524</v>
      </c>
      <c r="M794" t="s">
        <v>3524</v>
      </c>
      <c r="N794" t="s">
        <v>3525</v>
      </c>
      <c r="O794" t="s">
        <v>3524</v>
      </c>
      <c r="P794" s="1">
        <v>3</v>
      </c>
      <c r="Q794" t="s">
        <v>69</v>
      </c>
      <c r="R794" t="s">
        <v>70</v>
      </c>
      <c r="S794" t="s">
        <v>127</v>
      </c>
      <c r="U794" t="s">
        <v>72</v>
      </c>
      <c r="V794" t="s">
        <v>152</v>
      </c>
      <c r="W794" t="s">
        <v>74</v>
      </c>
      <c r="X794" t="s">
        <v>3526</v>
      </c>
      <c r="AK794" s="5">
        <v>9.4202999999999992</v>
      </c>
      <c r="AN794" s="1">
        <v>1</v>
      </c>
      <c r="AO794" t="s">
        <v>81</v>
      </c>
      <c r="AP794" t="s">
        <v>82</v>
      </c>
      <c r="AQ794" t="s">
        <v>83</v>
      </c>
      <c r="BB794" t="s">
        <v>84</v>
      </c>
    </row>
    <row r="795" spans="1:64" x14ac:dyDescent="0.25">
      <c r="A795" t="s">
        <v>1424</v>
      </c>
      <c r="B795" t="s">
        <v>1425</v>
      </c>
      <c r="C795" s="4">
        <f>(AA795*(H795*0.9))*12</f>
        <v>0</v>
      </c>
      <c r="D795" s="4" t="str">
        <f>IF(C795=0,"",(H795*150*12)+C795)</f>
        <v/>
      </c>
      <c r="E795" s="4" t="str">
        <f>IFERROR(D795*0.5,"")</f>
        <v/>
      </c>
      <c r="F795" s="4" t="str">
        <f>IFERROR(E795/0.06,"")</f>
        <v/>
      </c>
      <c r="G795" s="4" t="str">
        <f>IFERROR(F795/H795,"")</f>
        <v/>
      </c>
      <c r="H795" s="1">
        <v>56</v>
      </c>
      <c r="I795" s="1">
        <v>1990</v>
      </c>
      <c r="J795" t="s">
        <v>64</v>
      </c>
      <c r="K795" t="s">
        <v>140</v>
      </c>
      <c r="L795" t="s">
        <v>1426</v>
      </c>
      <c r="N795" t="s">
        <v>1426</v>
      </c>
      <c r="P795" s="1">
        <v>3</v>
      </c>
      <c r="Q795" t="s">
        <v>91</v>
      </c>
      <c r="R795" t="s">
        <v>70</v>
      </c>
      <c r="S795" t="s">
        <v>71</v>
      </c>
      <c r="U795" t="s">
        <v>72</v>
      </c>
      <c r="V795" t="s">
        <v>140</v>
      </c>
      <c r="W795" t="s">
        <v>74</v>
      </c>
      <c r="X795" t="s">
        <v>1427</v>
      </c>
      <c r="AN795" s="1">
        <v>2</v>
      </c>
      <c r="AO795" t="s">
        <v>81</v>
      </c>
      <c r="AP795" t="s">
        <v>82</v>
      </c>
      <c r="AQ795" t="s">
        <v>83</v>
      </c>
      <c r="AX795" s="3">
        <v>5435.55</v>
      </c>
      <c r="BB795" t="s">
        <v>84</v>
      </c>
    </row>
    <row r="796" spans="1:64" x14ac:dyDescent="0.25">
      <c r="A796" t="s">
        <v>3588</v>
      </c>
      <c r="B796" t="s">
        <v>3589</v>
      </c>
      <c r="C796" s="4">
        <f>(AA796*(H796*0.9))*12</f>
        <v>0</v>
      </c>
      <c r="D796" s="4" t="str">
        <f>IF(C796=0,"",(H796*150*12)+C796)</f>
        <v/>
      </c>
      <c r="E796" s="4" t="str">
        <f>IFERROR(D796*0.5,"")</f>
        <v/>
      </c>
      <c r="F796" s="4" t="str">
        <f>IFERROR(E796/0.06,"")</f>
        <v/>
      </c>
      <c r="G796" s="4" t="str">
        <f>IFERROR(F796/H796,"")</f>
        <v/>
      </c>
      <c r="H796" s="1">
        <v>301</v>
      </c>
      <c r="I796" s="1">
        <v>1996</v>
      </c>
      <c r="J796" t="s">
        <v>64</v>
      </c>
      <c r="K796" t="s">
        <v>501</v>
      </c>
      <c r="L796" t="s">
        <v>3590</v>
      </c>
      <c r="M796" t="s">
        <v>3524</v>
      </c>
      <c r="N796" t="s">
        <v>3590</v>
      </c>
      <c r="O796" t="s">
        <v>3590</v>
      </c>
      <c r="P796" s="1">
        <v>3</v>
      </c>
      <c r="Q796" t="s">
        <v>69</v>
      </c>
      <c r="R796" t="s">
        <v>70</v>
      </c>
      <c r="S796" t="s">
        <v>127</v>
      </c>
      <c r="U796" t="s">
        <v>72</v>
      </c>
      <c r="V796" t="s">
        <v>152</v>
      </c>
      <c r="W796" t="s">
        <v>74</v>
      </c>
      <c r="X796" t="s">
        <v>3591</v>
      </c>
      <c r="AK796" s="5">
        <v>9.6346000000000007</v>
      </c>
      <c r="AN796" s="1">
        <v>1</v>
      </c>
      <c r="AO796" t="s">
        <v>81</v>
      </c>
      <c r="AP796" t="s">
        <v>82</v>
      </c>
      <c r="AQ796" t="s">
        <v>83</v>
      </c>
      <c r="AX796" s="3">
        <v>407.27</v>
      </c>
      <c r="BB796" t="s">
        <v>84</v>
      </c>
      <c r="BG796" s="1">
        <v>301</v>
      </c>
    </row>
    <row r="797" spans="1:64" x14ac:dyDescent="0.25">
      <c r="A797" t="s">
        <v>3653</v>
      </c>
      <c r="B797" t="s">
        <v>3654</v>
      </c>
      <c r="C797" s="4">
        <f>(AA797*(H797*0.9))*12</f>
        <v>0</v>
      </c>
      <c r="D797" s="4" t="str">
        <f>IF(C797=0,"",(H797*150*12)+C797)</f>
        <v/>
      </c>
      <c r="E797" s="4" t="str">
        <f>IFERROR(D797*0.5,"")</f>
        <v/>
      </c>
      <c r="F797" s="4" t="str">
        <f>IFERROR(E797/0.06,"")</f>
        <v/>
      </c>
      <c r="G797" s="4" t="str">
        <f>IFERROR(F797/H797,"")</f>
        <v/>
      </c>
      <c r="H797" s="1">
        <v>126</v>
      </c>
      <c r="I797" s="1">
        <v>1994</v>
      </c>
      <c r="J797" t="s">
        <v>64</v>
      </c>
      <c r="K797" t="s">
        <v>140</v>
      </c>
      <c r="L797" t="s">
        <v>3655</v>
      </c>
      <c r="M797" t="s">
        <v>3654</v>
      </c>
      <c r="N797" t="s">
        <v>3655</v>
      </c>
      <c r="P797" s="1">
        <v>3</v>
      </c>
      <c r="Q797" t="s">
        <v>91</v>
      </c>
      <c r="R797" t="s">
        <v>70</v>
      </c>
      <c r="S797" t="s">
        <v>71</v>
      </c>
      <c r="U797" t="s">
        <v>72</v>
      </c>
      <c r="V797" t="s">
        <v>140</v>
      </c>
      <c r="W797" t="s">
        <v>74</v>
      </c>
      <c r="X797" t="s">
        <v>1351</v>
      </c>
      <c r="AN797" s="1">
        <v>2</v>
      </c>
      <c r="AO797" t="s">
        <v>81</v>
      </c>
      <c r="AP797" t="s">
        <v>82</v>
      </c>
      <c r="AQ797" t="s">
        <v>83</v>
      </c>
      <c r="AX797" s="3">
        <v>36152.800000000003</v>
      </c>
      <c r="BB797" t="s">
        <v>84</v>
      </c>
    </row>
    <row r="798" spans="1:64" x14ac:dyDescent="0.25">
      <c r="A798" t="s">
        <v>3656</v>
      </c>
      <c r="B798" t="s">
        <v>3657</v>
      </c>
      <c r="C798" s="4">
        <f>(AA798*(H798*0.9))*12</f>
        <v>0</v>
      </c>
      <c r="D798" s="4" t="str">
        <f>IF(C798=0,"",(H798*150*12)+C798)</f>
        <v/>
      </c>
      <c r="E798" s="4" t="str">
        <f>IFERROR(D798*0.5,"")</f>
        <v/>
      </c>
      <c r="F798" s="4" t="str">
        <f>IFERROR(E798/0.06,"")</f>
        <v/>
      </c>
      <c r="G798" s="4" t="str">
        <f>IFERROR(F798/H798,"")</f>
        <v/>
      </c>
      <c r="H798" s="1">
        <v>78</v>
      </c>
      <c r="I798" s="1">
        <v>1995</v>
      </c>
      <c r="J798" t="s">
        <v>64</v>
      </c>
      <c r="K798" t="s">
        <v>140</v>
      </c>
      <c r="L798" t="s">
        <v>3658</v>
      </c>
      <c r="M798" t="s">
        <v>3659</v>
      </c>
      <c r="N798" t="s">
        <v>3658</v>
      </c>
      <c r="P798" s="1">
        <v>3</v>
      </c>
      <c r="Q798" t="s">
        <v>91</v>
      </c>
      <c r="R798" t="s">
        <v>70</v>
      </c>
      <c r="S798" t="s">
        <v>71</v>
      </c>
      <c r="U798" t="s">
        <v>72</v>
      </c>
      <c r="V798" t="s">
        <v>140</v>
      </c>
      <c r="W798" t="s">
        <v>74</v>
      </c>
      <c r="X798" t="s">
        <v>1351</v>
      </c>
      <c r="Y798" s="2">
        <v>1086</v>
      </c>
      <c r="AN798" s="1">
        <v>2</v>
      </c>
      <c r="AO798" t="s">
        <v>81</v>
      </c>
      <c r="AP798" t="s">
        <v>82</v>
      </c>
      <c r="AQ798" t="s">
        <v>83</v>
      </c>
      <c r="AT798" s="1">
        <v>1322</v>
      </c>
      <c r="AX798" s="3">
        <v>25334.15</v>
      </c>
      <c r="BB798" t="s">
        <v>84</v>
      </c>
      <c r="BF798" s="1">
        <v>874</v>
      </c>
      <c r="BG798" s="1">
        <v>41</v>
      </c>
      <c r="BH798" s="1">
        <v>37</v>
      </c>
      <c r="BK798" t="s">
        <v>3660</v>
      </c>
    </row>
    <row r="799" spans="1:64" x14ac:dyDescent="0.25">
      <c r="A799" t="s">
        <v>3701</v>
      </c>
      <c r="B799" t="s">
        <v>3702</v>
      </c>
      <c r="C799" s="4">
        <f>(AA799*(H799*0.9))*12</f>
        <v>0</v>
      </c>
      <c r="D799" s="4" t="str">
        <f>IF(C799=0,"",(H799*150*12)+C799)</f>
        <v/>
      </c>
      <c r="E799" s="4" t="str">
        <f>IFERROR(D799*0.5,"")</f>
        <v/>
      </c>
      <c r="F799" s="4" t="str">
        <f>IFERROR(E799/0.06,"")</f>
        <v/>
      </c>
      <c r="G799" s="4" t="str">
        <f>IFERROR(F799/H799,"")</f>
        <v/>
      </c>
      <c r="H799" s="1">
        <v>220</v>
      </c>
      <c r="I799" s="1">
        <v>2000</v>
      </c>
      <c r="J799" t="s">
        <v>64</v>
      </c>
      <c r="K799" t="s">
        <v>531</v>
      </c>
      <c r="L799" t="s">
        <v>2732</v>
      </c>
      <c r="N799" t="s">
        <v>3703</v>
      </c>
      <c r="O799" t="s">
        <v>2732</v>
      </c>
      <c r="P799" s="1">
        <v>2</v>
      </c>
      <c r="Q799" t="s">
        <v>69</v>
      </c>
      <c r="R799" t="s">
        <v>70</v>
      </c>
      <c r="S799" t="s">
        <v>127</v>
      </c>
      <c r="U799" t="s">
        <v>72</v>
      </c>
      <c r="V799" t="s">
        <v>531</v>
      </c>
      <c r="W799" t="s">
        <v>74</v>
      </c>
      <c r="X799" t="s">
        <v>3704</v>
      </c>
      <c r="AK799" s="5">
        <v>1.3635999999999999</v>
      </c>
      <c r="AN799" s="1">
        <v>1</v>
      </c>
      <c r="AO799" t="s">
        <v>81</v>
      </c>
      <c r="AP799" t="s">
        <v>82</v>
      </c>
      <c r="AQ799" t="s">
        <v>83</v>
      </c>
      <c r="AX799" s="3">
        <v>534857.09</v>
      </c>
      <c r="BB799" t="s">
        <v>84</v>
      </c>
    </row>
    <row r="800" spans="1:64" x14ac:dyDescent="0.25">
      <c r="A800" t="s">
        <v>3922</v>
      </c>
      <c r="B800" t="s">
        <v>3923</v>
      </c>
      <c r="C800" s="4">
        <f>(AA800*(H800*0.9))*12</f>
        <v>0</v>
      </c>
      <c r="D800" s="4" t="str">
        <f>IF(C800=0,"",(H800*150*12)+C800)</f>
        <v/>
      </c>
      <c r="E800" s="4" t="str">
        <f>IFERROR(D800*0.5,"")</f>
        <v/>
      </c>
      <c r="F800" s="4" t="str">
        <f>IFERROR(E800/0.06,"")</f>
        <v/>
      </c>
      <c r="G800" s="4" t="str">
        <f>IFERROR(F800/H800,"")</f>
        <v/>
      </c>
      <c r="H800" s="1">
        <v>122</v>
      </c>
      <c r="I800" s="1">
        <v>2000</v>
      </c>
      <c r="J800" t="s">
        <v>64</v>
      </c>
      <c r="K800" t="s">
        <v>140</v>
      </c>
      <c r="M800" t="s">
        <v>3924</v>
      </c>
      <c r="P800" s="1">
        <v>3</v>
      </c>
      <c r="Q800" t="s">
        <v>91</v>
      </c>
      <c r="R800" t="s">
        <v>70</v>
      </c>
      <c r="S800" t="s">
        <v>71</v>
      </c>
      <c r="U800" t="s">
        <v>72</v>
      </c>
      <c r="V800" t="s">
        <v>140</v>
      </c>
      <c r="W800" t="s">
        <v>74</v>
      </c>
      <c r="X800" t="s">
        <v>3925</v>
      </c>
      <c r="AN800" s="1">
        <v>1</v>
      </c>
      <c r="AO800" t="s">
        <v>81</v>
      </c>
      <c r="AP800" t="s">
        <v>82</v>
      </c>
      <c r="AQ800" t="s">
        <v>83</v>
      </c>
      <c r="AX800" s="3">
        <v>54528.89</v>
      </c>
      <c r="BB800" t="s">
        <v>84</v>
      </c>
      <c r="BH800" s="1">
        <v>122</v>
      </c>
    </row>
    <row r="801" spans="1:64" x14ac:dyDescent="0.25">
      <c r="A801" t="s">
        <v>4021</v>
      </c>
      <c r="B801" t="s">
        <v>4022</v>
      </c>
      <c r="C801" s="4">
        <f>(AA801*(H801*0.9))*12</f>
        <v>0</v>
      </c>
      <c r="D801" s="4" t="str">
        <f>IF(C801=0,"",(H801*150*12)+C801)</f>
        <v/>
      </c>
      <c r="E801" s="4" t="str">
        <f>IFERROR(D801*0.5,"")</f>
        <v/>
      </c>
      <c r="F801" s="4" t="str">
        <f>IFERROR(E801/0.06,"")</f>
        <v/>
      </c>
      <c r="G801" s="4" t="str">
        <f>IFERROR(F801/H801,"")</f>
        <v/>
      </c>
      <c r="H801" s="1">
        <v>50</v>
      </c>
      <c r="I801" s="1">
        <v>2000</v>
      </c>
      <c r="J801" t="s">
        <v>64</v>
      </c>
      <c r="K801" t="s">
        <v>4023</v>
      </c>
      <c r="M801" t="s">
        <v>4024</v>
      </c>
      <c r="P801" s="1">
        <v>3</v>
      </c>
      <c r="Q801" t="s">
        <v>91</v>
      </c>
      <c r="R801" t="s">
        <v>70</v>
      </c>
      <c r="S801" t="s">
        <v>71</v>
      </c>
      <c r="U801" t="s">
        <v>72</v>
      </c>
      <c r="V801" t="s">
        <v>215</v>
      </c>
      <c r="W801" t="s">
        <v>74</v>
      </c>
      <c r="X801" t="s">
        <v>4025</v>
      </c>
      <c r="AN801" s="1">
        <v>3</v>
      </c>
      <c r="AO801" t="s">
        <v>81</v>
      </c>
      <c r="AP801" t="s">
        <v>82</v>
      </c>
      <c r="AQ801" t="s">
        <v>83</v>
      </c>
      <c r="AX801" s="3">
        <v>15533.07</v>
      </c>
      <c r="BB801" t="s">
        <v>84</v>
      </c>
    </row>
    <row r="802" spans="1:64" x14ac:dyDescent="0.25">
      <c r="A802" t="s">
        <v>4026</v>
      </c>
      <c r="B802" t="s">
        <v>4027</v>
      </c>
      <c r="C802" s="4">
        <f>(AA802*(H802*0.9))*12</f>
        <v>0</v>
      </c>
      <c r="D802" s="4" t="str">
        <f>IF(C802=0,"",(H802*150*12)+C802)</f>
        <v/>
      </c>
      <c r="E802" s="4" t="str">
        <f>IFERROR(D802*0.5,"")</f>
        <v/>
      </c>
      <c r="F802" s="4" t="str">
        <f>IFERROR(E802/0.06,"")</f>
        <v/>
      </c>
      <c r="G802" s="4" t="str">
        <f>IFERROR(F802/H802,"")</f>
        <v/>
      </c>
      <c r="H802" s="1">
        <v>127</v>
      </c>
      <c r="I802" s="1">
        <v>1998</v>
      </c>
      <c r="J802" t="s">
        <v>64</v>
      </c>
      <c r="K802" t="s">
        <v>87</v>
      </c>
      <c r="L802" t="s">
        <v>4028</v>
      </c>
      <c r="N802" t="s">
        <v>4028</v>
      </c>
      <c r="P802" s="1">
        <v>4</v>
      </c>
      <c r="Q802" t="s">
        <v>91</v>
      </c>
      <c r="R802" t="s">
        <v>70</v>
      </c>
      <c r="S802" t="s">
        <v>71</v>
      </c>
      <c r="U802" t="s">
        <v>72</v>
      </c>
      <c r="V802" t="s">
        <v>73</v>
      </c>
      <c r="W802" t="s">
        <v>74</v>
      </c>
      <c r="X802" t="s">
        <v>92</v>
      </c>
      <c r="AN802" s="1">
        <v>5</v>
      </c>
      <c r="AO802" t="s">
        <v>81</v>
      </c>
      <c r="AP802" t="s">
        <v>82</v>
      </c>
      <c r="AQ802" t="s">
        <v>83</v>
      </c>
      <c r="AX802" s="3">
        <v>104139.1</v>
      </c>
      <c r="BB802" t="s">
        <v>84</v>
      </c>
    </row>
    <row r="803" spans="1:64" x14ac:dyDescent="0.25">
      <c r="A803" t="s">
        <v>1837</v>
      </c>
      <c r="B803" t="s">
        <v>1838</v>
      </c>
      <c r="C803" s="4">
        <f>(AA803*(H803*0.9))*12</f>
        <v>0</v>
      </c>
      <c r="D803" s="4" t="str">
        <f>IF(C803=0,"",(H803*150*12)+C803)</f>
        <v/>
      </c>
      <c r="E803" s="4" t="str">
        <f>IFERROR(D803*0.5,"")</f>
        <v/>
      </c>
      <c r="F803" s="4" t="str">
        <f>IFERROR(E803/0.06,"")</f>
        <v/>
      </c>
      <c r="G803" s="4" t="str">
        <f>IFERROR(F803/H803,"")</f>
        <v/>
      </c>
      <c r="H803" s="1">
        <v>80</v>
      </c>
      <c r="I803" s="1">
        <v>1990</v>
      </c>
      <c r="J803" t="s">
        <v>64</v>
      </c>
      <c r="K803" t="s">
        <v>140</v>
      </c>
      <c r="L803" t="s">
        <v>1839</v>
      </c>
      <c r="N803" t="s">
        <v>1839</v>
      </c>
      <c r="P803" s="1">
        <v>3</v>
      </c>
      <c r="Q803" t="s">
        <v>91</v>
      </c>
      <c r="R803" t="s">
        <v>70</v>
      </c>
      <c r="S803" t="s">
        <v>71</v>
      </c>
      <c r="U803" t="s">
        <v>72</v>
      </c>
      <c r="V803" t="s">
        <v>140</v>
      </c>
      <c r="W803" t="s">
        <v>74</v>
      </c>
      <c r="X803" t="s">
        <v>165</v>
      </c>
      <c r="AN803" s="1">
        <v>2</v>
      </c>
      <c r="AO803" t="s">
        <v>81</v>
      </c>
      <c r="AP803" t="s">
        <v>82</v>
      </c>
      <c r="AQ803" t="s">
        <v>83</v>
      </c>
      <c r="AX803" s="3">
        <v>16770.75</v>
      </c>
      <c r="BB803" t="s">
        <v>84</v>
      </c>
    </row>
    <row r="804" spans="1:64" x14ac:dyDescent="0.25">
      <c r="A804" t="s">
        <v>4066</v>
      </c>
      <c r="B804" t="s">
        <v>4067</v>
      </c>
      <c r="C804" s="4">
        <f>(AA804*(H804*0.9))*12</f>
        <v>0</v>
      </c>
      <c r="D804" s="4" t="str">
        <f>IF(C804=0,"",(H804*150*12)+C804)</f>
        <v/>
      </c>
      <c r="E804" s="4" t="str">
        <f>IFERROR(D804*0.5,"")</f>
        <v/>
      </c>
      <c r="F804" s="4" t="str">
        <f>IFERROR(E804/0.06,"")</f>
        <v/>
      </c>
      <c r="G804" s="4" t="str">
        <f>IFERROR(F804/H804,"")</f>
        <v/>
      </c>
      <c r="H804" s="1">
        <v>63</v>
      </c>
      <c r="I804" s="1">
        <v>2000</v>
      </c>
      <c r="J804" t="s">
        <v>64</v>
      </c>
      <c r="K804" t="s">
        <v>87</v>
      </c>
      <c r="L804" t="s">
        <v>4068</v>
      </c>
      <c r="N804" t="s">
        <v>4068</v>
      </c>
      <c r="P804" s="1">
        <v>4</v>
      </c>
      <c r="Q804" t="s">
        <v>729</v>
      </c>
      <c r="R804" t="s">
        <v>70</v>
      </c>
      <c r="S804" t="s">
        <v>71</v>
      </c>
      <c r="U804" t="s">
        <v>72</v>
      </c>
      <c r="V804" t="s">
        <v>73</v>
      </c>
      <c r="W804" t="s">
        <v>74</v>
      </c>
      <c r="X804" t="s">
        <v>607</v>
      </c>
      <c r="Y804" s="2">
        <v>2134</v>
      </c>
      <c r="AN804" s="1">
        <v>17</v>
      </c>
      <c r="AO804" t="s">
        <v>81</v>
      </c>
      <c r="AP804" t="s">
        <v>82</v>
      </c>
      <c r="AQ804" t="s">
        <v>83</v>
      </c>
      <c r="AT804" s="1">
        <v>2145</v>
      </c>
      <c r="AW804" s="1">
        <v>3250</v>
      </c>
      <c r="AX804" s="3">
        <v>102679</v>
      </c>
      <c r="BB804" t="s">
        <v>84</v>
      </c>
      <c r="BF804" s="1">
        <v>1348</v>
      </c>
      <c r="BG804" s="1">
        <v>5</v>
      </c>
      <c r="BH804" s="1">
        <v>55</v>
      </c>
      <c r="BI804" s="1">
        <v>3</v>
      </c>
    </row>
    <row r="805" spans="1:64" x14ac:dyDescent="0.25">
      <c r="A805" t="s">
        <v>4089</v>
      </c>
      <c r="B805" t="s">
        <v>4090</v>
      </c>
      <c r="C805" s="4">
        <f>(AA805*(H805*0.9))*12</f>
        <v>0</v>
      </c>
      <c r="D805" s="4" t="str">
        <f>IF(C805=0,"",(H805*150*12)+C805)</f>
        <v/>
      </c>
      <c r="E805" s="4" t="str">
        <f>IFERROR(D805*0.5,"")</f>
        <v/>
      </c>
      <c r="F805" s="4" t="str">
        <f>IFERROR(E805/0.06,"")</f>
        <v/>
      </c>
      <c r="G805" s="4" t="str">
        <f>IFERROR(F805/H805,"")</f>
        <v/>
      </c>
      <c r="H805" s="1">
        <v>118</v>
      </c>
      <c r="I805" s="1">
        <v>2000</v>
      </c>
      <c r="J805" t="s">
        <v>64</v>
      </c>
      <c r="K805" t="s">
        <v>2726</v>
      </c>
      <c r="M805" t="s">
        <v>4091</v>
      </c>
      <c r="P805" s="1">
        <v>4</v>
      </c>
      <c r="Q805" t="s">
        <v>729</v>
      </c>
      <c r="R805" t="s">
        <v>70</v>
      </c>
      <c r="S805" t="s">
        <v>71</v>
      </c>
      <c r="U805" t="s">
        <v>72</v>
      </c>
      <c r="V805" t="s">
        <v>73</v>
      </c>
      <c r="W805" t="s">
        <v>74</v>
      </c>
      <c r="X805" t="s">
        <v>1568</v>
      </c>
      <c r="AN805" s="1">
        <v>20</v>
      </c>
      <c r="AO805" t="s">
        <v>81</v>
      </c>
      <c r="AP805" t="s">
        <v>82</v>
      </c>
      <c r="AQ805" t="s">
        <v>83</v>
      </c>
      <c r="AX805" s="3">
        <v>273406.34000000003</v>
      </c>
      <c r="BB805" t="s">
        <v>84</v>
      </c>
      <c r="BI805" s="1">
        <v>118</v>
      </c>
    </row>
    <row r="806" spans="1:64" x14ac:dyDescent="0.25">
      <c r="A806" t="s">
        <v>4185</v>
      </c>
      <c r="B806" t="s">
        <v>4186</v>
      </c>
      <c r="C806" s="4">
        <f>(AA806*(H806*0.9))*12</f>
        <v>0</v>
      </c>
      <c r="D806" s="4" t="str">
        <f>IF(C806=0,"",(H806*150*12)+C806)</f>
        <v/>
      </c>
      <c r="E806" s="4" t="str">
        <f>IFERROR(D806*0.5,"")</f>
        <v/>
      </c>
      <c r="F806" s="4" t="str">
        <f>IFERROR(E806/0.06,"")</f>
        <v/>
      </c>
      <c r="G806" s="4" t="str">
        <f>IFERROR(F806/H806,"")</f>
        <v/>
      </c>
      <c r="H806" s="1">
        <v>129</v>
      </c>
      <c r="I806" s="1">
        <v>2000</v>
      </c>
      <c r="J806" t="s">
        <v>64</v>
      </c>
      <c r="K806" t="s">
        <v>215</v>
      </c>
      <c r="L806" t="s">
        <v>4187</v>
      </c>
      <c r="N806" t="s">
        <v>4187</v>
      </c>
      <c r="P806" s="1">
        <v>4</v>
      </c>
      <c r="Q806" t="s">
        <v>91</v>
      </c>
      <c r="R806" t="s">
        <v>70</v>
      </c>
      <c r="S806" t="s">
        <v>71</v>
      </c>
      <c r="U806" t="s">
        <v>72</v>
      </c>
      <c r="V806" t="s">
        <v>1384</v>
      </c>
      <c r="W806" t="s">
        <v>74</v>
      </c>
      <c r="X806" t="s">
        <v>4188</v>
      </c>
      <c r="Y806" s="2">
        <v>2239</v>
      </c>
      <c r="AN806" s="1">
        <v>3</v>
      </c>
      <c r="AO806" t="s">
        <v>81</v>
      </c>
      <c r="AP806" t="s">
        <v>82</v>
      </c>
      <c r="AQ806" t="s">
        <v>83</v>
      </c>
      <c r="AT806" s="1">
        <v>2372</v>
      </c>
      <c r="AW806" s="1">
        <v>2173</v>
      </c>
      <c r="AX806" s="3">
        <v>7008.06</v>
      </c>
      <c r="BB806" t="s">
        <v>84</v>
      </c>
      <c r="BH806" s="1">
        <v>4</v>
      </c>
      <c r="BI806" s="1">
        <v>8</v>
      </c>
    </row>
    <row r="807" spans="1:64" x14ac:dyDescent="0.25">
      <c r="A807" t="s">
        <v>4189</v>
      </c>
      <c r="B807" t="s">
        <v>4190</v>
      </c>
      <c r="C807" s="4">
        <f>(AA807*(H807*0.9))*12</f>
        <v>0</v>
      </c>
      <c r="D807" s="4" t="str">
        <f>IF(C807=0,"",(H807*150*12)+C807)</f>
        <v/>
      </c>
      <c r="E807" s="4" t="str">
        <f>IFERROR(D807*0.5,"")</f>
        <v/>
      </c>
      <c r="F807" s="4" t="str">
        <f>IFERROR(E807/0.06,"")</f>
        <v/>
      </c>
      <c r="G807" s="4" t="str">
        <f>IFERROR(F807/H807,"")</f>
        <v/>
      </c>
      <c r="H807" s="1">
        <v>115</v>
      </c>
      <c r="I807" s="1">
        <v>1998</v>
      </c>
      <c r="J807" t="s">
        <v>64</v>
      </c>
      <c r="K807" t="s">
        <v>2726</v>
      </c>
      <c r="L807" t="s">
        <v>4191</v>
      </c>
      <c r="N807" t="s">
        <v>4191</v>
      </c>
      <c r="P807" s="1">
        <v>3</v>
      </c>
      <c r="Q807" t="s">
        <v>91</v>
      </c>
      <c r="R807" t="s">
        <v>70</v>
      </c>
      <c r="S807" t="s">
        <v>71</v>
      </c>
      <c r="U807" t="s">
        <v>72</v>
      </c>
      <c r="V807" t="s">
        <v>73</v>
      </c>
      <c r="W807" t="s">
        <v>74</v>
      </c>
      <c r="X807" t="s">
        <v>1568</v>
      </c>
      <c r="AN807" s="1">
        <v>4</v>
      </c>
      <c r="AO807" t="s">
        <v>81</v>
      </c>
      <c r="AP807" t="s">
        <v>82</v>
      </c>
      <c r="AQ807" t="s">
        <v>83</v>
      </c>
      <c r="AX807" s="3">
        <v>86551.62</v>
      </c>
      <c r="BB807" t="s">
        <v>84</v>
      </c>
      <c r="BG807" s="1">
        <v>115</v>
      </c>
    </row>
    <row r="808" spans="1:64" x14ac:dyDescent="0.25">
      <c r="A808" t="s">
        <v>1940</v>
      </c>
      <c r="C808" s="4">
        <f>(AA808*(H808*0.9))*12</f>
        <v>0</v>
      </c>
      <c r="D808" s="4" t="str">
        <f>IF(C808=0,"",(H808*150*12)+C808)</f>
        <v/>
      </c>
      <c r="E808" s="4" t="str">
        <f>IFERROR(D808*0.5,"")</f>
        <v/>
      </c>
      <c r="F808" s="4" t="str">
        <f>IFERROR(E808/0.06,"")</f>
        <v/>
      </c>
      <c r="G808" s="4" t="str">
        <f>IFERROR(F808/H808,"")</f>
        <v/>
      </c>
      <c r="H808" s="1">
        <v>65</v>
      </c>
      <c r="I808" s="1">
        <v>1990</v>
      </c>
      <c r="J808" t="s">
        <v>64</v>
      </c>
      <c r="K808" t="s">
        <v>97</v>
      </c>
      <c r="L808" t="s">
        <v>1941</v>
      </c>
      <c r="N808" t="s">
        <v>1942</v>
      </c>
      <c r="O808" t="s">
        <v>1941</v>
      </c>
      <c r="P808" s="1">
        <v>3</v>
      </c>
      <c r="Q808" t="s">
        <v>91</v>
      </c>
      <c r="R808" t="s">
        <v>70</v>
      </c>
      <c r="S808" t="s">
        <v>127</v>
      </c>
      <c r="U808" t="s">
        <v>72</v>
      </c>
      <c r="V808" t="s">
        <v>1943</v>
      </c>
      <c r="W808" t="s">
        <v>74</v>
      </c>
      <c r="X808" t="s">
        <v>1944</v>
      </c>
      <c r="AK808" s="5">
        <v>9.2308000000000003</v>
      </c>
      <c r="AN808" s="1">
        <v>1</v>
      </c>
      <c r="AO808" t="s">
        <v>81</v>
      </c>
      <c r="AP808" t="s">
        <v>82</v>
      </c>
      <c r="AQ808" t="s">
        <v>83</v>
      </c>
      <c r="AX808" s="3">
        <v>46727.49</v>
      </c>
      <c r="BB808" t="s">
        <v>84</v>
      </c>
      <c r="BG808" s="1">
        <v>65</v>
      </c>
    </row>
    <row r="809" spans="1:64" x14ac:dyDescent="0.25">
      <c r="A809" t="s">
        <v>4257</v>
      </c>
      <c r="B809" t="s">
        <v>4258</v>
      </c>
      <c r="C809" s="4">
        <f>(AA809*(H809*0.9))*12</f>
        <v>0</v>
      </c>
      <c r="D809" s="4" t="str">
        <f>IF(C809=0,"",(H809*150*12)+C809)</f>
        <v/>
      </c>
      <c r="E809" s="4" t="str">
        <f>IFERROR(D809*0.5,"")</f>
        <v/>
      </c>
      <c r="F809" s="4" t="str">
        <f>IFERROR(E809/0.06,"")</f>
        <v/>
      </c>
      <c r="G809" s="4" t="str">
        <f>IFERROR(F809/H809,"")</f>
        <v/>
      </c>
      <c r="H809" s="1">
        <v>108</v>
      </c>
      <c r="I809" s="1">
        <v>1995</v>
      </c>
      <c r="J809" t="s">
        <v>64</v>
      </c>
      <c r="K809" t="s">
        <v>87</v>
      </c>
      <c r="L809" t="s">
        <v>4259</v>
      </c>
      <c r="M809" t="s">
        <v>4260</v>
      </c>
      <c r="N809" t="s">
        <v>4261</v>
      </c>
      <c r="O809" t="s">
        <v>4259</v>
      </c>
      <c r="P809" s="1">
        <v>3</v>
      </c>
      <c r="Q809" t="s">
        <v>91</v>
      </c>
      <c r="R809" t="s">
        <v>70</v>
      </c>
      <c r="S809" t="s">
        <v>71</v>
      </c>
      <c r="U809" t="s">
        <v>72</v>
      </c>
      <c r="V809" t="s">
        <v>73</v>
      </c>
      <c r="W809" t="s">
        <v>74</v>
      </c>
      <c r="X809" t="s">
        <v>4262</v>
      </c>
      <c r="AN809" s="1">
        <v>3</v>
      </c>
      <c r="AO809" t="s">
        <v>81</v>
      </c>
      <c r="AP809" t="s">
        <v>82</v>
      </c>
      <c r="AQ809" t="s">
        <v>83</v>
      </c>
      <c r="AX809" s="3">
        <v>144016.21</v>
      </c>
      <c r="BB809" t="s">
        <v>84</v>
      </c>
    </row>
    <row r="810" spans="1:64" x14ac:dyDescent="0.25">
      <c r="A810" t="s">
        <v>4271</v>
      </c>
      <c r="B810" t="s">
        <v>4272</v>
      </c>
      <c r="C810" s="4">
        <f>(AA810*(H810*0.9))*12</f>
        <v>0</v>
      </c>
      <c r="D810" s="4" t="str">
        <f>IF(C810=0,"",(H810*150*12)+C810)</f>
        <v/>
      </c>
      <c r="E810" s="4" t="str">
        <f>IFERROR(D810*0.5,"")</f>
        <v/>
      </c>
      <c r="F810" s="4" t="str">
        <f>IFERROR(E810/0.06,"")</f>
        <v/>
      </c>
      <c r="G810" s="4" t="str">
        <f>IFERROR(F810/H810,"")</f>
        <v/>
      </c>
      <c r="H810" s="1">
        <v>117</v>
      </c>
      <c r="I810" s="1">
        <v>1999</v>
      </c>
      <c r="J810" t="s">
        <v>64</v>
      </c>
      <c r="K810" t="s">
        <v>87</v>
      </c>
      <c r="L810" t="s">
        <v>4273</v>
      </c>
      <c r="N810" t="s">
        <v>4273</v>
      </c>
      <c r="P810" s="1">
        <v>3</v>
      </c>
      <c r="Q810" t="s">
        <v>91</v>
      </c>
      <c r="R810" t="s">
        <v>70</v>
      </c>
      <c r="S810" t="s">
        <v>71</v>
      </c>
      <c r="U810" t="s">
        <v>72</v>
      </c>
      <c r="V810" t="s">
        <v>73</v>
      </c>
      <c r="W810" t="s">
        <v>74</v>
      </c>
      <c r="X810" t="s">
        <v>92</v>
      </c>
      <c r="Y810" s="2">
        <v>1173</v>
      </c>
      <c r="AN810" s="1">
        <v>3</v>
      </c>
      <c r="AO810" t="s">
        <v>81</v>
      </c>
      <c r="AP810" t="s">
        <v>82</v>
      </c>
      <c r="AQ810" t="s">
        <v>83</v>
      </c>
      <c r="AT810" s="1">
        <v>1295</v>
      </c>
      <c r="AW810" s="1">
        <v>1711</v>
      </c>
      <c r="AX810" s="3">
        <v>6189.89</v>
      </c>
      <c r="BB810" t="s">
        <v>84</v>
      </c>
      <c r="BF810" s="1">
        <v>514</v>
      </c>
      <c r="BG810" s="1">
        <v>39</v>
      </c>
      <c r="BH810" s="1">
        <v>39</v>
      </c>
      <c r="BI810" s="1">
        <v>39</v>
      </c>
      <c r="BK810" t="s">
        <v>4274</v>
      </c>
      <c r="BL810" t="s">
        <v>744</v>
      </c>
    </row>
    <row r="811" spans="1:64" x14ac:dyDescent="0.25">
      <c r="A811" t="s">
        <v>4287</v>
      </c>
      <c r="B811" t="s">
        <v>4288</v>
      </c>
      <c r="C811" s="4">
        <f>(AA811*(H811*0.9))*12</f>
        <v>0</v>
      </c>
      <c r="D811" s="4" t="str">
        <f>IF(C811=0,"",(H811*150*12)+C811)</f>
        <v/>
      </c>
      <c r="E811" s="4" t="str">
        <f>IFERROR(D811*0.5,"")</f>
        <v/>
      </c>
      <c r="F811" s="4" t="str">
        <f>IFERROR(E811/0.06,"")</f>
        <v/>
      </c>
      <c r="G811" s="4" t="str">
        <f>IFERROR(F811/H811,"")</f>
        <v/>
      </c>
      <c r="H811" s="1">
        <v>100</v>
      </c>
      <c r="I811" s="1">
        <v>2000</v>
      </c>
      <c r="J811" t="s">
        <v>64</v>
      </c>
      <c r="K811" t="s">
        <v>114</v>
      </c>
      <c r="L811" t="s">
        <v>4289</v>
      </c>
      <c r="N811" t="s">
        <v>4290</v>
      </c>
      <c r="O811" t="s">
        <v>4289</v>
      </c>
      <c r="P811" s="1">
        <v>2</v>
      </c>
      <c r="Q811" t="s">
        <v>91</v>
      </c>
      <c r="R811" t="s">
        <v>70</v>
      </c>
      <c r="S811" t="s">
        <v>127</v>
      </c>
      <c r="U811" t="s">
        <v>72</v>
      </c>
      <c r="V811" t="s">
        <v>917</v>
      </c>
      <c r="W811" t="s">
        <v>74</v>
      </c>
      <c r="X811" t="s">
        <v>4291</v>
      </c>
      <c r="AK811" s="5">
        <v>4</v>
      </c>
      <c r="AN811" s="1">
        <v>1</v>
      </c>
      <c r="AO811" t="s">
        <v>81</v>
      </c>
      <c r="AP811" t="s">
        <v>82</v>
      </c>
      <c r="AQ811" t="s">
        <v>83</v>
      </c>
      <c r="AX811" s="3">
        <v>648.91</v>
      </c>
      <c r="BB811" t="s">
        <v>84</v>
      </c>
    </row>
    <row r="812" spans="1:64" x14ac:dyDescent="0.25">
      <c r="A812" t="s">
        <v>4292</v>
      </c>
      <c r="B812" t="s">
        <v>4293</v>
      </c>
      <c r="C812" s="4">
        <f>(AA812*(H812*0.9))*12</f>
        <v>0</v>
      </c>
      <c r="D812" s="4" t="str">
        <f>IF(C812=0,"",(H812*150*12)+C812)</f>
        <v/>
      </c>
      <c r="E812" s="4" t="str">
        <f>IFERROR(D812*0.5,"")</f>
        <v/>
      </c>
      <c r="F812" s="4" t="str">
        <f>IFERROR(E812/0.06,"")</f>
        <v/>
      </c>
      <c r="G812" s="4" t="str">
        <f>IFERROR(F812/H812,"")</f>
        <v/>
      </c>
      <c r="H812" s="1">
        <v>60</v>
      </c>
      <c r="I812" s="1">
        <v>1999</v>
      </c>
      <c r="J812" t="s">
        <v>64</v>
      </c>
      <c r="K812" t="s">
        <v>477</v>
      </c>
      <c r="L812" t="s">
        <v>4294</v>
      </c>
      <c r="N812" t="s">
        <v>4295</v>
      </c>
      <c r="O812" t="s">
        <v>4294</v>
      </c>
      <c r="P812" s="1">
        <v>3</v>
      </c>
      <c r="Q812" t="s">
        <v>91</v>
      </c>
      <c r="R812" t="s">
        <v>70</v>
      </c>
      <c r="S812" t="s">
        <v>71</v>
      </c>
      <c r="U812" t="s">
        <v>72</v>
      </c>
      <c r="V812" t="s">
        <v>110</v>
      </c>
      <c r="W812" t="s">
        <v>74</v>
      </c>
      <c r="X812" t="s">
        <v>4296</v>
      </c>
      <c r="AK812" s="5">
        <v>11.666700000000001</v>
      </c>
      <c r="AL812" s="1">
        <v>1</v>
      </c>
      <c r="AN812" s="1">
        <v>2</v>
      </c>
      <c r="AO812" t="s">
        <v>81</v>
      </c>
      <c r="AP812" t="s">
        <v>82</v>
      </c>
      <c r="AQ812" t="s">
        <v>83</v>
      </c>
      <c r="BB812" t="s">
        <v>84</v>
      </c>
    </row>
    <row r="813" spans="1:64" x14ac:dyDescent="0.25">
      <c r="A813" t="s">
        <v>4301</v>
      </c>
      <c r="B813" t="s">
        <v>4302</v>
      </c>
      <c r="C813" s="4">
        <f>(AA813*(H813*0.9))*12</f>
        <v>0</v>
      </c>
      <c r="D813" s="4" t="str">
        <f>IF(C813=0,"",(H813*150*12)+C813)</f>
        <v/>
      </c>
      <c r="E813" s="4" t="str">
        <f>IFERROR(D813*0.5,"")</f>
        <v/>
      </c>
      <c r="F813" s="4" t="str">
        <f>IFERROR(E813/0.06,"")</f>
        <v/>
      </c>
      <c r="G813" s="4" t="str">
        <f>IFERROR(F813/H813,"")</f>
        <v/>
      </c>
      <c r="H813" s="1">
        <v>70</v>
      </c>
      <c r="I813" s="1">
        <v>1994</v>
      </c>
      <c r="J813" t="s">
        <v>64</v>
      </c>
      <c r="K813" t="s">
        <v>301</v>
      </c>
      <c r="M813" t="s">
        <v>4302</v>
      </c>
      <c r="P813" s="1">
        <v>2</v>
      </c>
      <c r="Q813" t="s">
        <v>69</v>
      </c>
      <c r="R813" t="s">
        <v>70</v>
      </c>
      <c r="S813" t="s">
        <v>71</v>
      </c>
      <c r="U813" t="s">
        <v>72</v>
      </c>
      <c r="V813" t="s">
        <v>152</v>
      </c>
      <c r="W813" t="s">
        <v>74</v>
      </c>
      <c r="X813" t="s">
        <v>4303</v>
      </c>
      <c r="AN813" s="1">
        <v>2</v>
      </c>
      <c r="AO813" t="s">
        <v>81</v>
      </c>
      <c r="AP813" t="s">
        <v>82</v>
      </c>
      <c r="AQ813" t="s">
        <v>83</v>
      </c>
      <c r="AX813" s="3">
        <v>202341.31</v>
      </c>
      <c r="BB813" t="s">
        <v>84</v>
      </c>
      <c r="BK813" t="s">
        <v>4304</v>
      </c>
      <c r="BL813" t="s">
        <v>131</v>
      </c>
    </row>
    <row r="814" spans="1:64" x14ac:dyDescent="0.25">
      <c r="A814" t="s">
        <v>4305</v>
      </c>
      <c r="B814" t="s">
        <v>4306</v>
      </c>
      <c r="C814" s="4">
        <f>(AA814*(H814*0.9))*12</f>
        <v>0</v>
      </c>
      <c r="D814" s="4" t="str">
        <f>IF(C814=0,"",(H814*150*12)+C814)</f>
        <v/>
      </c>
      <c r="E814" s="4" t="str">
        <f>IFERROR(D814*0.5,"")</f>
        <v/>
      </c>
      <c r="F814" s="4" t="str">
        <f>IFERROR(E814/0.06,"")</f>
        <v/>
      </c>
      <c r="G814" s="4" t="str">
        <f>IFERROR(F814/H814,"")</f>
        <v/>
      </c>
      <c r="H814" s="1">
        <v>109</v>
      </c>
      <c r="I814" s="1">
        <v>1998</v>
      </c>
      <c r="J814" t="s">
        <v>64</v>
      </c>
      <c r="K814" t="s">
        <v>156</v>
      </c>
      <c r="L814" t="s">
        <v>4307</v>
      </c>
      <c r="N814" t="s">
        <v>4308</v>
      </c>
      <c r="O814" t="s">
        <v>4307</v>
      </c>
      <c r="P814" s="1">
        <v>2</v>
      </c>
      <c r="Q814" t="s">
        <v>69</v>
      </c>
      <c r="R814" t="s">
        <v>70</v>
      </c>
      <c r="S814" t="s">
        <v>127</v>
      </c>
      <c r="U814" t="s">
        <v>72</v>
      </c>
      <c r="V814" t="s">
        <v>73</v>
      </c>
      <c r="W814" t="s">
        <v>74</v>
      </c>
      <c r="X814" t="s">
        <v>4309</v>
      </c>
      <c r="AK814" s="5">
        <v>11.0092</v>
      </c>
      <c r="AO814" t="s">
        <v>81</v>
      </c>
      <c r="AP814" t="s">
        <v>82</v>
      </c>
      <c r="AQ814" t="s">
        <v>83</v>
      </c>
      <c r="AX814" s="3">
        <v>287402.13</v>
      </c>
      <c r="BB814" t="s">
        <v>84</v>
      </c>
      <c r="BG814" s="1">
        <v>109</v>
      </c>
    </row>
    <row r="815" spans="1:64" x14ac:dyDescent="0.25">
      <c r="A815" t="s">
        <v>4310</v>
      </c>
      <c r="B815" t="s">
        <v>4311</v>
      </c>
      <c r="C815" s="4">
        <f>(AA815*(H815*0.9))*12</f>
        <v>0</v>
      </c>
      <c r="D815" s="4" t="str">
        <f>IF(C815=0,"",(H815*150*12)+C815)</f>
        <v/>
      </c>
      <c r="E815" s="4" t="str">
        <f>IFERROR(D815*0.5,"")</f>
        <v/>
      </c>
      <c r="F815" s="4" t="str">
        <f>IFERROR(E815/0.06,"")</f>
        <v/>
      </c>
      <c r="G815" s="4" t="str">
        <f>IFERROR(F815/H815,"")</f>
        <v/>
      </c>
      <c r="H815" s="1">
        <v>113</v>
      </c>
      <c r="I815" s="1">
        <v>1992</v>
      </c>
      <c r="J815" t="s">
        <v>64</v>
      </c>
      <c r="K815" t="s">
        <v>215</v>
      </c>
      <c r="L815" t="s">
        <v>4312</v>
      </c>
      <c r="N815" t="s">
        <v>4313</v>
      </c>
      <c r="O815" t="s">
        <v>4312</v>
      </c>
      <c r="P815" s="1">
        <v>3</v>
      </c>
      <c r="Q815" t="s">
        <v>69</v>
      </c>
      <c r="R815" t="s">
        <v>70</v>
      </c>
      <c r="S815" t="s">
        <v>127</v>
      </c>
      <c r="U815" t="s">
        <v>72</v>
      </c>
      <c r="V815" t="s">
        <v>215</v>
      </c>
      <c r="W815" t="s">
        <v>74</v>
      </c>
      <c r="X815" t="s">
        <v>4314</v>
      </c>
      <c r="AK815" s="5">
        <v>14.1593</v>
      </c>
      <c r="AN815" s="1">
        <v>1</v>
      </c>
      <c r="AO815" t="s">
        <v>81</v>
      </c>
      <c r="AP815" t="s">
        <v>82</v>
      </c>
      <c r="AQ815" t="s">
        <v>83</v>
      </c>
      <c r="AX815" s="3">
        <v>90413.68</v>
      </c>
      <c r="BB815" t="s">
        <v>84</v>
      </c>
      <c r="BG815" s="1">
        <v>100</v>
      </c>
      <c r="BH815" s="1">
        <v>13</v>
      </c>
      <c r="BK815" t="s">
        <v>1708</v>
      </c>
      <c r="BL815" t="s">
        <v>104</v>
      </c>
    </row>
    <row r="816" spans="1:64" x14ac:dyDescent="0.25">
      <c r="A816" t="s">
        <v>4315</v>
      </c>
      <c r="B816" t="s">
        <v>4316</v>
      </c>
      <c r="C816" s="4">
        <f>(AA816*(H816*0.9))*12</f>
        <v>0</v>
      </c>
      <c r="D816" s="4" t="str">
        <f>IF(C816=0,"",(H816*150*12)+C816)</f>
        <v/>
      </c>
      <c r="E816" s="4" t="str">
        <f>IFERROR(D816*0.5,"")</f>
        <v/>
      </c>
      <c r="F816" s="4" t="str">
        <f>IFERROR(E816/0.06,"")</f>
        <v/>
      </c>
      <c r="G816" s="4" t="str">
        <f>IFERROR(F816/H816,"")</f>
        <v/>
      </c>
      <c r="H816" s="1">
        <v>200</v>
      </c>
      <c r="I816" s="1">
        <v>1998</v>
      </c>
      <c r="J816" t="s">
        <v>64</v>
      </c>
      <c r="K816" t="s">
        <v>228</v>
      </c>
      <c r="L816" t="s">
        <v>4316</v>
      </c>
      <c r="M816" t="s">
        <v>4316</v>
      </c>
      <c r="N816" t="s">
        <v>4317</v>
      </c>
      <c r="O816" t="s">
        <v>4316</v>
      </c>
      <c r="P816" s="1">
        <v>3</v>
      </c>
      <c r="Q816" t="s">
        <v>69</v>
      </c>
      <c r="R816" t="s">
        <v>70</v>
      </c>
      <c r="S816" t="s">
        <v>127</v>
      </c>
      <c r="U816" t="s">
        <v>72</v>
      </c>
      <c r="V816" t="s">
        <v>393</v>
      </c>
      <c r="W816" t="s">
        <v>74</v>
      </c>
      <c r="X816" t="s">
        <v>2646</v>
      </c>
      <c r="AK816" s="5">
        <v>7.5</v>
      </c>
      <c r="AN816" s="1">
        <v>1</v>
      </c>
      <c r="AO816" t="s">
        <v>81</v>
      </c>
      <c r="AP816" t="s">
        <v>82</v>
      </c>
      <c r="AQ816" t="s">
        <v>83</v>
      </c>
      <c r="AX816" s="3">
        <v>28445.95</v>
      </c>
      <c r="BB816" t="s">
        <v>84</v>
      </c>
      <c r="BH816" s="1">
        <v>200</v>
      </c>
      <c r="BK816" t="s">
        <v>2283</v>
      </c>
      <c r="BL816" t="s">
        <v>104</v>
      </c>
    </row>
    <row r="817" spans="1:64" x14ac:dyDescent="0.25">
      <c r="A817" t="s">
        <v>4318</v>
      </c>
      <c r="B817" t="s">
        <v>4319</v>
      </c>
      <c r="C817" s="4">
        <f>(AA817*(H817*0.9))*12</f>
        <v>0</v>
      </c>
      <c r="D817" s="4" t="str">
        <f>IF(C817=0,"",(H817*150*12)+C817)</f>
        <v/>
      </c>
      <c r="E817" s="4" t="str">
        <f>IFERROR(D817*0.5,"")</f>
        <v/>
      </c>
      <c r="F817" s="4" t="str">
        <f>IFERROR(E817/0.06,"")</f>
        <v/>
      </c>
      <c r="G817" s="4" t="str">
        <f>IFERROR(F817/H817,"")</f>
        <v/>
      </c>
      <c r="H817" s="1">
        <v>80</v>
      </c>
      <c r="I817" s="1">
        <v>1996</v>
      </c>
      <c r="J817" t="s">
        <v>64</v>
      </c>
      <c r="K817" t="s">
        <v>215</v>
      </c>
      <c r="L817" t="s">
        <v>4320</v>
      </c>
      <c r="N817" t="s">
        <v>4320</v>
      </c>
      <c r="P817" s="1">
        <v>2</v>
      </c>
      <c r="Q817" t="s">
        <v>69</v>
      </c>
      <c r="R817" t="s">
        <v>70</v>
      </c>
      <c r="S817" t="s">
        <v>127</v>
      </c>
      <c r="U817" t="s">
        <v>72</v>
      </c>
      <c r="V817" t="s">
        <v>4321</v>
      </c>
      <c r="W817" t="s">
        <v>74</v>
      </c>
      <c r="X817" t="s">
        <v>4322</v>
      </c>
      <c r="AK817" s="5">
        <v>13.75</v>
      </c>
      <c r="AN817" s="1">
        <v>1</v>
      </c>
      <c r="AO817" t="s">
        <v>81</v>
      </c>
      <c r="AP817" t="s">
        <v>82</v>
      </c>
      <c r="AQ817" t="s">
        <v>83</v>
      </c>
      <c r="AX817" s="3">
        <v>2167.9</v>
      </c>
      <c r="BB817" t="s">
        <v>84</v>
      </c>
    </row>
    <row r="818" spans="1:64" x14ac:dyDescent="0.25">
      <c r="A818" t="s">
        <v>4323</v>
      </c>
      <c r="B818" t="s">
        <v>4324</v>
      </c>
      <c r="C818" s="4">
        <f>(AA818*(H818*0.9))*12</f>
        <v>0</v>
      </c>
      <c r="D818" s="4" t="str">
        <f>IF(C818=0,"",(H818*150*12)+C818)</f>
        <v/>
      </c>
      <c r="E818" s="4" t="str">
        <f>IFERROR(D818*0.5,"")</f>
        <v/>
      </c>
      <c r="F818" s="4" t="str">
        <f>IFERROR(E818/0.06,"")</f>
        <v/>
      </c>
      <c r="G818" s="4" t="str">
        <f>IFERROR(F818/H818,"")</f>
        <v/>
      </c>
      <c r="H818" s="1">
        <v>78</v>
      </c>
      <c r="I818" s="1">
        <v>1998</v>
      </c>
      <c r="J818" t="s">
        <v>64</v>
      </c>
      <c r="K818" t="s">
        <v>168</v>
      </c>
      <c r="L818" t="s">
        <v>4325</v>
      </c>
      <c r="N818" t="s">
        <v>4325</v>
      </c>
      <c r="O818" t="s">
        <v>4325</v>
      </c>
      <c r="P818" s="1">
        <v>3</v>
      </c>
      <c r="Q818" t="s">
        <v>91</v>
      </c>
      <c r="R818" t="s">
        <v>70</v>
      </c>
      <c r="S818" t="s">
        <v>127</v>
      </c>
      <c r="U818" t="s">
        <v>72</v>
      </c>
      <c r="V818" t="s">
        <v>172</v>
      </c>
      <c r="W818" t="s">
        <v>74</v>
      </c>
      <c r="X818" t="s">
        <v>4326</v>
      </c>
      <c r="AK818" s="5">
        <v>11.538500000000001</v>
      </c>
      <c r="AN818" s="1">
        <v>1</v>
      </c>
      <c r="AO818" t="s">
        <v>81</v>
      </c>
      <c r="AP818" t="s">
        <v>82</v>
      </c>
      <c r="AQ818" t="s">
        <v>83</v>
      </c>
      <c r="BB818" t="s">
        <v>84</v>
      </c>
    </row>
    <row r="819" spans="1:64" x14ac:dyDescent="0.25">
      <c r="A819" t="s">
        <v>4327</v>
      </c>
      <c r="C819" s="4">
        <f>(AA819*(H819*0.9))*12</f>
        <v>0</v>
      </c>
      <c r="D819" s="4" t="str">
        <f>IF(C819=0,"",(H819*150*12)+C819)</f>
        <v/>
      </c>
      <c r="E819" s="4" t="str">
        <f>IFERROR(D819*0.5,"")</f>
        <v/>
      </c>
      <c r="F819" s="4" t="str">
        <f>IFERROR(E819/0.06,"")</f>
        <v/>
      </c>
      <c r="G819" s="4" t="str">
        <f>IFERROR(F819/H819,"")</f>
        <v/>
      </c>
      <c r="H819" s="1">
        <v>58</v>
      </c>
      <c r="I819" s="1">
        <v>2000</v>
      </c>
      <c r="J819" t="s">
        <v>64</v>
      </c>
      <c r="K819" t="s">
        <v>123</v>
      </c>
      <c r="L819" t="s">
        <v>4328</v>
      </c>
      <c r="N819" t="s">
        <v>4328</v>
      </c>
      <c r="P819" s="1">
        <v>3</v>
      </c>
      <c r="Q819" t="s">
        <v>91</v>
      </c>
      <c r="R819" t="s">
        <v>70</v>
      </c>
      <c r="S819" t="s">
        <v>127</v>
      </c>
      <c r="U819" t="s">
        <v>72</v>
      </c>
      <c r="V819" t="s">
        <v>2038</v>
      </c>
      <c r="W819" t="s">
        <v>74</v>
      </c>
      <c r="X819" t="s">
        <v>4329</v>
      </c>
      <c r="AK819" s="5">
        <v>8.6206999999999994</v>
      </c>
      <c r="AN819" s="1">
        <v>1</v>
      </c>
      <c r="AO819" t="s">
        <v>81</v>
      </c>
      <c r="AP819" t="s">
        <v>82</v>
      </c>
      <c r="AQ819" t="s">
        <v>83</v>
      </c>
      <c r="AX819" s="3">
        <v>43669.08</v>
      </c>
      <c r="BB819" t="s">
        <v>84</v>
      </c>
    </row>
    <row r="820" spans="1:64" x14ac:dyDescent="0.25">
      <c r="A820" t="s">
        <v>4330</v>
      </c>
      <c r="C820" s="4">
        <f>(AA820*(H820*0.9))*12</f>
        <v>0</v>
      </c>
      <c r="D820" s="4" t="str">
        <f>IF(C820=0,"",(H820*150*12)+C820)</f>
        <v/>
      </c>
      <c r="E820" s="4" t="str">
        <f>IFERROR(D820*0.5,"")</f>
        <v/>
      </c>
      <c r="F820" s="4" t="str">
        <f>IFERROR(E820/0.06,"")</f>
        <v/>
      </c>
      <c r="G820" s="4" t="str">
        <f>IFERROR(F820/H820,"")</f>
        <v/>
      </c>
      <c r="H820" s="1">
        <v>53</v>
      </c>
      <c r="I820" s="1">
        <v>1995</v>
      </c>
      <c r="J820" t="s">
        <v>64</v>
      </c>
      <c r="K820" t="s">
        <v>3716</v>
      </c>
      <c r="L820" t="s">
        <v>4331</v>
      </c>
      <c r="N820" t="s">
        <v>4332</v>
      </c>
      <c r="O820" t="s">
        <v>4331</v>
      </c>
      <c r="P820" s="1">
        <v>2</v>
      </c>
      <c r="Q820" t="s">
        <v>69</v>
      </c>
      <c r="R820" t="s">
        <v>70</v>
      </c>
      <c r="S820" t="s">
        <v>127</v>
      </c>
      <c r="U820" t="s">
        <v>72</v>
      </c>
      <c r="V820" t="s">
        <v>73</v>
      </c>
      <c r="W820" t="s">
        <v>74</v>
      </c>
      <c r="X820" t="s">
        <v>4333</v>
      </c>
      <c r="AK820" s="5">
        <v>9.4339999999999993</v>
      </c>
      <c r="AN820" s="1">
        <v>1</v>
      </c>
      <c r="AO820" t="s">
        <v>81</v>
      </c>
      <c r="AP820" t="s">
        <v>82</v>
      </c>
      <c r="AQ820" t="s">
        <v>83</v>
      </c>
      <c r="AX820" s="3">
        <v>63382.15</v>
      </c>
      <c r="BB820" t="s">
        <v>84</v>
      </c>
      <c r="BL820" t="s">
        <v>131</v>
      </c>
    </row>
    <row r="821" spans="1:64" x14ac:dyDescent="0.25">
      <c r="A821" t="s">
        <v>2043</v>
      </c>
      <c r="B821" t="s">
        <v>2044</v>
      </c>
      <c r="C821" s="4">
        <f>(AA821*(H821*0.9))*12</f>
        <v>0</v>
      </c>
      <c r="D821" s="4" t="str">
        <f>IF(C821=0,"",(H821*150*12)+C821)</f>
        <v/>
      </c>
      <c r="E821" s="4" t="str">
        <f>IFERROR(D821*0.5,"")</f>
        <v/>
      </c>
      <c r="F821" s="4" t="str">
        <f>IFERROR(E821/0.06,"")</f>
        <v/>
      </c>
      <c r="G821" s="4" t="str">
        <f>IFERROR(F821/H821,"")</f>
        <v/>
      </c>
      <c r="H821" s="1">
        <v>205</v>
      </c>
      <c r="I821" s="1">
        <v>1990</v>
      </c>
      <c r="J821" t="s">
        <v>64</v>
      </c>
      <c r="K821" t="s">
        <v>97</v>
      </c>
      <c r="L821" t="s">
        <v>1941</v>
      </c>
      <c r="N821" t="s">
        <v>2045</v>
      </c>
      <c r="O821" t="s">
        <v>1941</v>
      </c>
      <c r="P821" s="1">
        <v>2</v>
      </c>
      <c r="Q821" t="s">
        <v>69</v>
      </c>
      <c r="R821" t="s">
        <v>70</v>
      </c>
      <c r="S821" t="s">
        <v>127</v>
      </c>
      <c r="U821" t="s">
        <v>72</v>
      </c>
      <c r="V821" t="s">
        <v>2046</v>
      </c>
      <c r="W821" t="s">
        <v>74</v>
      </c>
      <c r="X821" t="s">
        <v>2047</v>
      </c>
      <c r="AK821" s="5">
        <v>9.2683</v>
      </c>
      <c r="AO821" t="s">
        <v>81</v>
      </c>
      <c r="AP821" t="s">
        <v>82</v>
      </c>
      <c r="AQ821" t="s">
        <v>83</v>
      </c>
      <c r="AX821" s="3">
        <v>318421.59999999998</v>
      </c>
      <c r="BB821" t="s">
        <v>84</v>
      </c>
      <c r="BH821" s="1">
        <v>205</v>
      </c>
      <c r="BL821" t="s">
        <v>131</v>
      </c>
    </row>
  </sheetData>
  <autoFilter ref="A1:BT1" xr:uid="{B05F74BE-CD70-412D-934A-00B9C9976DCE}">
    <sortState xmlns:xlrd2="http://schemas.microsoft.com/office/spreadsheetml/2017/richdata2" ref="A2:BT821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21"/>
  <sheetViews>
    <sheetView topLeftCell="J1" workbookViewId="0">
      <selection activeCell="V2" sqref="V2"/>
    </sheetView>
  </sheetViews>
  <sheetFormatPr defaultRowHeight="15" x14ac:dyDescent="0.25"/>
  <cols>
    <col min="1" max="1" width="29.140625" bestFit="1" customWidth="1"/>
    <col min="2" max="2" width="39.28515625" bestFit="1" customWidth="1"/>
    <col min="3" max="3" width="16.28515625" style="1" bestFit="1" customWidth="1"/>
    <col min="4" max="4" width="9.7109375" style="1" bestFit="1" customWidth="1"/>
    <col min="5" max="5" width="19.85546875" bestFit="1" customWidth="1"/>
    <col min="6" max="6" width="30.5703125" bestFit="1" customWidth="1"/>
    <col min="7" max="7" width="46.140625" bestFit="1" customWidth="1"/>
    <col min="8" max="8" width="48.42578125" bestFit="1" customWidth="1"/>
    <col min="9" max="9" width="60.7109375" bestFit="1" customWidth="1"/>
    <col min="10" max="10" width="46.140625" bestFit="1" customWidth="1"/>
    <col min="11" max="11" width="10.85546875" style="1" bestFit="1" customWidth="1"/>
    <col min="12" max="12" width="13.28515625" bestFit="1" customWidth="1"/>
    <col min="13" max="13" width="13.7109375" bestFit="1" customWidth="1"/>
    <col min="14" max="14" width="38.42578125" bestFit="1" customWidth="1"/>
    <col min="15" max="15" width="15.42578125" bestFit="1" customWidth="1"/>
    <col min="16" max="16" width="17" bestFit="1" customWidth="1"/>
    <col min="17" max="17" width="18.42578125" bestFit="1" customWidth="1"/>
    <col min="18" max="18" width="5.7109375" bestFit="1" customWidth="1"/>
    <col min="19" max="19" width="11.5703125" bestFit="1" customWidth="1"/>
    <col min="20" max="20" width="11.28515625" style="2" bestFit="1" customWidth="1"/>
    <col min="21" max="21" width="13.7109375" style="3" bestFit="1" customWidth="1"/>
    <col min="22" max="22" width="15.5703125" style="4" bestFit="1" customWidth="1"/>
    <col min="23" max="23" width="13.140625" style="4" bestFit="1" customWidth="1"/>
    <col min="24" max="24" width="9" style="2" bestFit="1" customWidth="1"/>
    <col min="25" max="25" width="20.85546875" style="4" bestFit="1" customWidth="1"/>
    <col min="26" max="26" width="32" bestFit="1" customWidth="1"/>
    <col min="27" max="27" width="21.42578125" bestFit="1" customWidth="1"/>
    <col min="28" max="28" width="26" bestFit="1" customWidth="1"/>
    <col min="29" max="29" width="19.85546875" bestFit="1" customWidth="1"/>
    <col min="30" max="30" width="17.28515625" bestFit="1" customWidth="1"/>
    <col min="31" max="31" width="21.140625" bestFit="1" customWidth="1"/>
    <col min="32" max="32" width="10.5703125" style="5" bestFit="1" customWidth="1"/>
    <col min="33" max="33" width="11.85546875" style="1" bestFit="1" customWidth="1"/>
    <col min="34" max="34" width="15.28515625" style="1" bestFit="1" customWidth="1"/>
    <col min="35" max="35" width="17.7109375" style="1" bestFit="1" customWidth="1"/>
    <col min="36" max="36" width="12.85546875" bestFit="1" customWidth="1"/>
    <col min="37" max="37" width="10" bestFit="1" customWidth="1"/>
    <col min="38" max="38" width="14" bestFit="1" customWidth="1"/>
    <col min="39" max="39" width="27.7109375" style="3" bestFit="1" customWidth="1"/>
    <col min="40" max="40" width="29.5703125" style="4" bestFit="1" customWidth="1"/>
    <col min="41" max="41" width="20" style="1" bestFit="1" customWidth="1"/>
    <col min="42" max="42" width="29" style="3" bestFit="1" customWidth="1"/>
    <col min="43" max="43" width="30.85546875" style="4" bestFit="1" customWidth="1"/>
    <col min="44" max="44" width="21.42578125" style="1" bestFit="1" customWidth="1"/>
    <col min="45" max="45" width="13.5703125" style="3" bestFit="1" customWidth="1"/>
    <col min="46" max="46" width="20.85546875" style="3" bestFit="1" customWidth="1"/>
    <col min="47" max="47" width="22.7109375" style="4" bestFit="1" customWidth="1"/>
    <col min="48" max="48" width="13.140625" style="6" bestFit="1" customWidth="1"/>
    <col min="49" max="49" width="13.140625" bestFit="1" customWidth="1"/>
    <col min="50" max="50" width="12.42578125" style="7" bestFit="1" customWidth="1"/>
    <col min="51" max="51" width="27.5703125" style="3" bestFit="1" customWidth="1"/>
    <col min="52" max="52" width="29.42578125" style="4" bestFit="1" customWidth="1"/>
    <col min="53" max="53" width="19.85546875" style="1" bestFit="1" customWidth="1"/>
    <col min="54" max="57" width="26.5703125" style="1" bestFit="1" customWidth="1"/>
    <col min="58" max="58" width="13.7109375" bestFit="1" customWidth="1"/>
    <col min="59" max="59" width="25.140625" bestFit="1" customWidth="1"/>
    <col min="60" max="60" width="28" style="3" bestFit="1" customWidth="1"/>
    <col min="61" max="61" width="29.85546875" style="4" bestFit="1" customWidth="1"/>
    <col min="62" max="62" width="20.28515625" style="1" bestFit="1" customWidth="1"/>
  </cols>
  <sheetData>
    <row r="1" spans="1:62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0" t="s">
        <v>19</v>
      </c>
      <c r="U1" s="11" t="s">
        <v>20</v>
      </c>
      <c r="V1" s="12" t="s">
        <v>21</v>
      </c>
      <c r="W1" s="12" t="s">
        <v>22</v>
      </c>
      <c r="X1" s="10" t="s">
        <v>23</v>
      </c>
      <c r="Y1" s="12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13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8" t="s">
        <v>36</v>
      </c>
      <c r="AL1" s="8" t="s">
        <v>37</v>
      </c>
      <c r="AM1" s="11" t="s">
        <v>38</v>
      </c>
      <c r="AN1" s="12" t="s">
        <v>39</v>
      </c>
      <c r="AO1" s="9" t="s">
        <v>40</v>
      </c>
      <c r="AP1" s="11" t="s">
        <v>41</v>
      </c>
      <c r="AQ1" s="12" t="s">
        <v>42</v>
      </c>
      <c r="AR1" s="9" t="s">
        <v>43</v>
      </c>
      <c r="AS1" s="11" t="s">
        <v>44</v>
      </c>
      <c r="AT1" s="11" t="s">
        <v>45</v>
      </c>
      <c r="AU1" s="12" t="s">
        <v>46</v>
      </c>
      <c r="AV1" s="14" t="s">
        <v>47</v>
      </c>
      <c r="AW1" s="8" t="s">
        <v>48</v>
      </c>
      <c r="AX1" s="15" t="s">
        <v>49</v>
      </c>
      <c r="AY1" s="11" t="s">
        <v>50</v>
      </c>
      <c r="AZ1" s="12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11" t="s">
        <v>59</v>
      </c>
      <c r="BI1" s="12" t="s">
        <v>60</v>
      </c>
      <c r="BJ1" s="9" t="s">
        <v>61</v>
      </c>
    </row>
    <row r="2" spans="1:62" x14ac:dyDescent="0.25">
      <c r="A2" t="s">
        <v>62</v>
      </c>
      <c r="B2" t="s">
        <v>63</v>
      </c>
      <c r="C2" s="1">
        <v>64</v>
      </c>
      <c r="D2" s="1">
        <v>1986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66</v>
      </c>
      <c r="K2" s="1">
        <v>3</v>
      </c>
      <c r="L2" t="s">
        <v>69</v>
      </c>
      <c r="M2" t="s">
        <v>70</v>
      </c>
      <c r="N2" t="s">
        <v>71</v>
      </c>
      <c r="P2" t="s">
        <v>72</v>
      </c>
      <c r="Q2" t="s">
        <v>73</v>
      </c>
      <c r="R2" t="s">
        <v>74</v>
      </c>
      <c r="S2" t="s">
        <v>75</v>
      </c>
      <c r="T2" s="2">
        <v>528</v>
      </c>
      <c r="U2" s="3">
        <v>2.21</v>
      </c>
      <c r="V2" s="4">
        <v>1166</v>
      </c>
      <c r="W2" s="4">
        <v>10500000</v>
      </c>
      <c r="Y2" s="4">
        <v>164063</v>
      </c>
      <c r="Z2" t="s">
        <v>66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s="5">
        <v>15.625</v>
      </c>
      <c r="AI2" s="1">
        <v>3</v>
      </c>
      <c r="AJ2" t="s">
        <v>81</v>
      </c>
      <c r="AK2" t="s">
        <v>82</v>
      </c>
      <c r="AL2" t="s">
        <v>83</v>
      </c>
      <c r="AS2" s="3">
        <v>135889.82999999999</v>
      </c>
      <c r="AW2" t="s">
        <v>84</v>
      </c>
      <c r="AY2" s="3">
        <v>2.21</v>
      </c>
      <c r="AZ2" s="4">
        <v>1166</v>
      </c>
      <c r="BA2" s="1">
        <v>528</v>
      </c>
      <c r="BB2" s="1">
        <v>64</v>
      </c>
    </row>
    <row r="3" spans="1:62" x14ac:dyDescent="0.25">
      <c r="A3" t="s">
        <v>85</v>
      </c>
      <c r="B3" t="s">
        <v>86</v>
      </c>
      <c r="C3" s="1">
        <v>196</v>
      </c>
      <c r="D3" s="1">
        <v>1986</v>
      </c>
      <c r="E3" t="s">
        <v>64</v>
      </c>
      <c r="F3" t="s">
        <v>87</v>
      </c>
      <c r="G3" t="s">
        <v>88</v>
      </c>
      <c r="H3" t="s">
        <v>89</v>
      </c>
      <c r="I3" t="s">
        <v>90</v>
      </c>
      <c r="J3" t="s">
        <v>88</v>
      </c>
      <c r="K3" s="1">
        <v>4</v>
      </c>
      <c r="L3" t="s">
        <v>91</v>
      </c>
      <c r="M3" t="s">
        <v>70</v>
      </c>
      <c r="N3" t="s">
        <v>71</v>
      </c>
      <c r="P3" t="s">
        <v>72</v>
      </c>
      <c r="Q3" t="s">
        <v>73</v>
      </c>
      <c r="R3" t="s">
        <v>74</v>
      </c>
      <c r="S3" t="s">
        <v>92</v>
      </c>
      <c r="T3" s="2">
        <v>819</v>
      </c>
      <c r="U3" s="3">
        <v>2.71</v>
      </c>
      <c r="V3" s="4">
        <v>2218</v>
      </c>
      <c r="AF3" s="5">
        <v>12.755100000000001</v>
      </c>
      <c r="AH3" s="1">
        <v>2025</v>
      </c>
      <c r="AI3" s="1">
        <v>21</v>
      </c>
      <c r="AJ3" t="s">
        <v>81</v>
      </c>
      <c r="AK3" t="s">
        <v>82</v>
      </c>
      <c r="AL3" t="s">
        <v>83</v>
      </c>
      <c r="AM3" s="3">
        <v>2.67</v>
      </c>
      <c r="AN3" s="4">
        <v>2814</v>
      </c>
      <c r="AO3" s="1">
        <v>1053</v>
      </c>
      <c r="AS3" s="3">
        <v>1012570.66</v>
      </c>
      <c r="AW3" t="s">
        <v>93</v>
      </c>
      <c r="AY3" s="3">
        <v>2.73</v>
      </c>
      <c r="AZ3" s="4">
        <v>1887</v>
      </c>
      <c r="BA3" s="1">
        <v>690</v>
      </c>
      <c r="BB3" s="1">
        <v>126</v>
      </c>
      <c r="BC3" s="1">
        <v>70</v>
      </c>
      <c r="BG3" t="s">
        <v>94</v>
      </c>
    </row>
    <row r="4" spans="1:62" x14ac:dyDescent="0.25">
      <c r="A4" t="s">
        <v>95</v>
      </c>
      <c r="B4" t="s">
        <v>96</v>
      </c>
      <c r="C4" s="1">
        <v>160</v>
      </c>
      <c r="D4" s="1">
        <v>1985</v>
      </c>
      <c r="E4" t="s">
        <v>64</v>
      </c>
      <c r="F4" t="s">
        <v>97</v>
      </c>
      <c r="G4" t="s">
        <v>98</v>
      </c>
      <c r="H4" t="s">
        <v>99</v>
      </c>
      <c r="I4" t="s">
        <v>100</v>
      </c>
      <c r="J4" t="s">
        <v>98</v>
      </c>
      <c r="K4" s="1">
        <v>2</v>
      </c>
      <c r="L4" t="s">
        <v>69</v>
      </c>
      <c r="M4" t="s">
        <v>70</v>
      </c>
      <c r="N4" t="s">
        <v>71</v>
      </c>
      <c r="P4" t="s">
        <v>72</v>
      </c>
      <c r="Q4" t="s">
        <v>101</v>
      </c>
      <c r="R4" t="s">
        <v>74</v>
      </c>
      <c r="S4" t="s">
        <v>102</v>
      </c>
      <c r="T4" s="2">
        <v>592</v>
      </c>
      <c r="U4" s="3">
        <v>1.28</v>
      </c>
      <c r="V4" s="4">
        <v>759</v>
      </c>
      <c r="AI4" s="1">
        <v>2</v>
      </c>
      <c r="AJ4" t="s">
        <v>81</v>
      </c>
      <c r="AK4" t="s">
        <v>82</v>
      </c>
      <c r="AL4" t="s">
        <v>83</v>
      </c>
      <c r="AM4" s="3">
        <v>1.21</v>
      </c>
      <c r="AN4" s="4">
        <v>905</v>
      </c>
      <c r="AO4" s="1">
        <v>750</v>
      </c>
      <c r="AS4" s="3">
        <v>114274.41</v>
      </c>
      <c r="AT4" s="3">
        <v>1.53</v>
      </c>
      <c r="AU4" s="4">
        <v>625</v>
      </c>
      <c r="AV4" s="6">
        <v>410</v>
      </c>
      <c r="AW4" t="s">
        <v>84</v>
      </c>
      <c r="AY4" s="3">
        <v>1.25</v>
      </c>
      <c r="AZ4" s="4">
        <v>736</v>
      </c>
      <c r="BA4" s="1">
        <v>589</v>
      </c>
      <c r="BB4" s="1">
        <v>72</v>
      </c>
      <c r="BC4" s="1">
        <v>48</v>
      </c>
      <c r="BF4" t="s">
        <v>103</v>
      </c>
      <c r="BG4" t="s">
        <v>104</v>
      </c>
    </row>
    <row r="5" spans="1:62" x14ac:dyDescent="0.25">
      <c r="A5" t="s">
        <v>105</v>
      </c>
      <c r="B5" t="s">
        <v>106</v>
      </c>
      <c r="C5" s="1">
        <v>54</v>
      </c>
      <c r="D5" s="1">
        <v>1986</v>
      </c>
      <c r="E5" t="s">
        <v>64</v>
      </c>
      <c r="F5" t="s">
        <v>107</v>
      </c>
      <c r="G5" t="s">
        <v>108</v>
      </c>
      <c r="H5" t="s">
        <v>109</v>
      </c>
      <c r="I5" t="s">
        <v>108</v>
      </c>
      <c r="K5" s="1">
        <v>3</v>
      </c>
      <c r="L5" t="s">
        <v>91</v>
      </c>
      <c r="M5" t="s">
        <v>70</v>
      </c>
      <c r="N5" t="s">
        <v>71</v>
      </c>
      <c r="P5" t="s">
        <v>72</v>
      </c>
      <c r="Q5" t="s">
        <v>110</v>
      </c>
      <c r="R5" t="s">
        <v>74</v>
      </c>
      <c r="S5" t="s">
        <v>111</v>
      </c>
      <c r="T5" s="2">
        <v>460</v>
      </c>
      <c r="U5" s="3">
        <v>1.86</v>
      </c>
      <c r="V5" s="4">
        <v>857</v>
      </c>
      <c r="AF5" s="5">
        <v>3.7037</v>
      </c>
      <c r="AI5" s="1">
        <v>1</v>
      </c>
      <c r="AJ5" t="s">
        <v>81</v>
      </c>
      <c r="AK5" t="s">
        <v>82</v>
      </c>
      <c r="AL5" t="s">
        <v>83</v>
      </c>
      <c r="AS5" s="3">
        <v>76495.3</v>
      </c>
      <c r="AW5" t="s">
        <v>84</v>
      </c>
      <c r="AY5" s="3">
        <v>1.86</v>
      </c>
      <c r="AZ5" s="4">
        <v>857</v>
      </c>
      <c r="BA5" s="1">
        <v>460</v>
      </c>
      <c r="BB5" s="1">
        <v>54</v>
      </c>
    </row>
    <row r="6" spans="1:62" x14ac:dyDescent="0.25">
      <c r="A6" t="s">
        <v>112</v>
      </c>
      <c r="B6" t="s">
        <v>113</v>
      </c>
      <c r="C6" s="1">
        <v>56</v>
      </c>
      <c r="D6" s="1">
        <v>1988</v>
      </c>
      <c r="E6" t="s">
        <v>64</v>
      </c>
      <c r="F6" t="s">
        <v>114</v>
      </c>
      <c r="G6" t="s">
        <v>115</v>
      </c>
      <c r="H6" t="s">
        <v>116</v>
      </c>
      <c r="I6" t="s">
        <v>117</v>
      </c>
      <c r="J6" t="s">
        <v>115</v>
      </c>
      <c r="K6" s="1">
        <v>2</v>
      </c>
      <c r="L6" t="s">
        <v>69</v>
      </c>
      <c r="M6" t="s">
        <v>70</v>
      </c>
      <c r="N6" t="s">
        <v>71</v>
      </c>
      <c r="O6" t="s">
        <v>118</v>
      </c>
      <c r="P6" t="s">
        <v>72</v>
      </c>
      <c r="Q6" t="s">
        <v>119</v>
      </c>
      <c r="R6" t="s">
        <v>74</v>
      </c>
      <c r="S6" t="s">
        <v>120</v>
      </c>
      <c r="T6" s="2">
        <v>709</v>
      </c>
      <c r="U6" s="3">
        <v>1.21</v>
      </c>
      <c r="V6" s="4">
        <v>857</v>
      </c>
      <c r="AF6" s="5">
        <v>17.857099999999999</v>
      </c>
      <c r="AI6" s="1">
        <v>2</v>
      </c>
      <c r="AJ6" t="s">
        <v>81</v>
      </c>
      <c r="AK6" t="s">
        <v>82</v>
      </c>
      <c r="AL6" t="s">
        <v>83</v>
      </c>
      <c r="AM6" s="3">
        <v>1.19</v>
      </c>
      <c r="AN6" s="4">
        <v>908</v>
      </c>
      <c r="AO6" s="1">
        <v>765</v>
      </c>
      <c r="AS6" s="3">
        <v>53693.05</v>
      </c>
      <c r="AW6" t="s">
        <v>84</v>
      </c>
      <c r="AY6" s="3">
        <v>1.26</v>
      </c>
      <c r="AZ6" s="4">
        <v>767</v>
      </c>
      <c r="BA6" s="1">
        <v>610</v>
      </c>
      <c r="BB6" s="1">
        <v>20</v>
      </c>
      <c r="BC6" s="1">
        <v>36</v>
      </c>
    </row>
    <row r="7" spans="1:62" x14ac:dyDescent="0.25">
      <c r="A7" t="s">
        <v>121</v>
      </c>
      <c r="B7" t="s">
        <v>122</v>
      </c>
      <c r="C7" s="1">
        <v>582</v>
      </c>
      <c r="D7" s="1">
        <v>1985</v>
      </c>
      <c r="E7" t="s">
        <v>64</v>
      </c>
      <c r="F7" t="s">
        <v>123</v>
      </c>
      <c r="G7" t="s">
        <v>124</v>
      </c>
      <c r="H7" t="s">
        <v>125</v>
      </c>
      <c r="I7" t="s">
        <v>126</v>
      </c>
      <c r="J7" t="s">
        <v>124</v>
      </c>
      <c r="K7" s="1">
        <v>3</v>
      </c>
      <c r="L7" t="s">
        <v>69</v>
      </c>
      <c r="M7" t="s">
        <v>70</v>
      </c>
      <c r="N7" t="s">
        <v>127</v>
      </c>
      <c r="O7" t="s">
        <v>128</v>
      </c>
      <c r="P7" t="s">
        <v>72</v>
      </c>
      <c r="Q7" t="s">
        <v>129</v>
      </c>
      <c r="R7" t="s">
        <v>74</v>
      </c>
      <c r="S7" t="s">
        <v>130</v>
      </c>
      <c r="AF7" s="5">
        <v>7.0446999999999997</v>
      </c>
      <c r="AI7" s="1">
        <v>1</v>
      </c>
      <c r="AJ7" t="s">
        <v>81</v>
      </c>
      <c r="AK7" t="s">
        <v>82</v>
      </c>
      <c r="AL7" t="s">
        <v>83</v>
      </c>
      <c r="AS7" s="3">
        <v>419929.28</v>
      </c>
      <c r="AW7" t="s">
        <v>84</v>
      </c>
      <c r="BG7" t="s">
        <v>131</v>
      </c>
    </row>
    <row r="8" spans="1:62" x14ac:dyDescent="0.25">
      <c r="A8" t="s">
        <v>132</v>
      </c>
      <c r="B8" t="s">
        <v>133</v>
      </c>
      <c r="C8" s="1">
        <v>486</v>
      </c>
      <c r="D8" s="1">
        <v>1986</v>
      </c>
      <c r="E8" t="s">
        <v>64</v>
      </c>
      <c r="F8" t="s">
        <v>134</v>
      </c>
      <c r="G8" t="s">
        <v>135</v>
      </c>
      <c r="H8" t="s">
        <v>136</v>
      </c>
      <c r="J8" t="s">
        <v>135</v>
      </c>
      <c r="K8" s="1">
        <v>3</v>
      </c>
      <c r="L8" t="s">
        <v>91</v>
      </c>
      <c r="M8" t="s">
        <v>70</v>
      </c>
      <c r="N8" t="s">
        <v>71</v>
      </c>
      <c r="P8" t="s">
        <v>72</v>
      </c>
      <c r="Q8" t="s">
        <v>73</v>
      </c>
      <c r="R8" t="s">
        <v>74</v>
      </c>
      <c r="S8" t="s">
        <v>137</v>
      </c>
      <c r="T8" s="2">
        <v>644</v>
      </c>
      <c r="U8" s="3">
        <v>1.27</v>
      </c>
      <c r="V8" s="4">
        <v>821</v>
      </c>
      <c r="AF8" s="5">
        <v>20.1646</v>
      </c>
      <c r="AI8" s="1">
        <v>3</v>
      </c>
      <c r="AJ8" t="s">
        <v>81</v>
      </c>
      <c r="AK8" t="s">
        <v>82</v>
      </c>
      <c r="AL8" t="s">
        <v>83</v>
      </c>
      <c r="AM8" s="3">
        <v>1.25</v>
      </c>
      <c r="AN8" s="4">
        <v>1131</v>
      </c>
      <c r="AO8" s="1">
        <v>904</v>
      </c>
      <c r="AS8" s="3">
        <v>0</v>
      </c>
      <c r="AW8" t="s">
        <v>84</v>
      </c>
      <c r="AY8" s="3">
        <v>1.28</v>
      </c>
      <c r="AZ8" s="4">
        <v>765</v>
      </c>
      <c r="BA8" s="1">
        <v>598</v>
      </c>
      <c r="BB8" s="1">
        <v>412</v>
      </c>
      <c r="BC8" s="1">
        <v>74</v>
      </c>
    </row>
    <row r="9" spans="1:62" x14ac:dyDescent="0.25">
      <c r="A9" t="s">
        <v>138</v>
      </c>
      <c r="B9" t="s">
        <v>139</v>
      </c>
      <c r="C9" s="1">
        <v>368</v>
      </c>
      <c r="D9" s="1">
        <v>1985</v>
      </c>
      <c r="E9" t="s">
        <v>64</v>
      </c>
      <c r="F9" t="s">
        <v>140</v>
      </c>
      <c r="G9" t="s">
        <v>141</v>
      </c>
      <c r="H9" t="s">
        <v>142</v>
      </c>
      <c r="I9" t="s">
        <v>143</v>
      </c>
      <c r="J9" t="s">
        <v>141</v>
      </c>
      <c r="K9" s="1">
        <v>3</v>
      </c>
      <c r="L9" t="s">
        <v>91</v>
      </c>
      <c r="M9" t="s">
        <v>70</v>
      </c>
      <c r="N9" t="s">
        <v>71</v>
      </c>
      <c r="O9" t="s">
        <v>128</v>
      </c>
      <c r="P9" t="s">
        <v>72</v>
      </c>
      <c r="Q9" t="s">
        <v>140</v>
      </c>
      <c r="R9" t="s">
        <v>74</v>
      </c>
      <c r="S9" t="s">
        <v>144</v>
      </c>
      <c r="T9" s="2">
        <v>856</v>
      </c>
      <c r="U9" s="3">
        <v>1.73</v>
      </c>
      <c r="V9" s="4">
        <v>1483</v>
      </c>
      <c r="AF9" s="5">
        <v>7.3369999999999997</v>
      </c>
      <c r="AH9" s="1">
        <v>2021</v>
      </c>
      <c r="AI9" s="1">
        <v>2</v>
      </c>
      <c r="AJ9" t="s">
        <v>81</v>
      </c>
      <c r="AK9" t="s">
        <v>82</v>
      </c>
      <c r="AL9" t="s">
        <v>83</v>
      </c>
      <c r="AM9" s="3">
        <v>1.69</v>
      </c>
      <c r="AN9" s="4">
        <v>1592</v>
      </c>
      <c r="AO9" s="1">
        <v>940</v>
      </c>
      <c r="AS9" s="3">
        <v>968853.12</v>
      </c>
      <c r="AW9" t="s">
        <v>84</v>
      </c>
      <c r="AY9" s="3">
        <v>1.84</v>
      </c>
      <c r="AZ9" s="4">
        <v>1257</v>
      </c>
      <c r="BA9" s="1">
        <v>685</v>
      </c>
      <c r="BB9" s="1">
        <v>120</v>
      </c>
      <c r="BC9" s="1">
        <v>248</v>
      </c>
      <c r="BF9" t="s">
        <v>145</v>
      </c>
      <c r="BG9" t="s">
        <v>104</v>
      </c>
    </row>
    <row r="10" spans="1:62" x14ac:dyDescent="0.25">
      <c r="A10" t="s">
        <v>146</v>
      </c>
      <c r="B10" t="s">
        <v>147</v>
      </c>
      <c r="C10" s="1">
        <v>160</v>
      </c>
      <c r="D10" s="1">
        <v>1986</v>
      </c>
      <c r="E10" t="s">
        <v>64</v>
      </c>
      <c r="F10" t="s">
        <v>148</v>
      </c>
      <c r="G10" t="s">
        <v>149</v>
      </c>
      <c r="H10" t="s">
        <v>150</v>
      </c>
      <c r="I10" t="s">
        <v>151</v>
      </c>
      <c r="J10" t="s">
        <v>149</v>
      </c>
      <c r="K10" s="1">
        <v>3</v>
      </c>
      <c r="L10" t="s">
        <v>91</v>
      </c>
      <c r="M10" t="s">
        <v>70</v>
      </c>
      <c r="N10" t="s">
        <v>71</v>
      </c>
      <c r="P10" t="s">
        <v>72</v>
      </c>
      <c r="Q10" t="s">
        <v>152</v>
      </c>
      <c r="R10" t="s">
        <v>74</v>
      </c>
      <c r="S10" t="s">
        <v>153</v>
      </c>
      <c r="T10" s="2">
        <v>812</v>
      </c>
      <c r="U10" s="3">
        <v>1.19</v>
      </c>
      <c r="V10" s="4">
        <v>970</v>
      </c>
      <c r="AF10" s="5">
        <v>3.75</v>
      </c>
      <c r="AI10" s="1">
        <v>2</v>
      </c>
      <c r="AJ10" t="s">
        <v>81</v>
      </c>
      <c r="AK10" t="s">
        <v>82</v>
      </c>
      <c r="AL10" t="s">
        <v>83</v>
      </c>
      <c r="AM10" s="3">
        <v>1.2</v>
      </c>
      <c r="AN10" s="4">
        <v>1146</v>
      </c>
      <c r="AO10" s="1">
        <v>958</v>
      </c>
      <c r="AS10" s="3">
        <v>179415.04000000001</v>
      </c>
      <c r="AW10" t="s">
        <v>84</v>
      </c>
      <c r="AY10" s="3">
        <v>1.19</v>
      </c>
      <c r="AZ10" s="4">
        <v>853</v>
      </c>
      <c r="BA10" s="1">
        <v>716</v>
      </c>
      <c r="BB10" s="1">
        <v>96</v>
      </c>
      <c r="BC10" s="1">
        <v>64</v>
      </c>
    </row>
    <row r="11" spans="1:62" x14ac:dyDescent="0.25">
      <c r="A11" t="s">
        <v>154</v>
      </c>
      <c r="B11" t="s">
        <v>155</v>
      </c>
      <c r="C11" s="1">
        <v>136</v>
      </c>
      <c r="D11" s="1">
        <v>1985</v>
      </c>
      <c r="E11" t="s">
        <v>64</v>
      </c>
      <c r="F11" t="s">
        <v>156</v>
      </c>
      <c r="G11" t="s">
        <v>157</v>
      </c>
      <c r="H11" t="s">
        <v>158</v>
      </c>
      <c r="I11" t="s">
        <v>159</v>
      </c>
      <c r="J11" t="s">
        <v>157</v>
      </c>
      <c r="K11" s="1">
        <v>3</v>
      </c>
      <c r="L11" t="s">
        <v>69</v>
      </c>
      <c r="M11" t="s">
        <v>70</v>
      </c>
      <c r="N11" t="s">
        <v>71</v>
      </c>
      <c r="O11" t="s">
        <v>118</v>
      </c>
      <c r="P11" t="s">
        <v>72</v>
      </c>
      <c r="Q11" t="s">
        <v>160</v>
      </c>
      <c r="R11" t="s">
        <v>74</v>
      </c>
      <c r="S11" t="s">
        <v>161</v>
      </c>
      <c r="T11" s="2">
        <v>796</v>
      </c>
      <c r="U11" s="3">
        <v>1.49</v>
      </c>
      <c r="V11" s="4">
        <v>1188</v>
      </c>
      <c r="AF11" s="5">
        <v>10.2941</v>
      </c>
      <c r="AI11" s="1">
        <v>2</v>
      </c>
      <c r="AJ11" t="s">
        <v>81</v>
      </c>
      <c r="AK11" t="s">
        <v>82</v>
      </c>
      <c r="AL11" t="s">
        <v>83</v>
      </c>
      <c r="AM11" s="3">
        <v>1.49</v>
      </c>
      <c r="AN11" s="4">
        <v>1200</v>
      </c>
      <c r="AO11" s="1">
        <v>808</v>
      </c>
      <c r="AP11" s="3">
        <v>1.38</v>
      </c>
      <c r="AQ11" s="4">
        <v>1400</v>
      </c>
      <c r="AR11" s="1">
        <v>1011</v>
      </c>
      <c r="AS11" s="3">
        <v>305040.40999999997</v>
      </c>
      <c r="AW11" t="s">
        <v>84</v>
      </c>
      <c r="AY11" s="3">
        <v>1.65</v>
      </c>
      <c r="AZ11" s="4">
        <v>1000</v>
      </c>
      <c r="BA11" s="1">
        <v>606</v>
      </c>
      <c r="BB11" s="1">
        <v>32</v>
      </c>
      <c r="BC11" s="1">
        <v>80</v>
      </c>
      <c r="BD11" s="1">
        <v>24</v>
      </c>
      <c r="BG11" t="s">
        <v>131</v>
      </c>
    </row>
    <row r="12" spans="1:62" x14ac:dyDescent="0.25">
      <c r="A12" t="s">
        <v>162</v>
      </c>
      <c r="B12" t="s">
        <v>163</v>
      </c>
      <c r="C12" s="1">
        <v>70</v>
      </c>
      <c r="D12" s="1">
        <v>1985</v>
      </c>
      <c r="E12" t="s">
        <v>64</v>
      </c>
      <c r="F12" t="s">
        <v>140</v>
      </c>
      <c r="H12" t="s">
        <v>164</v>
      </c>
      <c r="K12" s="1">
        <v>3</v>
      </c>
      <c r="L12" t="s">
        <v>91</v>
      </c>
      <c r="M12" t="s">
        <v>70</v>
      </c>
      <c r="N12" t="s">
        <v>71</v>
      </c>
      <c r="P12" t="s">
        <v>72</v>
      </c>
      <c r="Q12" t="s">
        <v>140</v>
      </c>
      <c r="R12" t="s">
        <v>74</v>
      </c>
      <c r="S12" t="s">
        <v>165</v>
      </c>
      <c r="T12" s="2">
        <v>769</v>
      </c>
      <c r="U12" s="3">
        <v>1.98</v>
      </c>
      <c r="V12" s="4">
        <v>1527</v>
      </c>
      <c r="AF12" s="5">
        <v>1.4286000000000001</v>
      </c>
      <c r="AI12" s="1">
        <v>2</v>
      </c>
      <c r="AJ12" t="s">
        <v>81</v>
      </c>
      <c r="AK12" t="s">
        <v>82</v>
      </c>
      <c r="AL12" t="s">
        <v>83</v>
      </c>
      <c r="AM12" s="3">
        <v>1.81</v>
      </c>
      <c r="AN12" s="4">
        <v>1594</v>
      </c>
      <c r="AO12" s="1">
        <v>879</v>
      </c>
      <c r="AS12" s="3">
        <v>117015.64</v>
      </c>
      <c r="AU12" s="4">
        <v>2011</v>
      </c>
      <c r="AW12" t="s">
        <v>84</v>
      </c>
      <c r="AY12" s="3">
        <v>2.25</v>
      </c>
      <c r="AZ12" s="4">
        <v>1428</v>
      </c>
      <c r="BA12" s="1">
        <v>635</v>
      </c>
      <c r="BB12" s="1">
        <v>31</v>
      </c>
      <c r="BC12" s="1">
        <v>38</v>
      </c>
    </row>
    <row r="13" spans="1:62" x14ac:dyDescent="0.25">
      <c r="A13" t="s">
        <v>166</v>
      </c>
      <c r="B13" t="s">
        <v>167</v>
      </c>
      <c r="C13" s="1">
        <v>602</v>
      </c>
      <c r="D13" s="1">
        <v>1986</v>
      </c>
      <c r="E13" t="s">
        <v>64</v>
      </c>
      <c r="F13" t="s">
        <v>168</v>
      </c>
      <c r="G13" t="s">
        <v>169</v>
      </c>
      <c r="H13" t="s">
        <v>170</v>
      </c>
      <c r="I13" t="s">
        <v>171</v>
      </c>
      <c r="J13" t="s">
        <v>169</v>
      </c>
      <c r="K13" s="1">
        <v>3</v>
      </c>
      <c r="L13" t="s">
        <v>91</v>
      </c>
      <c r="M13" t="s">
        <v>70</v>
      </c>
      <c r="N13" t="s">
        <v>71</v>
      </c>
      <c r="P13" t="s">
        <v>72</v>
      </c>
      <c r="Q13" t="s">
        <v>172</v>
      </c>
      <c r="R13" t="s">
        <v>74</v>
      </c>
      <c r="S13" t="s">
        <v>173</v>
      </c>
      <c r="T13" s="2">
        <v>547</v>
      </c>
      <c r="U13" s="3">
        <v>1.62</v>
      </c>
      <c r="V13" s="4">
        <v>889</v>
      </c>
      <c r="AF13" s="5">
        <v>4.3189000000000002</v>
      </c>
      <c r="AI13" s="1">
        <v>3</v>
      </c>
      <c r="AJ13" t="s">
        <v>81</v>
      </c>
      <c r="AK13" t="s">
        <v>82</v>
      </c>
      <c r="AL13" t="s">
        <v>83</v>
      </c>
      <c r="AM13" s="3">
        <v>1.66</v>
      </c>
      <c r="AN13" s="4">
        <v>1257</v>
      </c>
      <c r="AO13" s="1">
        <v>759</v>
      </c>
      <c r="AS13" s="3">
        <v>1322483.7</v>
      </c>
      <c r="AW13" t="s">
        <v>84</v>
      </c>
      <c r="AY13" s="3">
        <v>1.62</v>
      </c>
      <c r="AZ13" s="4">
        <v>852</v>
      </c>
      <c r="BA13" s="1">
        <v>526</v>
      </c>
      <c r="BB13" s="1">
        <v>546</v>
      </c>
      <c r="BC13" s="1">
        <v>56</v>
      </c>
      <c r="BF13" t="s">
        <v>174</v>
      </c>
      <c r="BG13" t="s">
        <v>104</v>
      </c>
    </row>
    <row r="14" spans="1:62" x14ac:dyDescent="0.25">
      <c r="A14" t="s">
        <v>175</v>
      </c>
      <c r="B14" t="s">
        <v>176</v>
      </c>
      <c r="C14" s="1">
        <v>204</v>
      </c>
      <c r="D14" s="1">
        <v>1986</v>
      </c>
      <c r="E14" t="s">
        <v>64</v>
      </c>
      <c r="F14" t="s">
        <v>177</v>
      </c>
      <c r="G14" t="s">
        <v>178</v>
      </c>
      <c r="H14" t="s">
        <v>179</v>
      </c>
      <c r="I14" t="s">
        <v>180</v>
      </c>
      <c r="J14" t="s">
        <v>178</v>
      </c>
      <c r="K14" s="1">
        <v>3</v>
      </c>
      <c r="L14" t="s">
        <v>91</v>
      </c>
      <c r="M14" t="s">
        <v>70</v>
      </c>
      <c r="N14" t="s">
        <v>71</v>
      </c>
      <c r="P14" t="s">
        <v>72</v>
      </c>
      <c r="Q14" t="s">
        <v>181</v>
      </c>
      <c r="R14" t="s">
        <v>74</v>
      </c>
      <c r="S14" t="s">
        <v>182</v>
      </c>
      <c r="T14" s="2">
        <v>858</v>
      </c>
      <c r="U14" s="3">
        <v>1.54</v>
      </c>
      <c r="V14" s="4">
        <v>1326</v>
      </c>
      <c r="AF14" s="5">
        <v>9.8039000000000005</v>
      </c>
      <c r="AI14" s="1">
        <v>3</v>
      </c>
      <c r="AJ14" t="s">
        <v>81</v>
      </c>
      <c r="AK14" t="s">
        <v>82</v>
      </c>
      <c r="AL14" t="s">
        <v>83</v>
      </c>
      <c r="AM14" s="3">
        <v>1.5</v>
      </c>
      <c r="AN14" s="4">
        <v>1464</v>
      </c>
      <c r="AO14" s="1">
        <v>978</v>
      </c>
      <c r="AS14" s="3">
        <v>472342.36</v>
      </c>
      <c r="AW14" t="s">
        <v>84</v>
      </c>
      <c r="AY14" s="3">
        <v>1.61</v>
      </c>
      <c r="AZ14" s="4">
        <v>1181</v>
      </c>
      <c r="BA14" s="1">
        <v>732</v>
      </c>
      <c r="BB14" s="1">
        <v>99</v>
      </c>
      <c r="BC14" s="1">
        <v>105</v>
      </c>
      <c r="BF14" t="s">
        <v>183</v>
      </c>
      <c r="BG14" t="s">
        <v>104</v>
      </c>
    </row>
    <row r="15" spans="1:62" x14ac:dyDescent="0.25">
      <c r="A15" t="s">
        <v>184</v>
      </c>
      <c r="B15" t="s">
        <v>185</v>
      </c>
      <c r="C15" s="1">
        <v>258</v>
      </c>
      <c r="D15" s="1">
        <v>1985</v>
      </c>
      <c r="E15" t="s">
        <v>64</v>
      </c>
      <c r="F15" t="s">
        <v>177</v>
      </c>
      <c r="G15" t="s">
        <v>186</v>
      </c>
      <c r="H15" t="s">
        <v>187</v>
      </c>
      <c r="I15" t="s">
        <v>188</v>
      </c>
      <c r="J15" t="s">
        <v>186</v>
      </c>
      <c r="K15" s="1">
        <v>3</v>
      </c>
      <c r="L15" t="s">
        <v>91</v>
      </c>
      <c r="M15" t="s">
        <v>70</v>
      </c>
      <c r="N15" t="s">
        <v>71</v>
      </c>
      <c r="P15" t="s">
        <v>72</v>
      </c>
      <c r="Q15" t="s">
        <v>172</v>
      </c>
      <c r="R15" t="s">
        <v>74</v>
      </c>
      <c r="S15" t="s">
        <v>189</v>
      </c>
      <c r="T15" s="2">
        <v>767</v>
      </c>
      <c r="U15" s="3">
        <v>1.6</v>
      </c>
      <c r="V15" s="4">
        <v>1225</v>
      </c>
      <c r="AF15" s="5">
        <v>5.8140000000000001</v>
      </c>
      <c r="AI15" s="1">
        <v>3</v>
      </c>
      <c r="AJ15" t="s">
        <v>81</v>
      </c>
      <c r="AK15" t="s">
        <v>82</v>
      </c>
      <c r="AL15" t="s">
        <v>83</v>
      </c>
      <c r="AM15" s="3">
        <v>1.44</v>
      </c>
      <c r="AN15" s="4">
        <v>1339</v>
      </c>
      <c r="AO15" s="1">
        <v>929</v>
      </c>
      <c r="AP15" s="3">
        <v>1.49</v>
      </c>
      <c r="AQ15" s="4">
        <v>1909</v>
      </c>
      <c r="AR15" s="1">
        <v>1277</v>
      </c>
      <c r="AS15" s="3">
        <v>633891.92000000004</v>
      </c>
      <c r="AW15" t="s">
        <v>84</v>
      </c>
      <c r="AY15" s="3">
        <v>1.76</v>
      </c>
      <c r="AZ15" s="4">
        <v>1086</v>
      </c>
      <c r="BA15" s="1">
        <v>618</v>
      </c>
      <c r="BB15" s="1">
        <v>152</v>
      </c>
      <c r="BC15" s="1">
        <v>90</v>
      </c>
      <c r="BD15" s="1">
        <v>16</v>
      </c>
      <c r="BF15" t="s">
        <v>190</v>
      </c>
      <c r="BG15" t="s">
        <v>104</v>
      </c>
    </row>
    <row r="16" spans="1:62" x14ac:dyDescent="0.25">
      <c r="A16" t="s">
        <v>191</v>
      </c>
      <c r="B16" t="s">
        <v>192</v>
      </c>
      <c r="C16" s="1">
        <v>81</v>
      </c>
      <c r="D16" s="1">
        <v>1985</v>
      </c>
      <c r="E16" t="s">
        <v>64</v>
      </c>
      <c r="F16" t="s">
        <v>177</v>
      </c>
      <c r="G16" t="s">
        <v>193</v>
      </c>
      <c r="H16" t="s">
        <v>194</v>
      </c>
      <c r="I16" t="s">
        <v>195</v>
      </c>
      <c r="J16" t="s">
        <v>193</v>
      </c>
      <c r="K16" s="1">
        <v>3</v>
      </c>
      <c r="L16" t="s">
        <v>91</v>
      </c>
      <c r="M16" t="s">
        <v>70</v>
      </c>
      <c r="N16" t="s">
        <v>71</v>
      </c>
      <c r="P16" t="s">
        <v>72</v>
      </c>
      <c r="Q16" t="s">
        <v>172</v>
      </c>
      <c r="R16" t="s">
        <v>74</v>
      </c>
      <c r="S16" t="s">
        <v>196</v>
      </c>
      <c r="T16" s="2">
        <v>849</v>
      </c>
      <c r="U16" s="3">
        <v>1.75</v>
      </c>
      <c r="V16" s="4">
        <v>1489</v>
      </c>
      <c r="AF16" s="5">
        <v>8.6419999999999995</v>
      </c>
      <c r="AI16" s="1">
        <v>2</v>
      </c>
      <c r="AJ16" t="s">
        <v>81</v>
      </c>
      <c r="AK16" t="s">
        <v>82</v>
      </c>
      <c r="AL16" t="s">
        <v>83</v>
      </c>
      <c r="AM16" s="3">
        <v>1.7</v>
      </c>
      <c r="AN16" s="4">
        <v>1646</v>
      </c>
      <c r="AO16" s="1">
        <v>969</v>
      </c>
      <c r="AW16" t="s">
        <v>84</v>
      </c>
      <c r="AY16" s="3">
        <v>1.83</v>
      </c>
      <c r="AZ16" s="4">
        <v>1319</v>
      </c>
      <c r="BA16" s="1">
        <v>720</v>
      </c>
      <c r="BB16" s="1">
        <v>39</v>
      </c>
      <c r="BC16" s="1">
        <v>42</v>
      </c>
      <c r="BG16" t="s">
        <v>131</v>
      </c>
    </row>
    <row r="17" spans="1:59" x14ac:dyDescent="0.25">
      <c r="A17" t="s">
        <v>197</v>
      </c>
      <c r="B17" t="s">
        <v>163</v>
      </c>
      <c r="C17" s="1">
        <v>140</v>
      </c>
      <c r="D17" s="1">
        <v>1985</v>
      </c>
      <c r="E17" t="s">
        <v>64</v>
      </c>
      <c r="F17" t="s">
        <v>198</v>
      </c>
      <c r="G17" t="s">
        <v>199</v>
      </c>
      <c r="H17" t="s">
        <v>200</v>
      </c>
      <c r="I17" t="s">
        <v>201</v>
      </c>
      <c r="J17" t="s">
        <v>199</v>
      </c>
      <c r="K17" s="1">
        <v>3</v>
      </c>
      <c r="L17" t="s">
        <v>91</v>
      </c>
      <c r="M17" t="s">
        <v>70</v>
      </c>
      <c r="N17" t="s">
        <v>71</v>
      </c>
      <c r="P17" t="s">
        <v>72</v>
      </c>
      <c r="Q17" t="s">
        <v>110</v>
      </c>
      <c r="R17" t="s">
        <v>74</v>
      </c>
      <c r="S17" t="s">
        <v>202</v>
      </c>
      <c r="T17" s="2">
        <v>737</v>
      </c>
      <c r="U17" s="3">
        <v>1.62</v>
      </c>
      <c r="V17" s="4">
        <v>1198</v>
      </c>
      <c r="AF17" s="5">
        <v>6.4286000000000003</v>
      </c>
      <c r="AI17" s="1">
        <v>2</v>
      </c>
      <c r="AJ17" t="s">
        <v>81</v>
      </c>
      <c r="AK17" t="s">
        <v>82</v>
      </c>
      <c r="AL17" t="s">
        <v>83</v>
      </c>
      <c r="AM17" s="3">
        <v>1.64</v>
      </c>
      <c r="AN17" s="4">
        <v>1512</v>
      </c>
      <c r="AO17" s="1">
        <v>920</v>
      </c>
      <c r="AS17" s="3">
        <v>426188.1</v>
      </c>
      <c r="AW17" t="s">
        <v>84</v>
      </c>
      <c r="AY17" s="3">
        <v>1.61</v>
      </c>
      <c r="AZ17" s="4">
        <v>1044</v>
      </c>
      <c r="BA17" s="1">
        <v>648</v>
      </c>
      <c r="BB17" s="1">
        <v>94</v>
      </c>
      <c r="BC17" s="1">
        <v>46</v>
      </c>
      <c r="BF17" t="s">
        <v>203</v>
      </c>
      <c r="BG17" t="s">
        <v>104</v>
      </c>
    </row>
    <row r="18" spans="1:59" x14ac:dyDescent="0.25">
      <c r="A18" t="s">
        <v>204</v>
      </c>
      <c r="B18" t="s">
        <v>205</v>
      </c>
      <c r="C18" s="1">
        <v>320</v>
      </c>
      <c r="D18" s="1">
        <v>1985</v>
      </c>
      <c r="E18" t="s">
        <v>64</v>
      </c>
      <c r="F18" t="s">
        <v>134</v>
      </c>
      <c r="G18" t="s">
        <v>206</v>
      </c>
      <c r="H18" t="s">
        <v>207</v>
      </c>
      <c r="I18" t="s">
        <v>208</v>
      </c>
      <c r="J18" t="s">
        <v>206</v>
      </c>
      <c r="K18" s="1">
        <v>3</v>
      </c>
      <c r="L18" t="s">
        <v>69</v>
      </c>
      <c r="M18" t="s">
        <v>70</v>
      </c>
      <c r="N18" t="s">
        <v>71</v>
      </c>
      <c r="P18" t="s">
        <v>72</v>
      </c>
      <c r="Q18" t="s">
        <v>73</v>
      </c>
      <c r="R18" t="s">
        <v>74</v>
      </c>
      <c r="S18" t="s">
        <v>137</v>
      </c>
      <c r="T18" s="2">
        <v>772</v>
      </c>
      <c r="U18" s="3">
        <v>1.29</v>
      </c>
      <c r="V18" s="4">
        <v>994</v>
      </c>
      <c r="AF18" s="5">
        <v>15.3125</v>
      </c>
      <c r="AH18" s="1">
        <v>1999</v>
      </c>
      <c r="AI18" s="1">
        <v>2</v>
      </c>
      <c r="AJ18" t="s">
        <v>81</v>
      </c>
      <c r="AK18" t="s">
        <v>82</v>
      </c>
      <c r="AL18" t="s">
        <v>83</v>
      </c>
      <c r="AM18" s="3">
        <v>1.18</v>
      </c>
      <c r="AN18" s="4">
        <v>1162</v>
      </c>
      <c r="AO18" s="1">
        <v>985</v>
      </c>
      <c r="AS18" s="3">
        <v>796618.3</v>
      </c>
      <c r="AW18" t="s">
        <v>84</v>
      </c>
      <c r="AY18" s="3">
        <v>1.42</v>
      </c>
      <c r="AZ18" s="4">
        <v>868</v>
      </c>
      <c r="BA18" s="1">
        <v>613</v>
      </c>
      <c r="BB18" s="1">
        <v>183</v>
      </c>
      <c r="BC18" s="1">
        <v>137</v>
      </c>
    </row>
    <row r="19" spans="1:59" x14ac:dyDescent="0.25">
      <c r="A19" t="s">
        <v>209</v>
      </c>
      <c r="B19" t="s">
        <v>210</v>
      </c>
      <c r="C19" s="1">
        <v>226</v>
      </c>
      <c r="D19" s="1">
        <v>1985</v>
      </c>
      <c r="E19" t="s">
        <v>64</v>
      </c>
      <c r="F19" t="s">
        <v>211</v>
      </c>
      <c r="G19" t="s">
        <v>212</v>
      </c>
      <c r="H19" t="s">
        <v>213</v>
      </c>
      <c r="I19" t="s">
        <v>214</v>
      </c>
      <c r="J19" t="s">
        <v>212</v>
      </c>
      <c r="K19" s="1">
        <v>3</v>
      </c>
      <c r="L19" t="s">
        <v>91</v>
      </c>
      <c r="M19" t="s">
        <v>70</v>
      </c>
      <c r="N19" t="s">
        <v>71</v>
      </c>
      <c r="P19" t="s">
        <v>72</v>
      </c>
      <c r="Q19" t="s">
        <v>215</v>
      </c>
      <c r="R19" t="s">
        <v>74</v>
      </c>
      <c r="S19" t="s">
        <v>216</v>
      </c>
      <c r="T19" s="2">
        <v>865</v>
      </c>
      <c r="U19" s="3">
        <v>1.27</v>
      </c>
      <c r="V19" s="4">
        <v>1099</v>
      </c>
      <c r="AF19" s="5">
        <v>16.371700000000001</v>
      </c>
      <c r="AI19" s="1">
        <v>3</v>
      </c>
      <c r="AJ19" t="s">
        <v>81</v>
      </c>
      <c r="AK19" t="s">
        <v>82</v>
      </c>
      <c r="AL19" t="s">
        <v>83</v>
      </c>
      <c r="AM19" s="3">
        <v>1.28</v>
      </c>
      <c r="AN19" s="4">
        <v>1156</v>
      </c>
      <c r="AO19" s="1">
        <v>900</v>
      </c>
      <c r="AS19" s="3">
        <v>559754.81000000006</v>
      </c>
      <c r="AW19" t="s">
        <v>84</v>
      </c>
      <c r="AY19" s="3">
        <v>1.26</v>
      </c>
      <c r="AZ19" s="4">
        <v>1063</v>
      </c>
      <c r="BA19" s="1">
        <v>844</v>
      </c>
      <c r="BB19" s="1">
        <v>140</v>
      </c>
      <c r="BC19" s="1">
        <v>86</v>
      </c>
    </row>
    <row r="20" spans="1:59" x14ac:dyDescent="0.25">
      <c r="A20" t="s">
        <v>217</v>
      </c>
      <c r="B20" t="s">
        <v>218</v>
      </c>
      <c r="C20" s="1">
        <v>80</v>
      </c>
      <c r="D20" s="1">
        <v>1985</v>
      </c>
      <c r="E20" t="s">
        <v>64</v>
      </c>
      <c r="F20" t="s">
        <v>219</v>
      </c>
      <c r="G20" t="s">
        <v>220</v>
      </c>
      <c r="H20" t="s">
        <v>221</v>
      </c>
      <c r="I20" t="s">
        <v>222</v>
      </c>
      <c r="J20" t="s">
        <v>220</v>
      </c>
      <c r="K20" s="1">
        <v>2</v>
      </c>
      <c r="L20" t="s">
        <v>69</v>
      </c>
      <c r="M20" t="s">
        <v>70</v>
      </c>
      <c r="N20" t="s">
        <v>71</v>
      </c>
      <c r="P20" t="s">
        <v>72</v>
      </c>
      <c r="Q20" t="s">
        <v>223</v>
      </c>
      <c r="R20" t="s">
        <v>74</v>
      </c>
      <c r="S20" t="s">
        <v>224</v>
      </c>
      <c r="T20" s="2">
        <v>725</v>
      </c>
      <c r="U20" s="3">
        <v>1.25</v>
      </c>
      <c r="V20" s="4">
        <v>906</v>
      </c>
      <c r="AF20" s="5">
        <v>20</v>
      </c>
      <c r="AI20" s="1">
        <v>1</v>
      </c>
      <c r="AJ20" t="s">
        <v>81</v>
      </c>
      <c r="AK20" t="s">
        <v>82</v>
      </c>
      <c r="AL20" t="s">
        <v>83</v>
      </c>
      <c r="AM20" s="3">
        <v>1.25</v>
      </c>
      <c r="AN20" s="4">
        <v>1000</v>
      </c>
      <c r="AO20" s="1">
        <v>800</v>
      </c>
      <c r="AS20" s="3">
        <v>153197.54</v>
      </c>
      <c r="AW20" t="s">
        <v>84</v>
      </c>
      <c r="AY20" s="3">
        <v>1.25</v>
      </c>
      <c r="AZ20" s="4">
        <v>875</v>
      </c>
      <c r="BA20" s="1">
        <v>700</v>
      </c>
      <c r="BB20" s="1">
        <v>60</v>
      </c>
      <c r="BC20" s="1">
        <v>20</v>
      </c>
      <c r="BF20" t="s">
        <v>225</v>
      </c>
      <c r="BG20" t="s">
        <v>104</v>
      </c>
    </row>
    <row r="21" spans="1:59" x14ac:dyDescent="0.25">
      <c r="A21" t="s">
        <v>226</v>
      </c>
      <c r="B21" t="s">
        <v>227</v>
      </c>
      <c r="C21" s="1">
        <v>288</v>
      </c>
      <c r="D21" s="1">
        <v>1986</v>
      </c>
      <c r="E21" t="s">
        <v>64</v>
      </c>
      <c r="F21" t="s">
        <v>228</v>
      </c>
      <c r="G21" t="s">
        <v>229</v>
      </c>
      <c r="H21" t="s">
        <v>230</v>
      </c>
      <c r="I21" t="s">
        <v>231</v>
      </c>
      <c r="J21" t="s">
        <v>229</v>
      </c>
      <c r="K21" s="1">
        <v>3</v>
      </c>
      <c r="L21" t="s">
        <v>91</v>
      </c>
      <c r="M21" t="s">
        <v>70</v>
      </c>
      <c r="N21" t="s">
        <v>71</v>
      </c>
      <c r="P21" t="s">
        <v>72</v>
      </c>
      <c r="Q21" t="s">
        <v>232</v>
      </c>
      <c r="R21" t="s">
        <v>74</v>
      </c>
      <c r="S21" t="s">
        <v>233</v>
      </c>
      <c r="T21" s="2">
        <v>716</v>
      </c>
      <c r="U21" s="3">
        <v>1.65</v>
      </c>
      <c r="V21" s="4">
        <v>1183</v>
      </c>
      <c r="AF21" s="5">
        <v>9.375</v>
      </c>
      <c r="AH21" s="1">
        <v>2003</v>
      </c>
      <c r="AI21" s="1">
        <v>2</v>
      </c>
      <c r="AJ21" t="s">
        <v>81</v>
      </c>
      <c r="AK21" t="s">
        <v>82</v>
      </c>
      <c r="AL21" t="s">
        <v>83</v>
      </c>
      <c r="AM21" s="3">
        <v>1.54</v>
      </c>
      <c r="AN21" s="4">
        <v>1385</v>
      </c>
      <c r="AO21" s="1">
        <v>900</v>
      </c>
      <c r="AS21" s="3">
        <v>859296.66</v>
      </c>
      <c r="AW21" t="s">
        <v>84</v>
      </c>
      <c r="AY21" s="3">
        <v>1.73</v>
      </c>
      <c r="AZ21" s="4">
        <v>1082</v>
      </c>
      <c r="BA21" s="1">
        <v>625</v>
      </c>
      <c r="BB21" s="1">
        <v>192</v>
      </c>
      <c r="BC21" s="1">
        <v>96</v>
      </c>
      <c r="BG21" t="s">
        <v>131</v>
      </c>
    </row>
    <row r="22" spans="1:59" x14ac:dyDescent="0.25">
      <c r="A22" t="s">
        <v>234</v>
      </c>
      <c r="B22" t="s">
        <v>235</v>
      </c>
      <c r="C22" s="1">
        <v>216</v>
      </c>
      <c r="D22" s="1">
        <v>1985</v>
      </c>
      <c r="E22" t="s">
        <v>64</v>
      </c>
      <c r="F22" t="s">
        <v>228</v>
      </c>
      <c r="G22" t="s">
        <v>236</v>
      </c>
      <c r="H22" t="s">
        <v>237</v>
      </c>
      <c r="I22" t="s">
        <v>238</v>
      </c>
      <c r="J22" t="s">
        <v>236</v>
      </c>
      <c r="K22" s="1">
        <v>3</v>
      </c>
      <c r="L22" t="s">
        <v>69</v>
      </c>
      <c r="M22" t="s">
        <v>70</v>
      </c>
      <c r="N22" t="s">
        <v>71</v>
      </c>
      <c r="P22" t="s">
        <v>72</v>
      </c>
      <c r="Q22" t="s">
        <v>152</v>
      </c>
      <c r="R22" t="s">
        <v>74</v>
      </c>
      <c r="S22" t="s">
        <v>239</v>
      </c>
      <c r="T22" s="2">
        <v>840</v>
      </c>
      <c r="U22" s="3">
        <v>1.58</v>
      </c>
      <c r="V22" s="4">
        <v>1329</v>
      </c>
      <c r="AF22" s="5">
        <v>12.962999999999999</v>
      </c>
      <c r="AI22" s="1">
        <v>2</v>
      </c>
      <c r="AJ22" t="s">
        <v>81</v>
      </c>
      <c r="AK22" t="s">
        <v>82</v>
      </c>
      <c r="AL22" t="s">
        <v>83</v>
      </c>
      <c r="AM22" s="3">
        <v>1.49</v>
      </c>
      <c r="AN22" s="4">
        <v>1434</v>
      </c>
      <c r="AO22" s="1">
        <v>961</v>
      </c>
      <c r="AP22" s="3">
        <v>1.45</v>
      </c>
      <c r="AQ22" s="4">
        <v>1723</v>
      </c>
      <c r="AR22" s="1">
        <v>1188</v>
      </c>
      <c r="AS22" s="3">
        <v>587939.81999999995</v>
      </c>
      <c r="AW22" t="s">
        <v>84</v>
      </c>
      <c r="AY22" s="3">
        <v>1.82</v>
      </c>
      <c r="AZ22" s="4">
        <v>1097</v>
      </c>
      <c r="BA22" s="1">
        <v>603</v>
      </c>
      <c r="BB22" s="1">
        <v>88</v>
      </c>
      <c r="BC22" s="1">
        <v>104</v>
      </c>
      <c r="BD22" s="1">
        <v>24</v>
      </c>
      <c r="BF22" t="s">
        <v>240</v>
      </c>
      <c r="BG22" t="s">
        <v>104</v>
      </c>
    </row>
    <row r="23" spans="1:59" x14ac:dyDescent="0.25">
      <c r="A23" t="s">
        <v>241</v>
      </c>
      <c r="B23" t="s">
        <v>242</v>
      </c>
      <c r="C23" s="1">
        <v>304</v>
      </c>
      <c r="D23" s="1">
        <v>1986</v>
      </c>
      <c r="E23" t="s">
        <v>64</v>
      </c>
      <c r="F23" t="s">
        <v>177</v>
      </c>
      <c r="G23" t="s">
        <v>243</v>
      </c>
      <c r="H23" t="s">
        <v>244</v>
      </c>
      <c r="I23" t="s">
        <v>245</v>
      </c>
      <c r="J23" t="s">
        <v>243</v>
      </c>
      <c r="K23" s="1">
        <v>3</v>
      </c>
      <c r="L23" t="s">
        <v>91</v>
      </c>
      <c r="M23" t="s">
        <v>70</v>
      </c>
      <c r="N23" t="s">
        <v>71</v>
      </c>
      <c r="P23" t="s">
        <v>72</v>
      </c>
      <c r="Q23" t="s">
        <v>172</v>
      </c>
      <c r="R23" t="s">
        <v>74</v>
      </c>
      <c r="S23" t="s">
        <v>246</v>
      </c>
      <c r="T23" s="2">
        <v>896</v>
      </c>
      <c r="U23" s="3">
        <v>1.69</v>
      </c>
      <c r="V23" s="4">
        <v>1512</v>
      </c>
      <c r="AF23" s="5">
        <v>6.25</v>
      </c>
      <c r="AI23" s="1">
        <v>2</v>
      </c>
      <c r="AJ23" t="s">
        <v>81</v>
      </c>
      <c r="AK23" t="s">
        <v>82</v>
      </c>
      <c r="AL23" t="s">
        <v>83</v>
      </c>
      <c r="AM23" s="3">
        <v>1.63</v>
      </c>
      <c r="AN23" s="4">
        <v>1630</v>
      </c>
      <c r="AO23" s="1">
        <v>1002</v>
      </c>
      <c r="AS23" s="3">
        <v>933756.96</v>
      </c>
      <c r="AW23" t="s">
        <v>84</v>
      </c>
      <c r="AY23" s="3">
        <v>1.83</v>
      </c>
      <c r="AZ23" s="4">
        <v>1311</v>
      </c>
      <c r="BA23" s="1">
        <v>715</v>
      </c>
      <c r="BB23" s="1">
        <v>112</v>
      </c>
      <c r="BC23" s="1">
        <v>192</v>
      </c>
      <c r="BF23" t="s">
        <v>247</v>
      </c>
      <c r="BG23" t="s">
        <v>104</v>
      </c>
    </row>
    <row r="24" spans="1:59" x14ac:dyDescent="0.25">
      <c r="A24" t="s">
        <v>248</v>
      </c>
      <c r="B24" t="s">
        <v>249</v>
      </c>
      <c r="C24" s="1">
        <v>80</v>
      </c>
      <c r="D24" s="1">
        <v>1986</v>
      </c>
      <c r="E24" t="s">
        <v>64</v>
      </c>
      <c r="F24" t="s">
        <v>177</v>
      </c>
      <c r="G24" t="s">
        <v>250</v>
      </c>
      <c r="H24" t="s">
        <v>251</v>
      </c>
      <c r="I24" t="s">
        <v>252</v>
      </c>
      <c r="J24" t="s">
        <v>250</v>
      </c>
      <c r="K24" s="1">
        <v>3</v>
      </c>
      <c r="L24" t="s">
        <v>91</v>
      </c>
      <c r="M24" t="s">
        <v>70</v>
      </c>
      <c r="N24" t="s">
        <v>71</v>
      </c>
      <c r="P24" t="s">
        <v>72</v>
      </c>
      <c r="Q24" t="s">
        <v>172</v>
      </c>
      <c r="R24" t="s">
        <v>74</v>
      </c>
      <c r="S24" t="s">
        <v>253</v>
      </c>
      <c r="T24" s="2">
        <v>940</v>
      </c>
      <c r="U24" s="3">
        <v>1.74</v>
      </c>
      <c r="V24" s="4">
        <v>1636</v>
      </c>
      <c r="AF24" s="5">
        <v>6.25</v>
      </c>
      <c r="AI24" s="1">
        <v>2</v>
      </c>
      <c r="AJ24" t="s">
        <v>81</v>
      </c>
      <c r="AK24" t="s">
        <v>82</v>
      </c>
      <c r="AL24" t="s">
        <v>83</v>
      </c>
      <c r="AM24" s="3">
        <v>1.68</v>
      </c>
      <c r="AN24" s="4">
        <v>1710</v>
      </c>
      <c r="AO24" s="1">
        <v>1017</v>
      </c>
      <c r="AS24" s="3">
        <v>235337.12</v>
      </c>
      <c r="AW24" t="s">
        <v>84</v>
      </c>
      <c r="AY24" s="3">
        <v>1.89</v>
      </c>
      <c r="AZ24" s="4">
        <v>1482</v>
      </c>
      <c r="BA24" s="1">
        <v>783</v>
      </c>
      <c r="BB24" s="1">
        <v>26</v>
      </c>
      <c r="BC24" s="1">
        <v>54</v>
      </c>
    </row>
    <row r="25" spans="1:59" x14ac:dyDescent="0.25">
      <c r="A25" t="s">
        <v>254</v>
      </c>
      <c r="B25" t="s">
        <v>255</v>
      </c>
      <c r="C25" s="1">
        <v>328</v>
      </c>
      <c r="D25" s="1">
        <v>1986</v>
      </c>
      <c r="E25" t="s">
        <v>64</v>
      </c>
      <c r="F25" t="s">
        <v>256</v>
      </c>
      <c r="G25" t="s">
        <v>257</v>
      </c>
      <c r="H25" t="s">
        <v>258</v>
      </c>
      <c r="J25" t="s">
        <v>257</v>
      </c>
      <c r="K25" s="1">
        <v>3</v>
      </c>
      <c r="L25" t="s">
        <v>91</v>
      </c>
      <c r="M25" t="s">
        <v>70</v>
      </c>
      <c r="N25" t="s">
        <v>71</v>
      </c>
      <c r="P25" t="s">
        <v>72</v>
      </c>
      <c r="Q25" t="s">
        <v>259</v>
      </c>
      <c r="R25" t="s">
        <v>74</v>
      </c>
      <c r="S25" t="s">
        <v>260</v>
      </c>
      <c r="T25" s="2">
        <v>720</v>
      </c>
      <c r="U25" s="3">
        <v>1.53</v>
      </c>
      <c r="V25" s="4">
        <v>1104</v>
      </c>
      <c r="AF25" s="5">
        <v>6.0975999999999999</v>
      </c>
      <c r="AI25" s="1">
        <v>2</v>
      </c>
      <c r="AJ25" t="s">
        <v>81</v>
      </c>
      <c r="AK25" t="s">
        <v>82</v>
      </c>
      <c r="AL25" t="s">
        <v>83</v>
      </c>
      <c r="AM25" s="3">
        <v>1.2</v>
      </c>
      <c r="AN25" s="4">
        <v>1164</v>
      </c>
      <c r="AO25" s="1">
        <v>968</v>
      </c>
      <c r="AS25" s="3">
        <v>610384.54</v>
      </c>
      <c r="AW25" t="s">
        <v>84</v>
      </c>
      <c r="AY25" s="3">
        <v>1.65</v>
      </c>
      <c r="AZ25" s="4">
        <v>1090</v>
      </c>
      <c r="BA25" s="1">
        <v>661</v>
      </c>
      <c r="BB25" s="1">
        <v>264</v>
      </c>
      <c r="BC25" s="1">
        <v>64</v>
      </c>
      <c r="BF25" t="s">
        <v>261</v>
      </c>
      <c r="BG25" t="s">
        <v>131</v>
      </c>
    </row>
    <row r="26" spans="1:59" x14ac:dyDescent="0.25">
      <c r="A26" t="s">
        <v>262</v>
      </c>
      <c r="B26" t="s">
        <v>263</v>
      </c>
      <c r="C26" s="1">
        <v>51</v>
      </c>
      <c r="D26" s="1">
        <v>1985</v>
      </c>
      <c r="E26" t="s">
        <v>64</v>
      </c>
      <c r="F26" t="s">
        <v>264</v>
      </c>
      <c r="G26" t="s">
        <v>265</v>
      </c>
      <c r="I26" t="s">
        <v>265</v>
      </c>
      <c r="K26" s="1">
        <v>3</v>
      </c>
      <c r="L26" t="s">
        <v>91</v>
      </c>
      <c r="M26" t="s">
        <v>70</v>
      </c>
      <c r="N26" t="s">
        <v>71</v>
      </c>
      <c r="P26" t="s">
        <v>72</v>
      </c>
      <c r="Q26" t="s">
        <v>264</v>
      </c>
      <c r="R26" t="s">
        <v>74</v>
      </c>
      <c r="S26" t="s">
        <v>266</v>
      </c>
      <c r="T26" s="2">
        <v>1219</v>
      </c>
      <c r="AI26" s="1">
        <v>2</v>
      </c>
      <c r="AJ26" t="s">
        <v>81</v>
      </c>
      <c r="AK26" t="s">
        <v>82</v>
      </c>
      <c r="AL26" t="s">
        <v>83</v>
      </c>
      <c r="AO26" s="1">
        <v>1151</v>
      </c>
      <c r="AR26" s="1">
        <v>1544</v>
      </c>
      <c r="AS26" s="3">
        <v>1962.38</v>
      </c>
      <c r="AW26" t="s">
        <v>84</v>
      </c>
      <c r="BA26" s="1">
        <v>851</v>
      </c>
      <c r="BB26" s="1">
        <v>4</v>
      </c>
      <c r="BC26" s="1">
        <v>35</v>
      </c>
      <c r="BD26" s="1">
        <v>12</v>
      </c>
    </row>
    <row r="27" spans="1:59" x14ac:dyDescent="0.25">
      <c r="A27" t="s">
        <v>267</v>
      </c>
      <c r="B27" t="s">
        <v>268</v>
      </c>
      <c r="C27" s="1">
        <v>101</v>
      </c>
      <c r="D27" s="1">
        <v>1985</v>
      </c>
      <c r="E27" t="s">
        <v>64</v>
      </c>
      <c r="F27" t="s">
        <v>269</v>
      </c>
      <c r="G27" t="s">
        <v>270</v>
      </c>
      <c r="H27" t="s">
        <v>271</v>
      </c>
      <c r="I27" t="s">
        <v>271</v>
      </c>
      <c r="J27" t="s">
        <v>270</v>
      </c>
      <c r="K27" s="1">
        <v>3</v>
      </c>
      <c r="L27" t="s">
        <v>91</v>
      </c>
      <c r="M27" t="s">
        <v>70</v>
      </c>
      <c r="N27" t="s">
        <v>71</v>
      </c>
      <c r="P27" t="s">
        <v>72</v>
      </c>
      <c r="Q27" t="s">
        <v>73</v>
      </c>
      <c r="R27" t="s">
        <v>74</v>
      </c>
      <c r="S27" t="s">
        <v>272</v>
      </c>
      <c r="AI27" s="1">
        <v>2</v>
      </c>
      <c r="AJ27" t="s">
        <v>81</v>
      </c>
      <c r="AK27" t="s">
        <v>82</v>
      </c>
      <c r="AL27" t="s">
        <v>83</v>
      </c>
      <c r="AS27" s="3">
        <v>249764.61</v>
      </c>
      <c r="AW27" t="s">
        <v>84</v>
      </c>
    </row>
    <row r="28" spans="1:59" x14ac:dyDescent="0.25">
      <c r="A28" t="s">
        <v>273</v>
      </c>
      <c r="B28" t="s">
        <v>274</v>
      </c>
      <c r="C28" s="1">
        <v>52</v>
      </c>
      <c r="D28" s="1">
        <v>1985</v>
      </c>
      <c r="E28" t="s">
        <v>64</v>
      </c>
      <c r="F28" t="s">
        <v>275</v>
      </c>
      <c r="K28" s="1">
        <v>3</v>
      </c>
      <c r="L28" t="s">
        <v>91</v>
      </c>
      <c r="M28" t="s">
        <v>70</v>
      </c>
      <c r="N28" t="s">
        <v>71</v>
      </c>
      <c r="P28" t="s">
        <v>72</v>
      </c>
      <c r="Q28" t="s">
        <v>73</v>
      </c>
      <c r="R28" t="s">
        <v>74</v>
      </c>
      <c r="S28" t="s">
        <v>276</v>
      </c>
      <c r="T28" s="2">
        <v>1081</v>
      </c>
      <c r="AI28" s="1">
        <v>3</v>
      </c>
      <c r="AJ28" t="s">
        <v>81</v>
      </c>
      <c r="AK28" t="s">
        <v>82</v>
      </c>
      <c r="AL28" t="s">
        <v>83</v>
      </c>
      <c r="AO28" s="1">
        <v>1141</v>
      </c>
      <c r="AS28" s="3">
        <v>22094.01</v>
      </c>
      <c r="AW28" t="s">
        <v>84</v>
      </c>
      <c r="BA28" s="1">
        <v>1039</v>
      </c>
      <c r="BB28" s="1">
        <v>30</v>
      </c>
      <c r="BC28" s="1">
        <v>22</v>
      </c>
      <c r="BF28" t="s">
        <v>277</v>
      </c>
      <c r="BG28" t="s">
        <v>94</v>
      </c>
    </row>
    <row r="29" spans="1:59" x14ac:dyDescent="0.25">
      <c r="A29" t="s">
        <v>278</v>
      </c>
      <c r="B29" t="s">
        <v>279</v>
      </c>
      <c r="C29" s="1">
        <v>240</v>
      </c>
      <c r="D29" s="1">
        <v>1986</v>
      </c>
      <c r="E29" t="s">
        <v>64</v>
      </c>
      <c r="F29" t="s">
        <v>280</v>
      </c>
      <c r="G29" t="s">
        <v>281</v>
      </c>
      <c r="H29" t="s">
        <v>282</v>
      </c>
      <c r="I29" t="s">
        <v>283</v>
      </c>
      <c r="J29" t="s">
        <v>281</v>
      </c>
      <c r="K29" s="1">
        <v>3</v>
      </c>
      <c r="L29" t="s">
        <v>91</v>
      </c>
      <c r="M29" t="s">
        <v>70</v>
      </c>
      <c r="N29" t="s">
        <v>71</v>
      </c>
      <c r="P29" t="s">
        <v>72</v>
      </c>
      <c r="Q29" t="s">
        <v>152</v>
      </c>
      <c r="R29" t="s">
        <v>74</v>
      </c>
      <c r="S29" t="s">
        <v>284</v>
      </c>
      <c r="T29" s="2">
        <v>756</v>
      </c>
      <c r="U29" s="3">
        <v>1.72</v>
      </c>
      <c r="V29" s="4">
        <v>1298</v>
      </c>
      <c r="AF29" s="5">
        <v>6.25</v>
      </c>
      <c r="AH29" s="1">
        <v>2019</v>
      </c>
      <c r="AI29" s="1">
        <v>3</v>
      </c>
      <c r="AJ29" t="s">
        <v>81</v>
      </c>
      <c r="AK29" t="s">
        <v>82</v>
      </c>
      <c r="AL29" t="s">
        <v>83</v>
      </c>
      <c r="AM29" s="3">
        <v>1.64</v>
      </c>
      <c r="AN29" s="4">
        <v>1418</v>
      </c>
      <c r="AO29" s="1">
        <v>864</v>
      </c>
      <c r="AS29" s="3">
        <v>734546.88</v>
      </c>
      <c r="AT29" s="3">
        <v>1.86</v>
      </c>
      <c r="AU29" s="4">
        <v>1150</v>
      </c>
      <c r="AV29" s="6">
        <v>617</v>
      </c>
      <c r="AW29" t="s">
        <v>84</v>
      </c>
      <c r="AY29" s="3">
        <v>1.82</v>
      </c>
      <c r="AZ29" s="4">
        <v>1163</v>
      </c>
      <c r="BA29" s="1">
        <v>639</v>
      </c>
      <c r="BB29" s="1">
        <v>72</v>
      </c>
      <c r="BC29" s="1">
        <v>129</v>
      </c>
      <c r="BF29" t="s">
        <v>285</v>
      </c>
      <c r="BG29" t="s">
        <v>104</v>
      </c>
    </row>
    <row r="30" spans="1:59" x14ac:dyDescent="0.25">
      <c r="A30" t="s">
        <v>286</v>
      </c>
      <c r="B30" t="s">
        <v>287</v>
      </c>
      <c r="C30" s="1">
        <v>316</v>
      </c>
      <c r="D30" s="1">
        <v>1985</v>
      </c>
      <c r="E30" t="s">
        <v>64</v>
      </c>
      <c r="F30" t="s">
        <v>288</v>
      </c>
      <c r="G30" t="s">
        <v>193</v>
      </c>
      <c r="H30" t="s">
        <v>289</v>
      </c>
      <c r="J30" t="s">
        <v>193</v>
      </c>
      <c r="K30" s="1">
        <v>3</v>
      </c>
      <c r="L30" t="s">
        <v>69</v>
      </c>
      <c r="M30" t="s">
        <v>70</v>
      </c>
      <c r="N30" t="s">
        <v>71</v>
      </c>
      <c r="P30" t="s">
        <v>72</v>
      </c>
      <c r="Q30" t="s">
        <v>152</v>
      </c>
      <c r="R30" t="s">
        <v>74</v>
      </c>
      <c r="S30" t="s">
        <v>290</v>
      </c>
      <c r="T30" s="2">
        <v>848</v>
      </c>
      <c r="U30" s="3">
        <v>1.35</v>
      </c>
      <c r="V30" s="4">
        <v>1147</v>
      </c>
      <c r="AF30" s="5">
        <v>9.8101000000000003</v>
      </c>
      <c r="AH30" s="1">
        <v>2010</v>
      </c>
      <c r="AI30" s="1">
        <v>3</v>
      </c>
      <c r="AJ30" t="s">
        <v>81</v>
      </c>
      <c r="AK30" t="s">
        <v>82</v>
      </c>
      <c r="AL30" t="s">
        <v>83</v>
      </c>
      <c r="AM30" s="3">
        <v>1.27</v>
      </c>
      <c r="AN30" s="4">
        <v>1336</v>
      </c>
      <c r="AO30" s="1">
        <v>1048</v>
      </c>
      <c r="AS30" s="3">
        <v>0</v>
      </c>
      <c r="AW30" t="s">
        <v>84</v>
      </c>
      <c r="AY30" s="3">
        <v>1.47</v>
      </c>
      <c r="AZ30" s="4">
        <v>962</v>
      </c>
      <c r="BA30" s="1">
        <v>654</v>
      </c>
      <c r="BB30" s="1">
        <v>160</v>
      </c>
      <c r="BC30" s="1">
        <v>156</v>
      </c>
    </row>
    <row r="31" spans="1:59" x14ac:dyDescent="0.25">
      <c r="A31" t="s">
        <v>291</v>
      </c>
      <c r="B31" t="s">
        <v>292</v>
      </c>
      <c r="C31" s="1">
        <v>112</v>
      </c>
      <c r="D31" s="1">
        <v>1986</v>
      </c>
      <c r="E31" t="s">
        <v>64</v>
      </c>
      <c r="F31" t="s">
        <v>293</v>
      </c>
      <c r="G31" t="s">
        <v>294</v>
      </c>
      <c r="H31" t="s">
        <v>295</v>
      </c>
      <c r="I31" t="s">
        <v>296</v>
      </c>
      <c r="J31" t="s">
        <v>294</v>
      </c>
      <c r="K31" s="1">
        <v>3</v>
      </c>
      <c r="L31" t="s">
        <v>69</v>
      </c>
      <c r="M31" t="s">
        <v>70</v>
      </c>
      <c r="N31" t="s">
        <v>71</v>
      </c>
      <c r="P31" t="s">
        <v>72</v>
      </c>
      <c r="Q31" t="s">
        <v>73</v>
      </c>
      <c r="R31" t="s">
        <v>74</v>
      </c>
      <c r="S31" t="s">
        <v>297</v>
      </c>
      <c r="T31" s="2">
        <v>598</v>
      </c>
      <c r="U31" s="3">
        <v>2.0699999999999998</v>
      </c>
      <c r="V31" s="4">
        <v>1237</v>
      </c>
      <c r="AF31" s="5">
        <v>17.857099999999999</v>
      </c>
      <c r="AI31" s="1">
        <v>2</v>
      </c>
      <c r="AJ31" t="s">
        <v>81</v>
      </c>
      <c r="AK31" t="s">
        <v>82</v>
      </c>
      <c r="AL31" t="s">
        <v>83</v>
      </c>
      <c r="AM31" s="3">
        <v>1.75</v>
      </c>
      <c r="AN31" s="4">
        <v>1658</v>
      </c>
      <c r="AO31" s="1">
        <v>950</v>
      </c>
      <c r="AS31" s="3">
        <v>0</v>
      </c>
      <c r="AW31" t="s">
        <v>84</v>
      </c>
      <c r="AY31" s="3">
        <v>2.09</v>
      </c>
      <c r="AZ31" s="4">
        <v>1222</v>
      </c>
      <c r="BA31" s="1">
        <v>586</v>
      </c>
      <c r="BB31" s="1">
        <v>108</v>
      </c>
      <c r="BC31" s="1">
        <v>4</v>
      </c>
      <c r="BF31" t="s">
        <v>298</v>
      </c>
      <c r="BG31" t="s">
        <v>131</v>
      </c>
    </row>
    <row r="32" spans="1:59" x14ac:dyDescent="0.25">
      <c r="A32" t="s">
        <v>299</v>
      </c>
      <c r="B32" t="s">
        <v>300</v>
      </c>
      <c r="C32" s="1">
        <v>64</v>
      </c>
      <c r="D32" s="1">
        <v>1985</v>
      </c>
      <c r="E32" t="s">
        <v>64</v>
      </c>
      <c r="F32" t="s">
        <v>301</v>
      </c>
      <c r="G32" t="s">
        <v>302</v>
      </c>
      <c r="H32" t="s">
        <v>303</v>
      </c>
      <c r="I32" t="s">
        <v>304</v>
      </c>
      <c r="J32" t="s">
        <v>302</v>
      </c>
      <c r="K32" s="1">
        <v>2</v>
      </c>
      <c r="L32" t="s">
        <v>69</v>
      </c>
      <c r="M32" t="s">
        <v>70</v>
      </c>
      <c r="N32" t="s">
        <v>71</v>
      </c>
      <c r="P32" t="s">
        <v>72</v>
      </c>
      <c r="Q32" t="s">
        <v>152</v>
      </c>
      <c r="R32" t="s">
        <v>74</v>
      </c>
      <c r="S32" t="s">
        <v>305</v>
      </c>
      <c r="T32" s="2">
        <v>550</v>
      </c>
      <c r="U32" s="3">
        <v>1.63</v>
      </c>
      <c r="V32" s="4">
        <v>895</v>
      </c>
      <c r="AF32" s="5">
        <v>7.8125</v>
      </c>
      <c r="AI32" s="1">
        <v>2</v>
      </c>
      <c r="AJ32" t="s">
        <v>81</v>
      </c>
      <c r="AK32" t="s">
        <v>82</v>
      </c>
      <c r="AL32" t="s">
        <v>83</v>
      </c>
      <c r="AS32" s="3">
        <v>69560.28</v>
      </c>
      <c r="AW32" t="s">
        <v>84</v>
      </c>
      <c r="AY32" s="3">
        <v>1.63</v>
      </c>
      <c r="AZ32" s="4">
        <v>895</v>
      </c>
      <c r="BA32" s="1">
        <v>550</v>
      </c>
      <c r="BB32" s="1">
        <v>64</v>
      </c>
      <c r="BG32" t="s">
        <v>131</v>
      </c>
    </row>
    <row r="33" spans="1:62" x14ac:dyDescent="0.25">
      <c r="A33" t="s">
        <v>306</v>
      </c>
      <c r="B33" t="s">
        <v>307</v>
      </c>
      <c r="C33" s="1">
        <v>132</v>
      </c>
      <c r="D33" s="1">
        <v>1985</v>
      </c>
      <c r="E33" t="s">
        <v>64</v>
      </c>
      <c r="F33" t="s">
        <v>308</v>
      </c>
      <c r="G33" t="s">
        <v>309</v>
      </c>
      <c r="H33" t="s">
        <v>310</v>
      </c>
      <c r="I33" t="s">
        <v>311</v>
      </c>
      <c r="J33" t="s">
        <v>309</v>
      </c>
      <c r="K33" s="1">
        <v>3</v>
      </c>
      <c r="L33" t="s">
        <v>69</v>
      </c>
      <c r="M33" t="s">
        <v>70</v>
      </c>
      <c r="N33" t="s">
        <v>71</v>
      </c>
      <c r="P33" t="s">
        <v>72</v>
      </c>
      <c r="Q33" t="s">
        <v>312</v>
      </c>
      <c r="R33" t="s">
        <v>74</v>
      </c>
      <c r="S33" t="s">
        <v>313</v>
      </c>
      <c r="T33" s="2">
        <v>978</v>
      </c>
      <c r="U33" s="3">
        <v>1.47</v>
      </c>
      <c r="V33" s="4">
        <v>1436</v>
      </c>
      <c r="AF33" s="5">
        <v>3.7879</v>
      </c>
      <c r="AI33" s="1">
        <v>2</v>
      </c>
      <c r="AJ33" t="s">
        <v>81</v>
      </c>
      <c r="AK33" t="s">
        <v>82</v>
      </c>
      <c r="AL33" t="s">
        <v>83</v>
      </c>
      <c r="AM33" s="3">
        <v>1.47</v>
      </c>
      <c r="AN33" s="4">
        <v>1550</v>
      </c>
      <c r="AO33" s="1">
        <v>1051</v>
      </c>
      <c r="AS33" s="3">
        <v>347601.31</v>
      </c>
      <c r="AW33" t="s">
        <v>84</v>
      </c>
      <c r="AY33" s="3">
        <v>1.44</v>
      </c>
      <c r="AZ33" s="4">
        <v>1176</v>
      </c>
      <c r="BA33" s="1">
        <v>814</v>
      </c>
      <c r="BB33" s="1">
        <v>40</v>
      </c>
      <c r="BC33" s="1">
        <v>92</v>
      </c>
      <c r="BF33" t="s">
        <v>314</v>
      </c>
      <c r="BG33" t="s">
        <v>104</v>
      </c>
    </row>
    <row r="34" spans="1:62" x14ac:dyDescent="0.25">
      <c r="A34" t="s">
        <v>315</v>
      </c>
      <c r="B34" t="s">
        <v>316</v>
      </c>
      <c r="C34" s="1">
        <v>74</v>
      </c>
      <c r="D34" s="1">
        <v>1985</v>
      </c>
      <c r="E34" t="s">
        <v>64</v>
      </c>
      <c r="F34" t="s">
        <v>308</v>
      </c>
      <c r="G34" t="s">
        <v>317</v>
      </c>
      <c r="H34" t="s">
        <v>318</v>
      </c>
      <c r="I34" t="s">
        <v>319</v>
      </c>
      <c r="J34" t="s">
        <v>317</v>
      </c>
      <c r="K34" s="1">
        <v>3</v>
      </c>
      <c r="L34" t="s">
        <v>69</v>
      </c>
      <c r="M34" t="s">
        <v>70</v>
      </c>
      <c r="N34" t="s">
        <v>71</v>
      </c>
      <c r="P34" t="s">
        <v>72</v>
      </c>
      <c r="Q34" t="s">
        <v>320</v>
      </c>
      <c r="R34" t="s">
        <v>74</v>
      </c>
      <c r="S34" t="s">
        <v>321</v>
      </c>
      <c r="T34" s="2">
        <v>978</v>
      </c>
      <c r="U34" s="3">
        <v>1.42</v>
      </c>
      <c r="V34" s="4">
        <v>1394</v>
      </c>
      <c r="AF34" s="5">
        <v>9.4595000000000002</v>
      </c>
      <c r="AI34" s="1">
        <v>2</v>
      </c>
      <c r="AJ34" t="s">
        <v>81</v>
      </c>
      <c r="AK34" t="s">
        <v>82</v>
      </c>
      <c r="AL34" t="s">
        <v>83</v>
      </c>
      <c r="AM34" s="3">
        <v>1.42</v>
      </c>
      <c r="AN34" s="4">
        <v>1394</v>
      </c>
      <c r="AO34" s="1">
        <v>978</v>
      </c>
      <c r="AS34" s="3">
        <v>59121.46</v>
      </c>
      <c r="AW34" t="s">
        <v>84</v>
      </c>
      <c r="BC34" s="1">
        <v>74</v>
      </c>
      <c r="BF34" t="s">
        <v>322</v>
      </c>
      <c r="BG34" t="s">
        <v>104</v>
      </c>
    </row>
    <row r="35" spans="1:62" x14ac:dyDescent="0.25">
      <c r="A35" t="s">
        <v>323</v>
      </c>
      <c r="B35" t="s">
        <v>324</v>
      </c>
      <c r="C35" s="1">
        <v>68</v>
      </c>
      <c r="D35" s="1">
        <v>1985</v>
      </c>
      <c r="E35" t="s">
        <v>64</v>
      </c>
      <c r="F35" t="s">
        <v>308</v>
      </c>
      <c r="G35" t="s">
        <v>325</v>
      </c>
      <c r="H35" t="s">
        <v>326</v>
      </c>
      <c r="I35" t="s">
        <v>327</v>
      </c>
      <c r="J35" t="s">
        <v>325</v>
      </c>
      <c r="K35" s="1">
        <v>2</v>
      </c>
      <c r="L35" t="s">
        <v>69</v>
      </c>
      <c r="M35" t="s">
        <v>70</v>
      </c>
      <c r="N35" t="s">
        <v>71</v>
      </c>
      <c r="P35" t="s">
        <v>72</v>
      </c>
      <c r="Q35" t="s">
        <v>232</v>
      </c>
      <c r="R35" t="s">
        <v>74</v>
      </c>
      <c r="S35" t="s">
        <v>328</v>
      </c>
      <c r="T35" s="2">
        <v>673</v>
      </c>
      <c r="U35" s="3">
        <v>1.78</v>
      </c>
      <c r="V35" s="4">
        <v>1197</v>
      </c>
      <c r="AF35" s="5">
        <v>16.176500000000001</v>
      </c>
      <c r="AI35" s="1">
        <v>2</v>
      </c>
      <c r="AJ35" t="s">
        <v>81</v>
      </c>
      <c r="AK35" t="s">
        <v>82</v>
      </c>
      <c r="AL35" t="s">
        <v>83</v>
      </c>
      <c r="AM35" s="3">
        <v>1.8</v>
      </c>
      <c r="AN35" s="4">
        <v>1350</v>
      </c>
      <c r="AO35" s="1">
        <v>750</v>
      </c>
      <c r="AS35" s="3">
        <v>158291.49</v>
      </c>
      <c r="AW35" t="s">
        <v>84</v>
      </c>
      <c r="AY35" s="3">
        <v>1.77</v>
      </c>
      <c r="AZ35" s="4">
        <v>1150</v>
      </c>
      <c r="BA35" s="1">
        <v>650</v>
      </c>
      <c r="BB35" s="1">
        <v>52</v>
      </c>
      <c r="BC35" s="1">
        <v>16</v>
      </c>
    </row>
    <row r="36" spans="1:62" x14ac:dyDescent="0.25">
      <c r="A36" t="s">
        <v>329</v>
      </c>
      <c r="B36" t="s">
        <v>330</v>
      </c>
      <c r="C36" s="1">
        <v>186</v>
      </c>
      <c r="D36" s="1">
        <v>1985</v>
      </c>
      <c r="E36" t="s">
        <v>64</v>
      </c>
      <c r="F36" t="s">
        <v>293</v>
      </c>
      <c r="G36" t="s">
        <v>331</v>
      </c>
      <c r="H36" t="s">
        <v>332</v>
      </c>
      <c r="I36" t="s">
        <v>333</v>
      </c>
      <c r="J36" t="s">
        <v>331</v>
      </c>
      <c r="K36" s="1">
        <v>3</v>
      </c>
      <c r="L36" t="s">
        <v>91</v>
      </c>
      <c r="M36" t="s">
        <v>70</v>
      </c>
      <c r="N36" t="s">
        <v>71</v>
      </c>
      <c r="P36" t="s">
        <v>72</v>
      </c>
      <c r="Q36" t="s">
        <v>73</v>
      </c>
      <c r="R36" t="s">
        <v>74</v>
      </c>
      <c r="S36" t="s">
        <v>334</v>
      </c>
      <c r="T36" s="2">
        <v>888</v>
      </c>
      <c r="U36" s="3">
        <v>1.17</v>
      </c>
      <c r="V36" s="4">
        <v>1041</v>
      </c>
      <c r="AF36" s="5">
        <v>10.752700000000001</v>
      </c>
      <c r="AI36" s="1">
        <v>3</v>
      </c>
      <c r="AJ36" t="s">
        <v>81</v>
      </c>
      <c r="AK36" t="s">
        <v>82</v>
      </c>
      <c r="AL36" t="s">
        <v>83</v>
      </c>
      <c r="AM36" s="3">
        <v>1.17</v>
      </c>
      <c r="AN36" s="4">
        <v>1128</v>
      </c>
      <c r="AO36" s="1">
        <v>966</v>
      </c>
      <c r="AS36" s="3">
        <v>340395.07</v>
      </c>
      <c r="AW36" t="s">
        <v>84</v>
      </c>
      <c r="AY36" s="3">
        <v>1.18</v>
      </c>
      <c r="AZ36" s="4">
        <v>977</v>
      </c>
      <c r="BA36" s="1">
        <v>831</v>
      </c>
      <c r="BB36" s="1">
        <v>107</v>
      </c>
      <c r="BC36" s="1">
        <v>79</v>
      </c>
      <c r="BF36" t="s">
        <v>335</v>
      </c>
    </row>
    <row r="37" spans="1:62" x14ac:dyDescent="0.25">
      <c r="A37" t="s">
        <v>336</v>
      </c>
      <c r="B37" t="s">
        <v>337</v>
      </c>
      <c r="C37" s="1">
        <v>352</v>
      </c>
      <c r="D37" s="1">
        <v>1986</v>
      </c>
      <c r="E37" t="s">
        <v>64</v>
      </c>
      <c r="F37" t="s">
        <v>338</v>
      </c>
      <c r="G37" t="s">
        <v>339</v>
      </c>
      <c r="H37" t="s">
        <v>340</v>
      </c>
      <c r="I37" t="s">
        <v>341</v>
      </c>
      <c r="J37" t="s">
        <v>339</v>
      </c>
      <c r="K37" s="1">
        <v>3</v>
      </c>
      <c r="L37" t="s">
        <v>91</v>
      </c>
      <c r="M37" t="s">
        <v>70</v>
      </c>
      <c r="N37" t="s">
        <v>71</v>
      </c>
      <c r="P37" t="s">
        <v>72</v>
      </c>
      <c r="Q37" t="s">
        <v>73</v>
      </c>
      <c r="R37" t="s">
        <v>74</v>
      </c>
      <c r="S37" t="s">
        <v>342</v>
      </c>
      <c r="T37" s="2">
        <v>733</v>
      </c>
      <c r="U37" s="3">
        <v>1.95</v>
      </c>
      <c r="V37" s="4">
        <v>1429</v>
      </c>
      <c r="AF37" s="5">
        <v>12.7841</v>
      </c>
      <c r="AI37" s="1">
        <v>2</v>
      </c>
      <c r="AJ37" t="s">
        <v>81</v>
      </c>
      <c r="AK37" t="s">
        <v>82</v>
      </c>
      <c r="AL37" t="s">
        <v>83</v>
      </c>
      <c r="AM37" s="3">
        <v>1.86</v>
      </c>
      <c r="AN37" s="4">
        <v>2233</v>
      </c>
      <c r="AO37" s="1">
        <v>1200</v>
      </c>
      <c r="AS37" s="3">
        <v>1246029.23</v>
      </c>
      <c r="AW37" t="s">
        <v>84</v>
      </c>
      <c r="AY37" s="3">
        <v>1.96</v>
      </c>
      <c r="AZ37" s="4">
        <v>1381</v>
      </c>
      <c r="BA37" s="1">
        <v>706</v>
      </c>
      <c r="BB37" s="1">
        <v>332</v>
      </c>
      <c r="BC37" s="1">
        <v>20</v>
      </c>
    </row>
    <row r="38" spans="1:62" x14ac:dyDescent="0.25">
      <c r="A38" t="s">
        <v>343</v>
      </c>
      <c r="B38" t="s">
        <v>344</v>
      </c>
      <c r="C38" s="1">
        <v>100</v>
      </c>
      <c r="D38" s="1">
        <v>1985</v>
      </c>
      <c r="E38" t="s">
        <v>64</v>
      </c>
      <c r="F38" t="s">
        <v>114</v>
      </c>
      <c r="G38" t="s">
        <v>345</v>
      </c>
      <c r="H38" t="s">
        <v>346</v>
      </c>
      <c r="I38" t="s">
        <v>347</v>
      </c>
      <c r="J38" t="s">
        <v>345</v>
      </c>
      <c r="K38" s="1">
        <v>3</v>
      </c>
      <c r="L38" t="s">
        <v>69</v>
      </c>
      <c r="M38" t="s">
        <v>70</v>
      </c>
      <c r="N38" t="s">
        <v>71</v>
      </c>
      <c r="P38" t="s">
        <v>72</v>
      </c>
      <c r="Q38" t="s">
        <v>348</v>
      </c>
      <c r="R38" t="s">
        <v>74</v>
      </c>
      <c r="S38" t="s">
        <v>349</v>
      </c>
      <c r="T38" s="2">
        <v>772</v>
      </c>
      <c r="U38" s="3">
        <v>1.69</v>
      </c>
      <c r="V38" s="4">
        <v>1303</v>
      </c>
      <c r="AF38" s="5">
        <v>3</v>
      </c>
      <c r="AI38" s="1">
        <v>2</v>
      </c>
      <c r="AJ38" t="s">
        <v>81</v>
      </c>
      <c r="AK38" t="s">
        <v>82</v>
      </c>
      <c r="AL38" t="s">
        <v>83</v>
      </c>
      <c r="AM38" s="3">
        <v>1.55</v>
      </c>
      <c r="AN38" s="4">
        <v>1455</v>
      </c>
      <c r="AO38" s="1">
        <v>936</v>
      </c>
      <c r="AS38" s="3">
        <v>197046.92</v>
      </c>
      <c r="AW38" t="s">
        <v>84</v>
      </c>
      <c r="AY38" s="3">
        <v>1.81</v>
      </c>
      <c r="AZ38" s="4">
        <v>1202</v>
      </c>
      <c r="BA38" s="1">
        <v>663</v>
      </c>
      <c r="BB38" s="1">
        <v>60</v>
      </c>
      <c r="BC38" s="1">
        <v>40</v>
      </c>
      <c r="BF38" t="s">
        <v>350</v>
      </c>
      <c r="BG38" t="s">
        <v>104</v>
      </c>
    </row>
    <row r="39" spans="1:62" x14ac:dyDescent="0.25">
      <c r="A39" t="s">
        <v>351</v>
      </c>
      <c r="B39" t="s">
        <v>352</v>
      </c>
      <c r="C39" s="1">
        <v>200</v>
      </c>
      <c r="D39" s="1">
        <v>1986</v>
      </c>
      <c r="E39" t="s">
        <v>64</v>
      </c>
      <c r="F39" t="s">
        <v>114</v>
      </c>
      <c r="G39" t="s">
        <v>353</v>
      </c>
      <c r="H39" t="s">
        <v>354</v>
      </c>
      <c r="I39" t="s">
        <v>355</v>
      </c>
      <c r="J39" t="s">
        <v>353</v>
      </c>
      <c r="K39" s="1">
        <v>3</v>
      </c>
      <c r="L39" t="s">
        <v>69</v>
      </c>
      <c r="M39" t="s">
        <v>70</v>
      </c>
      <c r="N39" t="s">
        <v>71</v>
      </c>
      <c r="P39" t="s">
        <v>72</v>
      </c>
      <c r="Q39" t="s">
        <v>356</v>
      </c>
      <c r="R39" t="s">
        <v>74</v>
      </c>
      <c r="S39" t="s">
        <v>357</v>
      </c>
      <c r="T39" s="2">
        <v>758</v>
      </c>
      <c r="U39" s="3">
        <v>1.73</v>
      </c>
      <c r="V39" s="4">
        <v>1310</v>
      </c>
      <c r="AF39" s="5">
        <v>9</v>
      </c>
      <c r="AI39" s="1">
        <v>2</v>
      </c>
      <c r="AJ39" t="s">
        <v>81</v>
      </c>
      <c r="AK39" t="s">
        <v>82</v>
      </c>
      <c r="AL39" t="s">
        <v>83</v>
      </c>
      <c r="AM39" s="3">
        <v>1.51</v>
      </c>
      <c r="AN39" s="4">
        <v>1494</v>
      </c>
      <c r="AO39" s="1">
        <v>988</v>
      </c>
      <c r="AS39" s="3">
        <v>589976.44999999995</v>
      </c>
      <c r="AW39" t="s">
        <v>84</v>
      </c>
      <c r="AY39" s="3">
        <v>1.9</v>
      </c>
      <c r="AZ39" s="4">
        <v>1211</v>
      </c>
      <c r="BA39" s="1">
        <v>636</v>
      </c>
      <c r="BB39" s="1">
        <v>130</v>
      </c>
      <c r="BC39" s="1">
        <v>70</v>
      </c>
      <c r="BF39" t="s">
        <v>261</v>
      </c>
      <c r="BG39" t="s">
        <v>104</v>
      </c>
    </row>
    <row r="40" spans="1:62" x14ac:dyDescent="0.25">
      <c r="A40" t="s">
        <v>358</v>
      </c>
      <c r="B40" t="s">
        <v>359</v>
      </c>
      <c r="C40" s="1">
        <v>208</v>
      </c>
      <c r="D40" s="1">
        <v>1985</v>
      </c>
      <c r="E40" t="s">
        <v>64</v>
      </c>
      <c r="F40" t="s">
        <v>360</v>
      </c>
      <c r="G40" t="s">
        <v>135</v>
      </c>
      <c r="H40" t="s">
        <v>361</v>
      </c>
      <c r="I40" t="s">
        <v>362</v>
      </c>
      <c r="J40" t="s">
        <v>135</v>
      </c>
      <c r="K40" s="1">
        <v>3</v>
      </c>
      <c r="L40" t="s">
        <v>91</v>
      </c>
      <c r="M40" t="s">
        <v>70</v>
      </c>
      <c r="N40" t="s">
        <v>71</v>
      </c>
      <c r="P40" t="s">
        <v>72</v>
      </c>
      <c r="Q40" t="s">
        <v>73</v>
      </c>
      <c r="R40" t="s">
        <v>74</v>
      </c>
      <c r="S40" t="s">
        <v>363</v>
      </c>
      <c r="T40" s="2">
        <v>810</v>
      </c>
      <c r="U40" s="3">
        <v>1.27</v>
      </c>
      <c r="V40" s="4">
        <v>1027</v>
      </c>
      <c r="AF40" s="5">
        <v>19.230799999999999</v>
      </c>
      <c r="AH40" s="1">
        <v>2005</v>
      </c>
      <c r="AI40" s="1">
        <v>3</v>
      </c>
      <c r="AJ40" t="s">
        <v>81</v>
      </c>
      <c r="AK40" t="s">
        <v>82</v>
      </c>
      <c r="AL40" t="s">
        <v>83</v>
      </c>
      <c r="AM40" s="3">
        <v>1.2</v>
      </c>
      <c r="AN40" s="4">
        <v>1014</v>
      </c>
      <c r="AO40" s="1">
        <v>843</v>
      </c>
      <c r="AP40" s="3">
        <v>1.37</v>
      </c>
      <c r="AQ40" s="4">
        <v>1563</v>
      </c>
      <c r="AR40" s="1">
        <v>1140</v>
      </c>
      <c r="AS40" s="3">
        <v>478855.19</v>
      </c>
      <c r="AW40" t="s">
        <v>84</v>
      </c>
      <c r="AY40" s="3">
        <v>1.35</v>
      </c>
      <c r="AZ40" s="4">
        <v>748</v>
      </c>
      <c r="BA40" s="1">
        <v>553</v>
      </c>
      <c r="BB40" s="1">
        <v>56</v>
      </c>
      <c r="BC40" s="1">
        <v>120</v>
      </c>
      <c r="BD40" s="1">
        <v>32</v>
      </c>
      <c r="BF40" t="s">
        <v>364</v>
      </c>
      <c r="BG40" t="s">
        <v>365</v>
      </c>
    </row>
    <row r="41" spans="1:62" x14ac:dyDescent="0.25">
      <c r="A41" t="s">
        <v>366</v>
      </c>
      <c r="B41" t="s">
        <v>367</v>
      </c>
      <c r="C41" s="1">
        <v>446</v>
      </c>
      <c r="D41" s="1">
        <v>1985</v>
      </c>
      <c r="E41" t="s">
        <v>64</v>
      </c>
      <c r="F41" t="s">
        <v>259</v>
      </c>
      <c r="G41" t="s">
        <v>368</v>
      </c>
      <c r="H41" t="s">
        <v>369</v>
      </c>
      <c r="I41" t="s">
        <v>370</v>
      </c>
      <c r="J41" t="s">
        <v>368</v>
      </c>
      <c r="K41" s="1">
        <v>4</v>
      </c>
      <c r="L41" t="s">
        <v>91</v>
      </c>
      <c r="M41" t="s">
        <v>70</v>
      </c>
      <c r="N41" t="s">
        <v>71</v>
      </c>
      <c r="P41" t="s">
        <v>72</v>
      </c>
      <c r="Q41" t="s">
        <v>152</v>
      </c>
      <c r="R41" t="s">
        <v>74</v>
      </c>
      <c r="S41" t="s">
        <v>371</v>
      </c>
      <c r="T41" s="2">
        <v>859</v>
      </c>
      <c r="U41" s="3">
        <v>1.47</v>
      </c>
      <c r="V41" s="4">
        <v>1266</v>
      </c>
      <c r="AF41" s="5">
        <v>10.3139</v>
      </c>
      <c r="AH41" s="1">
        <v>2016</v>
      </c>
      <c r="AI41" s="1">
        <v>2</v>
      </c>
      <c r="AJ41" t="s">
        <v>81</v>
      </c>
      <c r="AK41" t="s">
        <v>82</v>
      </c>
      <c r="AL41" t="s">
        <v>83</v>
      </c>
      <c r="AM41" s="3">
        <v>1.36</v>
      </c>
      <c r="AN41" s="4">
        <v>1338</v>
      </c>
      <c r="AO41" s="1">
        <v>981</v>
      </c>
      <c r="AP41" s="3">
        <v>1.48</v>
      </c>
      <c r="AQ41" s="4">
        <v>1978</v>
      </c>
      <c r="AR41" s="1">
        <v>1333</v>
      </c>
      <c r="AS41" s="3">
        <v>0</v>
      </c>
      <c r="AW41" t="s">
        <v>84</v>
      </c>
      <c r="AY41" s="3">
        <v>1.59</v>
      </c>
      <c r="AZ41" s="4">
        <v>1126</v>
      </c>
      <c r="BA41" s="1">
        <v>710</v>
      </c>
      <c r="BB41" s="1">
        <v>236</v>
      </c>
      <c r="BC41" s="1">
        <v>182</v>
      </c>
      <c r="BD41" s="1">
        <v>28</v>
      </c>
      <c r="BF41" t="s">
        <v>372</v>
      </c>
      <c r="BG41" t="s">
        <v>104</v>
      </c>
    </row>
    <row r="42" spans="1:62" x14ac:dyDescent="0.25">
      <c r="A42" t="s">
        <v>373</v>
      </c>
      <c r="B42" t="s">
        <v>374</v>
      </c>
      <c r="C42" s="1">
        <v>82</v>
      </c>
      <c r="D42" s="1">
        <v>1986</v>
      </c>
      <c r="E42" t="s">
        <v>64</v>
      </c>
      <c r="F42" t="s">
        <v>375</v>
      </c>
      <c r="G42" t="s">
        <v>376</v>
      </c>
      <c r="H42" t="s">
        <v>377</v>
      </c>
      <c r="I42" t="s">
        <v>378</v>
      </c>
      <c r="J42" t="s">
        <v>376</v>
      </c>
      <c r="K42" s="1">
        <v>2</v>
      </c>
      <c r="L42" t="s">
        <v>69</v>
      </c>
      <c r="M42" t="s">
        <v>70</v>
      </c>
      <c r="N42" t="s">
        <v>71</v>
      </c>
      <c r="P42" t="s">
        <v>72</v>
      </c>
      <c r="Q42" t="s">
        <v>73</v>
      </c>
      <c r="R42" t="s">
        <v>74</v>
      </c>
      <c r="S42" t="s">
        <v>379</v>
      </c>
      <c r="T42" s="2">
        <v>553</v>
      </c>
      <c r="U42" s="3">
        <v>2</v>
      </c>
      <c r="V42" s="4">
        <v>1108</v>
      </c>
      <c r="AF42" s="5">
        <v>6.0975999999999999</v>
      </c>
      <c r="AI42" s="1">
        <v>3</v>
      </c>
      <c r="AJ42" t="s">
        <v>81</v>
      </c>
      <c r="AK42" t="s">
        <v>82</v>
      </c>
      <c r="AL42" t="s">
        <v>83</v>
      </c>
      <c r="AS42" s="3">
        <v>99458.84</v>
      </c>
      <c r="AW42" t="s">
        <v>84</v>
      </c>
      <c r="AY42" s="3">
        <v>2</v>
      </c>
      <c r="AZ42" s="4">
        <v>1108</v>
      </c>
      <c r="BA42" s="1">
        <v>553</v>
      </c>
      <c r="BB42" s="1">
        <v>82</v>
      </c>
      <c r="BG42" t="s">
        <v>131</v>
      </c>
    </row>
    <row r="43" spans="1:62" x14ac:dyDescent="0.25">
      <c r="A43" t="s">
        <v>380</v>
      </c>
      <c r="B43" t="s">
        <v>381</v>
      </c>
      <c r="C43" s="1">
        <v>399</v>
      </c>
      <c r="D43" s="1">
        <v>1985</v>
      </c>
      <c r="E43" t="s">
        <v>64</v>
      </c>
      <c r="F43" t="s">
        <v>156</v>
      </c>
      <c r="G43" t="s">
        <v>382</v>
      </c>
      <c r="H43" t="s">
        <v>383</v>
      </c>
      <c r="I43" t="s">
        <v>384</v>
      </c>
      <c r="J43" t="s">
        <v>382</v>
      </c>
      <c r="K43" s="1">
        <v>3</v>
      </c>
      <c r="L43" t="s">
        <v>69</v>
      </c>
      <c r="M43" t="s">
        <v>70</v>
      </c>
      <c r="N43" t="s">
        <v>71</v>
      </c>
      <c r="P43" t="s">
        <v>72</v>
      </c>
      <c r="Q43" t="s">
        <v>73</v>
      </c>
      <c r="R43" t="s">
        <v>74</v>
      </c>
      <c r="S43" t="s">
        <v>385</v>
      </c>
      <c r="T43" s="2">
        <v>708</v>
      </c>
      <c r="U43" s="3">
        <v>1.39</v>
      </c>
      <c r="V43" s="4">
        <v>981</v>
      </c>
      <c r="AF43" s="5">
        <v>7.2682000000000002</v>
      </c>
      <c r="AI43" s="1">
        <v>3</v>
      </c>
      <c r="AJ43" t="s">
        <v>81</v>
      </c>
      <c r="AK43" t="s">
        <v>82</v>
      </c>
      <c r="AL43" t="s">
        <v>83</v>
      </c>
      <c r="AM43" s="3">
        <v>1.19</v>
      </c>
      <c r="AN43" s="4">
        <v>1191</v>
      </c>
      <c r="AO43" s="1">
        <v>1002</v>
      </c>
      <c r="AS43" s="3">
        <v>748735.06</v>
      </c>
      <c r="AW43" t="s">
        <v>84</v>
      </c>
      <c r="AY43" s="3">
        <v>1.47</v>
      </c>
      <c r="AZ43" s="4">
        <v>926</v>
      </c>
      <c r="BA43" s="1">
        <v>632</v>
      </c>
      <c r="BB43" s="1">
        <v>317</v>
      </c>
      <c r="BC43" s="1">
        <v>82</v>
      </c>
      <c r="BF43" t="s">
        <v>386</v>
      </c>
      <c r="BG43" t="s">
        <v>104</v>
      </c>
    </row>
    <row r="44" spans="1:62" x14ac:dyDescent="0.25">
      <c r="A44" t="s">
        <v>387</v>
      </c>
      <c r="B44" t="s">
        <v>388</v>
      </c>
      <c r="C44" s="1">
        <v>240</v>
      </c>
      <c r="D44" s="1">
        <v>1985</v>
      </c>
      <c r="E44" t="s">
        <v>64</v>
      </c>
      <c r="F44" t="s">
        <v>389</v>
      </c>
      <c r="G44" t="s">
        <v>390</v>
      </c>
      <c r="H44" t="s">
        <v>391</v>
      </c>
      <c r="I44" t="s">
        <v>392</v>
      </c>
      <c r="J44" t="s">
        <v>390</v>
      </c>
      <c r="K44" s="1">
        <v>3</v>
      </c>
      <c r="L44" t="s">
        <v>91</v>
      </c>
      <c r="M44" t="s">
        <v>70</v>
      </c>
      <c r="N44" t="s">
        <v>71</v>
      </c>
      <c r="P44" t="s">
        <v>72</v>
      </c>
      <c r="Q44" t="s">
        <v>393</v>
      </c>
      <c r="R44" t="s">
        <v>74</v>
      </c>
      <c r="S44" t="s">
        <v>394</v>
      </c>
      <c r="T44" s="2">
        <v>765</v>
      </c>
      <c r="U44" s="3">
        <v>1.62</v>
      </c>
      <c r="V44" s="4">
        <v>1242</v>
      </c>
      <c r="AF44" s="5">
        <v>6.6666999999999996</v>
      </c>
      <c r="AI44" s="1">
        <v>2</v>
      </c>
      <c r="AJ44" t="s">
        <v>81</v>
      </c>
      <c r="AK44" t="s">
        <v>82</v>
      </c>
      <c r="AL44" t="s">
        <v>83</v>
      </c>
      <c r="AM44" s="3">
        <v>1.54</v>
      </c>
      <c r="AN44" s="4">
        <v>1380</v>
      </c>
      <c r="AO44" s="1">
        <v>894</v>
      </c>
      <c r="AS44" s="3">
        <v>0</v>
      </c>
      <c r="AW44" t="s">
        <v>84</v>
      </c>
      <c r="AY44" s="3">
        <v>1.74</v>
      </c>
      <c r="AZ44" s="4">
        <v>1105</v>
      </c>
      <c r="BA44" s="1">
        <v>637</v>
      </c>
      <c r="BB44" s="1">
        <v>120</v>
      </c>
      <c r="BC44" s="1">
        <v>120</v>
      </c>
    </row>
    <row r="45" spans="1:62" x14ac:dyDescent="0.25">
      <c r="A45" t="s">
        <v>395</v>
      </c>
      <c r="B45" t="s">
        <v>396</v>
      </c>
      <c r="C45" s="1">
        <v>228</v>
      </c>
      <c r="D45" s="1">
        <v>1988</v>
      </c>
      <c r="E45" t="s">
        <v>64</v>
      </c>
      <c r="F45" t="s">
        <v>65</v>
      </c>
      <c r="G45" t="s">
        <v>397</v>
      </c>
      <c r="H45" t="s">
        <v>398</v>
      </c>
      <c r="I45" t="s">
        <v>399</v>
      </c>
      <c r="J45" t="s">
        <v>397</v>
      </c>
      <c r="K45" s="1">
        <v>3</v>
      </c>
      <c r="L45" t="s">
        <v>91</v>
      </c>
      <c r="M45" t="s">
        <v>70</v>
      </c>
      <c r="N45" t="s">
        <v>71</v>
      </c>
      <c r="P45" t="s">
        <v>72</v>
      </c>
      <c r="Q45" t="s">
        <v>73</v>
      </c>
      <c r="R45" t="s">
        <v>74</v>
      </c>
      <c r="S45" t="s">
        <v>400</v>
      </c>
      <c r="T45" s="2">
        <v>721</v>
      </c>
      <c r="U45" s="3">
        <v>1.91</v>
      </c>
      <c r="V45" s="4">
        <v>1382</v>
      </c>
      <c r="AF45" s="5">
        <v>6.1403999999999996</v>
      </c>
      <c r="AI45" s="1">
        <v>3</v>
      </c>
      <c r="AJ45" t="s">
        <v>81</v>
      </c>
      <c r="AK45" t="s">
        <v>82</v>
      </c>
      <c r="AL45" t="s">
        <v>83</v>
      </c>
      <c r="AM45" s="3">
        <v>1.9</v>
      </c>
      <c r="AN45" s="4">
        <v>1493</v>
      </c>
      <c r="AO45" s="1">
        <v>788</v>
      </c>
      <c r="AP45" s="3">
        <v>1.84</v>
      </c>
      <c r="AQ45" s="4">
        <v>1769</v>
      </c>
      <c r="AR45" s="1">
        <v>960</v>
      </c>
      <c r="AS45" s="3">
        <v>949887.71</v>
      </c>
      <c r="AT45" s="3">
        <v>1.78</v>
      </c>
      <c r="AU45" s="4">
        <v>1333</v>
      </c>
      <c r="AV45" s="6">
        <v>750</v>
      </c>
      <c r="AW45" t="s">
        <v>84</v>
      </c>
      <c r="AY45" s="3">
        <v>1.97</v>
      </c>
      <c r="AZ45" s="4">
        <v>1177</v>
      </c>
      <c r="BA45" s="1">
        <v>597</v>
      </c>
      <c r="BB45" s="1">
        <v>95</v>
      </c>
      <c r="BC45" s="1">
        <v>114</v>
      </c>
      <c r="BD45" s="1">
        <v>18</v>
      </c>
      <c r="BG45" t="s">
        <v>131</v>
      </c>
    </row>
    <row r="46" spans="1:62" x14ac:dyDescent="0.25">
      <c r="A46" t="s">
        <v>401</v>
      </c>
      <c r="B46" t="s">
        <v>402</v>
      </c>
      <c r="C46" s="1">
        <v>168</v>
      </c>
      <c r="D46" s="1">
        <v>1985</v>
      </c>
      <c r="E46" t="s">
        <v>64</v>
      </c>
      <c r="F46" t="s">
        <v>301</v>
      </c>
      <c r="G46" t="s">
        <v>403</v>
      </c>
      <c r="H46" t="s">
        <v>404</v>
      </c>
      <c r="I46" t="s">
        <v>405</v>
      </c>
      <c r="J46" t="s">
        <v>403</v>
      </c>
      <c r="K46" s="1">
        <v>3</v>
      </c>
      <c r="L46" t="s">
        <v>91</v>
      </c>
      <c r="M46" t="s">
        <v>70</v>
      </c>
      <c r="N46" t="s">
        <v>71</v>
      </c>
      <c r="O46" t="s">
        <v>118</v>
      </c>
      <c r="P46" t="s">
        <v>72</v>
      </c>
      <c r="Q46" t="s">
        <v>152</v>
      </c>
      <c r="R46" t="s">
        <v>74</v>
      </c>
      <c r="S46" t="s">
        <v>406</v>
      </c>
      <c r="T46" s="2">
        <v>592</v>
      </c>
      <c r="U46" s="3">
        <v>1.46</v>
      </c>
      <c r="V46" s="4">
        <v>866</v>
      </c>
      <c r="AF46" s="5">
        <v>10.7143</v>
      </c>
      <c r="AH46" s="1">
        <v>2010</v>
      </c>
      <c r="AI46" s="1">
        <v>3</v>
      </c>
      <c r="AJ46" t="s">
        <v>81</v>
      </c>
      <c r="AK46" t="s">
        <v>82</v>
      </c>
      <c r="AL46" t="s">
        <v>83</v>
      </c>
      <c r="AM46" s="3">
        <v>0.86</v>
      </c>
      <c r="AN46" s="4">
        <v>605</v>
      </c>
      <c r="AO46" s="1">
        <v>706</v>
      </c>
      <c r="AT46" s="3">
        <v>2.37</v>
      </c>
      <c r="AU46" s="4">
        <v>1065</v>
      </c>
      <c r="AV46" s="6">
        <v>450</v>
      </c>
      <c r="AW46" t="s">
        <v>84</v>
      </c>
      <c r="AY46" s="3">
        <v>1.93</v>
      </c>
      <c r="AZ46" s="4">
        <v>1060</v>
      </c>
      <c r="BA46" s="1">
        <v>550</v>
      </c>
      <c r="BB46" s="1">
        <v>56</v>
      </c>
      <c r="BC46" s="1">
        <v>72</v>
      </c>
    </row>
    <row r="47" spans="1:62" x14ac:dyDescent="0.25">
      <c r="A47" t="s">
        <v>407</v>
      </c>
      <c r="B47" t="s">
        <v>408</v>
      </c>
      <c r="C47" s="1">
        <v>65</v>
      </c>
      <c r="D47" s="1">
        <v>1985</v>
      </c>
      <c r="E47" t="s">
        <v>64</v>
      </c>
      <c r="F47" t="s">
        <v>409</v>
      </c>
      <c r="G47" t="s">
        <v>410</v>
      </c>
      <c r="H47" t="s">
        <v>408</v>
      </c>
      <c r="I47" t="s">
        <v>411</v>
      </c>
      <c r="J47" t="s">
        <v>410</v>
      </c>
      <c r="K47" s="1">
        <v>3</v>
      </c>
      <c r="L47" t="s">
        <v>91</v>
      </c>
      <c r="M47" t="s">
        <v>70</v>
      </c>
      <c r="N47" t="s">
        <v>71</v>
      </c>
      <c r="O47" t="s">
        <v>118</v>
      </c>
      <c r="P47" t="s">
        <v>72</v>
      </c>
      <c r="Q47" t="s">
        <v>110</v>
      </c>
      <c r="R47" t="s">
        <v>74</v>
      </c>
      <c r="S47" t="s">
        <v>412</v>
      </c>
      <c r="T47" s="2">
        <v>1493</v>
      </c>
      <c r="U47" s="3">
        <v>1.17</v>
      </c>
      <c r="V47" s="4">
        <v>1751</v>
      </c>
      <c r="AF47" s="5">
        <v>4.6154000000000002</v>
      </c>
      <c r="AI47" s="1">
        <v>2</v>
      </c>
      <c r="AJ47" t="s">
        <v>81</v>
      </c>
      <c r="AK47" t="s">
        <v>82</v>
      </c>
      <c r="AL47" t="s">
        <v>83</v>
      </c>
      <c r="AM47" s="3">
        <v>1.38</v>
      </c>
      <c r="AN47" s="4">
        <v>1567</v>
      </c>
      <c r="AO47" s="1">
        <v>1139</v>
      </c>
      <c r="AP47" s="3">
        <v>1.1200000000000001</v>
      </c>
      <c r="AQ47" s="4">
        <v>1819</v>
      </c>
      <c r="AR47" s="1">
        <v>1629</v>
      </c>
      <c r="AS47" s="3">
        <v>178318.4</v>
      </c>
      <c r="AW47" t="s">
        <v>84</v>
      </c>
      <c r="AY47" s="3">
        <v>1.56</v>
      </c>
      <c r="AZ47" s="4">
        <v>1364</v>
      </c>
      <c r="BA47" s="1">
        <v>875</v>
      </c>
      <c r="BB47" s="1">
        <v>8</v>
      </c>
      <c r="BC47" s="1">
        <v>12</v>
      </c>
      <c r="BD47" s="1">
        <v>36</v>
      </c>
      <c r="BE47" s="1">
        <v>8</v>
      </c>
      <c r="BF47" t="s">
        <v>413</v>
      </c>
      <c r="BG47" t="s">
        <v>104</v>
      </c>
      <c r="BH47" s="3">
        <v>1</v>
      </c>
      <c r="BI47" s="4">
        <v>2047</v>
      </c>
      <c r="BJ47" s="1">
        <v>2038</v>
      </c>
    </row>
    <row r="48" spans="1:62" x14ac:dyDescent="0.25">
      <c r="A48" t="s">
        <v>414</v>
      </c>
      <c r="B48" t="s">
        <v>415</v>
      </c>
      <c r="C48" s="1">
        <v>218</v>
      </c>
      <c r="D48" s="1">
        <v>1986</v>
      </c>
      <c r="E48" t="s">
        <v>64</v>
      </c>
      <c r="F48" t="s">
        <v>97</v>
      </c>
      <c r="G48" t="s">
        <v>416</v>
      </c>
      <c r="H48" t="s">
        <v>417</v>
      </c>
      <c r="I48" t="s">
        <v>418</v>
      </c>
      <c r="J48" t="s">
        <v>416</v>
      </c>
      <c r="K48" s="1">
        <v>3</v>
      </c>
      <c r="L48" t="s">
        <v>91</v>
      </c>
      <c r="M48" t="s">
        <v>70</v>
      </c>
      <c r="N48" t="s">
        <v>71</v>
      </c>
      <c r="P48" t="s">
        <v>72</v>
      </c>
      <c r="Q48" t="s">
        <v>73</v>
      </c>
      <c r="R48" t="s">
        <v>74</v>
      </c>
      <c r="S48" t="s">
        <v>419</v>
      </c>
      <c r="T48" s="2">
        <v>863</v>
      </c>
      <c r="U48" s="3">
        <v>1.56</v>
      </c>
      <c r="V48" s="4">
        <v>1344</v>
      </c>
      <c r="AF48" s="5">
        <v>10.091699999999999</v>
      </c>
      <c r="AH48" s="1">
        <v>2018</v>
      </c>
      <c r="AI48" s="1">
        <v>2</v>
      </c>
      <c r="AJ48" t="s">
        <v>81</v>
      </c>
      <c r="AK48" t="s">
        <v>82</v>
      </c>
      <c r="AL48" t="s">
        <v>83</v>
      </c>
      <c r="AM48" s="3">
        <v>1.48</v>
      </c>
      <c r="AN48" s="4">
        <v>1485</v>
      </c>
      <c r="AO48" s="1">
        <v>1000</v>
      </c>
      <c r="AP48" s="3">
        <v>1.43</v>
      </c>
      <c r="AQ48" s="4">
        <v>1670</v>
      </c>
      <c r="AR48" s="1">
        <v>1165</v>
      </c>
      <c r="AS48" s="3">
        <v>679613.55</v>
      </c>
      <c r="AW48" t="s">
        <v>84</v>
      </c>
      <c r="AY48" s="3">
        <v>1.67</v>
      </c>
      <c r="AZ48" s="4">
        <v>1180</v>
      </c>
      <c r="BA48" s="1">
        <v>707</v>
      </c>
      <c r="BB48" s="1">
        <v>112</v>
      </c>
      <c r="BC48" s="1">
        <v>88</v>
      </c>
      <c r="BD48" s="1">
        <v>18</v>
      </c>
      <c r="BG48" t="s">
        <v>131</v>
      </c>
    </row>
    <row r="49" spans="1:59" x14ac:dyDescent="0.25">
      <c r="A49" t="s">
        <v>420</v>
      </c>
      <c r="B49" t="s">
        <v>421</v>
      </c>
      <c r="C49" s="1">
        <v>240</v>
      </c>
      <c r="D49" s="1">
        <v>1986</v>
      </c>
      <c r="E49" t="s">
        <v>64</v>
      </c>
      <c r="F49" t="s">
        <v>422</v>
      </c>
      <c r="G49" t="s">
        <v>423</v>
      </c>
      <c r="H49" t="s">
        <v>424</v>
      </c>
      <c r="I49" t="s">
        <v>425</v>
      </c>
      <c r="J49" t="s">
        <v>423</v>
      </c>
      <c r="K49" s="1">
        <v>3</v>
      </c>
      <c r="L49" t="s">
        <v>69</v>
      </c>
      <c r="M49" t="s">
        <v>70</v>
      </c>
      <c r="N49" t="s">
        <v>71</v>
      </c>
      <c r="O49" t="s">
        <v>426</v>
      </c>
      <c r="P49" t="s">
        <v>72</v>
      </c>
      <c r="Q49" t="s">
        <v>427</v>
      </c>
      <c r="R49" t="s">
        <v>74</v>
      </c>
      <c r="S49" t="s">
        <v>428</v>
      </c>
      <c r="T49" s="2">
        <v>1067</v>
      </c>
      <c r="U49" s="3">
        <v>0.85</v>
      </c>
      <c r="V49" s="4">
        <v>903</v>
      </c>
      <c r="AF49" s="5">
        <v>5</v>
      </c>
      <c r="AI49" s="1">
        <v>2</v>
      </c>
      <c r="AJ49" t="s">
        <v>81</v>
      </c>
      <c r="AK49" t="s">
        <v>82</v>
      </c>
      <c r="AL49" t="s">
        <v>83</v>
      </c>
      <c r="AM49" s="3">
        <v>0.83</v>
      </c>
      <c r="AN49" s="4">
        <v>858</v>
      </c>
      <c r="AO49" s="1">
        <v>1038</v>
      </c>
      <c r="AP49" s="3">
        <v>0.81</v>
      </c>
      <c r="AQ49" s="4">
        <v>1048</v>
      </c>
      <c r="AR49" s="1">
        <v>1300</v>
      </c>
      <c r="AS49" s="3">
        <v>336160.22</v>
      </c>
      <c r="AW49" t="s">
        <v>84</v>
      </c>
      <c r="AY49" s="3">
        <v>1.02</v>
      </c>
      <c r="AZ49" s="4">
        <v>769</v>
      </c>
      <c r="BA49" s="1">
        <v>750</v>
      </c>
      <c r="BB49" s="1">
        <v>48</v>
      </c>
      <c r="BC49" s="1">
        <v>112</v>
      </c>
      <c r="BD49" s="1">
        <v>80</v>
      </c>
    </row>
    <row r="50" spans="1:59" x14ac:dyDescent="0.25">
      <c r="A50" t="s">
        <v>429</v>
      </c>
      <c r="B50" t="s">
        <v>430</v>
      </c>
      <c r="C50" s="1">
        <v>52</v>
      </c>
      <c r="D50" s="1">
        <v>1986</v>
      </c>
      <c r="E50" t="s">
        <v>64</v>
      </c>
      <c r="F50" t="s">
        <v>431</v>
      </c>
      <c r="G50" t="s">
        <v>432</v>
      </c>
      <c r="H50" t="s">
        <v>433</v>
      </c>
      <c r="I50" t="s">
        <v>434</v>
      </c>
      <c r="J50" t="s">
        <v>432</v>
      </c>
      <c r="K50" s="1">
        <v>2</v>
      </c>
      <c r="L50" t="s">
        <v>69</v>
      </c>
      <c r="M50" t="s">
        <v>70</v>
      </c>
      <c r="N50" t="s">
        <v>71</v>
      </c>
      <c r="O50" t="s">
        <v>118</v>
      </c>
      <c r="P50" t="s">
        <v>72</v>
      </c>
      <c r="Q50" t="s">
        <v>435</v>
      </c>
      <c r="R50" t="s">
        <v>74</v>
      </c>
      <c r="S50" t="s">
        <v>436</v>
      </c>
      <c r="T50" s="2">
        <v>848</v>
      </c>
      <c r="U50" s="3">
        <v>0.71</v>
      </c>
      <c r="V50" s="4">
        <v>601</v>
      </c>
      <c r="AI50" s="1">
        <v>2</v>
      </c>
      <c r="AJ50" t="s">
        <v>81</v>
      </c>
      <c r="AK50" t="s">
        <v>82</v>
      </c>
      <c r="AL50" t="s">
        <v>83</v>
      </c>
      <c r="AM50" s="3">
        <v>0.7</v>
      </c>
      <c r="AN50" s="4">
        <v>640</v>
      </c>
      <c r="AO50" s="1">
        <v>910</v>
      </c>
      <c r="AS50" s="3">
        <v>9297.52</v>
      </c>
      <c r="AW50" t="s">
        <v>84</v>
      </c>
      <c r="AY50" s="3">
        <v>0.72</v>
      </c>
      <c r="AZ50" s="4">
        <v>513</v>
      </c>
      <c r="BA50" s="1">
        <v>710</v>
      </c>
      <c r="BB50" s="1">
        <v>16</v>
      </c>
      <c r="BC50" s="1">
        <v>36</v>
      </c>
    </row>
    <row r="51" spans="1:59" x14ac:dyDescent="0.25">
      <c r="A51" t="s">
        <v>437</v>
      </c>
      <c r="B51" t="s">
        <v>438</v>
      </c>
      <c r="C51" s="1">
        <v>152</v>
      </c>
      <c r="D51" s="1">
        <v>1986</v>
      </c>
      <c r="E51" t="s">
        <v>64</v>
      </c>
      <c r="F51" t="s">
        <v>439</v>
      </c>
      <c r="G51" t="s">
        <v>220</v>
      </c>
      <c r="H51" t="s">
        <v>440</v>
      </c>
      <c r="I51" t="s">
        <v>441</v>
      </c>
      <c r="J51" t="s">
        <v>220</v>
      </c>
      <c r="K51" s="1">
        <v>2</v>
      </c>
      <c r="L51" t="s">
        <v>69</v>
      </c>
      <c r="M51" t="s">
        <v>70</v>
      </c>
      <c r="N51" t="s">
        <v>71</v>
      </c>
      <c r="P51" t="s">
        <v>72</v>
      </c>
      <c r="Q51" t="s">
        <v>442</v>
      </c>
      <c r="R51" t="s">
        <v>74</v>
      </c>
      <c r="S51" t="s">
        <v>443</v>
      </c>
      <c r="T51" s="2">
        <v>774</v>
      </c>
      <c r="U51" s="3">
        <v>1.2</v>
      </c>
      <c r="V51" s="4">
        <v>908</v>
      </c>
      <c r="AF51" s="5">
        <v>7.2367999999999997</v>
      </c>
      <c r="AI51" s="1">
        <v>2</v>
      </c>
      <c r="AJ51" t="s">
        <v>81</v>
      </c>
      <c r="AK51" t="s">
        <v>82</v>
      </c>
      <c r="AL51" t="s">
        <v>83</v>
      </c>
      <c r="AM51" s="3">
        <v>1.18</v>
      </c>
      <c r="AN51" s="4">
        <v>948</v>
      </c>
      <c r="AO51" s="1">
        <v>806</v>
      </c>
      <c r="AS51" s="3">
        <v>66266.850000000006</v>
      </c>
      <c r="AW51" t="s">
        <v>84</v>
      </c>
      <c r="AY51" s="3">
        <v>1.32</v>
      </c>
      <c r="AZ51" s="4">
        <v>827</v>
      </c>
      <c r="BA51" s="1">
        <v>647</v>
      </c>
      <c r="BB51" s="1">
        <v>50</v>
      </c>
      <c r="BC51" s="1">
        <v>102</v>
      </c>
      <c r="BF51" t="s">
        <v>350</v>
      </c>
      <c r="BG51" t="s">
        <v>104</v>
      </c>
    </row>
    <row r="52" spans="1:59" x14ac:dyDescent="0.25">
      <c r="A52" t="s">
        <v>444</v>
      </c>
      <c r="B52" t="s">
        <v>445</v>
      </c>
      <c r="C52" s="1">
        <v>171</v>
      </c>
      <c r="D52" s="1">
        <v>1985</v>
      </c>
      <c r="E52" t="s">
        <v>64</v>
      </c>
      <c r="F52" t="s">
        <v>110</v>
      </c>
      <c r="G52" t="s">
        <v>446</v>
      </c>
      <c r="H52" t="s">
        <v>447</v>
      </c>
      <c r="I52" t="s">
        <v>448</v>
      </c>
      <c r="J52" t="s">
        <v>446</v>
      </c>
      <c r="K52" s="1">
        <v>3</v>
      </c>
      <c r="L52" t="s">
        <v>91</v>
      </c>
      <c r="M52" t="s">
        <v>70</v>
      </c>
      <c r="N52" t="s">
        <v>71</v>
      </c>
      <c r="P52" t="s">
        <v>72</v>
      </c>
      <c r="Q52" t="s">
        <v>110</v>
      </c>
      <c r="R52" t="s">
        <v>74</v>
      </c>
      <c r="S52" t="s">
        <v>449</v>
      </c>
      <c r="T52" s="2">
        <v>979</v>
      </c>
      <c r="U52" s="3">
        <v>1.65</v>
      </c>
      <c r="V52" s="4">
        <v>1614</v>
      </c>
      <c r="AF52" s="5">
        <v>12.865500000000001</v>
      </c>
      <c r="AI52" s="1">
        <v>2</v>
      </c>
      <c r="AJ52" t="s">
        <v>81</v>
      </c>
      <c r="AK52" t="s">
        <v>82</v>
      </c>
      <c r="AL52" t="s">
        <v>83</v>
      </c>
      <c r="AM52" s="3">
        <v>1.63</v>
      </c>
      <c r="AN52" s="4">
        <v>1591</v>
      </c>
      <c r="AO52" s="1">
        <v>974</v>
      </c>
      <c r="AP52" s="3">
        <v>1.95</v>
      </c>
      <c r="AQ52" s="4">
        <v>2105</v>
      </c>
      <c r="AR52" s="1">
        <v>1077</v>
      </c>
      <c r="AS52" s="3">
        <v>666601.9</v>
      </c>
      <c r="AW52" t="s">
        <v>84</v>
      </c>
      <c r="AY52" s="3">
        <v>1.36</v>
      </c>
      <c r="AZ52" s="4">
        <v>1356</v>
      </c>
      <c r="BA52" s="1">
        <v>1000</v>
      </c>
      <c r="BB52" s="1">
        <v>3</v>
      </c>
      <c r="BC52" s="1">
        <v>159</v>
      </c>
      <c r="BD52" s="1">
        <v>9</v>
      </c>
    </row>
    <row r="53" spans="1:59" x14ac:dyDescent="0.25">
      <c r="A53" t="s">
        <v>450</v>
      </c>
      <c r="B53" t="s">
        <v>451</v>
      </c>
      <c r="C53" s="1">
        <v>300</v>
      </c>
      <c r="D53" s="1">
        <v>1985</v>
      </c>
      <c r="E53" t="s">
        <v>64</v>
      </c>
      <c r="F53" t="s">
        <v>177</v>
      </c>
      <c r="G53" t="s">
        <v>452</v>
      </c>
      <c r="H53" t="s">
        <v>453</v>
      </c>
      <c r="I53" t="s">
        <v>454</v>
      </c>
      <c r="J53" t="s">
        <v>452</v>
      </c>
      <c r="K53" s="1">
        <v>3</v>
      </c>
      <c r="L53" t="s">
        <v>69</v>
      </c>
      <c r="M53" t="s">
        <v>70</v>
      </c>
      <c r="N53" t="s">
        <v>71</v>
      </c>
      <c r="P53" t="s">
        <v>72</v>
      </c>
      <c r="Q53" t="s">
        <v>181</v>
      </c>
      <c r="R53" t="s">
        <v>74</v>
      </c>
      <c r="S53" t="s">
        <v>455</v>
      </c>
      <c r="T53" s="2">
        <v>736</v>
      </c>
      <c r="U53" s="3">
        <v>1.82</v>
      </c>
      <c r="V53" s="4">
        <v>1338</v>
      </c>
      <c r="AF53" s="5">
        <v>6.6666999999999996</v>
      </c>
      <c r="AI53" s="1">
        <v>3</v>
      </c>
      <c r="AJ53" t="s">
        <v>81</v>
      </c>
      <c r="AK53" t="s">
        <v>82</v>
      </c>
      <c r="AL53" t="s">
        <v>83</v>
      </c>
      <c r="AM53" s="3">
        <v>1.79</v>
      </c>
      <c r="AN53" s="4">
        <v>1606</v>
      </c>
      <c r="AO53" s="1">
        <v>899</v>
      </c>
      <c r="AS53" s="3">
        <v>940355.6</v>
      </c>
      <c r="AW53" t="s">
        <v>84</v>
      </c>
      <c r="AY53" s="3">
        <v>1.85</v>
      </c>
      <c r="AZ53" s="4">
        <v>1160</v>
      </c>
      <c r="BA53" s="1">
        <v>628</v>
      </c>
      <c r="BB53" s="1">
        <v>180</v>
      </c>
      <c r="BC53" s="1">
        <v>120</v>
      </c>
    </row>
    <row r="54" spans="1:59" x14ac:dyDescent="0.25">
      <c r="A54" t="s">
        <v>456</v>
      </c>
      <c r="B54" t="s">
        <v>457</v>
      </c>
      <c r="C54" s="1">
        <v>134</v>
      </c>
      <c r="D54" s="1">
        <v>1985</v>
      </c>
      <c r="E54" t="s">
        <v>64</v>
      </c>
      <c r="F54" t="s">
        <v>156</v>
      </c>
      <c r="G54" t="s">
        <v>458</v>
      </c>
      <c r="H54" t="s">
        <v>459</v>
      </c>
      <c r="I54" t="s">
        <v>460</v>
      </c>
      <c r="J54" t="s">
        <v>458</v>
      </c>
      <c r="K54" s="1">
        <v>3</v>
      </c>
      <c r="L54" t="s">
        <v>91</v>
      </c>
      <c r="M54" t="s">
        <v>70</v>
      </c>
      <c r="N54" t="s">
        <v>71</v>
      </c>
      <c r="P54" t="s">
        <v>72</v>
      </c>
      <c r="Q54" t="s">
        <v>73</v>
      </c>
      <c r="R54" t="s">
        <v>74</v>
      </c>
      <c r="S54" t="s">
        <v>461</v>
      </c>
      <c r="T54" s="2">
        <v>800</v>
      </c>
      <c r="U54" s="3">
        <v>1.34</v>
      </c>
      <c r="V54" s="4">
        <v>1076</v>
      </c>
      <c r="AF54" s="5">
        <v>20.895499999999998</v>
      </c>
      <c r="AI54" s="1">
        <v>2</v>
      </c>
      <c r="AJ54" t="s">
        <v>81</v>
      </c>
      <c r="AK54" t="s">
        <v>82</v>
      </c>
      <c r="AL54" t="s">
        <v>83</v>
      </c>
      <c r="AM54" s="3">
        <v>1.33</v>
      </c>
      <c r="AN54" s="4">
        <v>1141</v>
      </c>
      <c r="AO54" s="1">
        <v>857</v>
      </c>
      <c r="AS54" s="3">
        <v>352017.22</v>
      </c>
      <c r="AW54" t="s">
        <v>84</v>
      </c>
      <c r="AY54" s="3">
        <v>1.41</v>
      </c>
      <c r="AZ54" s="4">
        <v>853</v>
      </c>
      <c r="BA54" s="1">
        <v>606</v>
      </c>
      <c r="BB54" s="1">
        <v>30</v>
      </c>
      <c r="BC54" s="1">
        <v>104</v>
      </c>
      <c r="BF54" t="s">
        <v>462</v>
      </c>
      <c r="BG54" t="s">
        <v>104</v>
      </c>
    </row>
    <row r="55" spans="1:59" x14ac:dyDescent="0.25">
      <c r="A55" t="s">
        <v>463</v>
      </c>
      <c r="B55" t="s">
        <v>464</v>
      </c>
      <c r="C55" s="1">
        <v>73</v>
      </c>
      <c r="D55" s="1">
        <v>1987</v>
      </c>
      <c r="E55" t="s">
        <v>64</v>
      </c>
      <c r="F55" t="s">
        <v>465</v>
      </c>
      <c r="G55" t="s">
        <v>466</v>
      </c>
      <c r="I55" t="s">
        <v>466</v>
      </c>
      <c r="K55" s="1">
        <v>2</v>
      </c>
      <c r="L55" t="s">
        <v>69</v>
      </c>
      <c r="M55" t="s">
        <v>70</v>
      </c>
      <c r="N55" t="s">
        <v>127</v>
      </c>
      <c r="P55" t="s">
        <v>72</v>
      </c>
      <c r="Q55" t="s">
        <v>152</v>
      </c>
      <c r="R55" t="s">
        <v>74</v>
      </c>
      <c r="S55" t="s">
        <v>467</v>
      </c>
      <c r="AF55" s="5">
        <v>8.2192000000000007</v>
      </c>
      <c r="AJ55" t="s">
        <v>81</v>
      </c>
      <c r="AK55" t="s">
        <v>82</v>
      </c>
      <c r="AL55" t="s">
        <v>83</v>
      </c>
      <c r="AW55" t="s">
        <v>84</v>
      </c>
      <c r="BB55" s="1">
        <v>73</v>
      </c>
    </row>
    <row r="56" spans="1:59" x14ac:dyDescent="0.25">
      <c r="A56" t="s">
        <v>468</v>
      </c>
      <c r="B56" t="s">
        <v>469</v>
      </c>
      <c r="C56" s="1">
        <v>296</v>
      </c>
      <c r="D56" s="1">
        <v>1985</v>
      </c>
      <c r="E56" t="s">
        <v>64</v>
      </c>
      <c r="F56" t="s">
        <v>470</v>
      </c>
      <c r="G56" t="s">
        <v>471</v>
      </c>
      <c r="H56" t="s">
        <v>469</v>
      </c>
      <c r="I56" t="s">
        <v>472</v>
      </c>
      <c r="J56" t="s">
        <v>471</v>
      </c>
      <c r="K56" s="1">
        <v>3</v>
      </c>
      <c r="L56" t="s">
        <v>91</v>
      </c>
      <c r="M56" t="s">
        <v>70</v>
      </c>
      <c r="N56" t="s">
        <v>71</v>
      </c>
      <c r="P56" t="s">
        <v>72</v>
      </c>
      <c r="Q56" t="s">
        <v>73</v>
      </c>
      <c r="R56" t="s">
        <v>74</v>
      </c>
      <c r="S56" t="s">
        <v>473</v>
      </c>
      <c r="T56" s="2">
        <v>790</v>
      </c>
      <c r="U56" s="3">
        <v>1.19</v>
      </c>
      <c r="V56" s="4">
        <v>944</v>
      </c>
      <c r="AF56" s="5">
        <v>10.1351</v>
      </c>
      <c r="AI56" s="1">
        <v>3</v>
      </c>
      <c r="AJ56" t="s">
        <v>81</v>
      </c>
      <c r="AK56" t="s">
        <v>82</v>
      </c>
      <c r="AL56" t="s">
        <v>83</v>
      </c>
      <c r="AM56" s="3">
        <v>1.1399999999999999</v>
      </c>
      <c r="AN56" s="4">
        <v>1057</v>
      </c>
      <c r="AO56" s="1">
        <v>930</v>
      </c>
      <c r="AS56" s="3">
        <v>571705.69999999995</v>
      </c>
      <c r="AW56" t="s">
        <v>84</v>
      </c>
      <c r="AY56" s="3">
        <v>1.27</v>
      </c>
      <c r="AZ56" s="4">
        <v>836</v>
      </c>
      <c r="BA56" s="1">
        <v>658</v>
      </c>
      <c r="BB56" s="1">
        <v>151</v>
      </c>
      <c r="BC56" s="1">
        <v>145</v>
      </c>
      <c r="BF56" t="s">
        <v>474</v>
      </c>
      <c r="BG56" t="s">
        <v>104</v>
      </c>
    </row>
    <row r="57" spans="1:59" x14ac:dyDescent="0.25">
      <c r="A57" t="s">
        <v>475</v>
      </c>
      <c r="B57" t="s">
        <v>476</v>
      </c>
      <c r="C57" s="1">
        <v>272</v>
      </c>
      <c r="D57" s="1">
        <v>1985</v>
      </c>
      <c r="E57" t="s">
        <v>64</v>
      </c>
      <c r="F57" t="s">
        <v>477</v>
      </c>
      <c r="G57" t="s">
        <v>478</v>
      </c>
      <c r="H57" t="s">
        <v>479</v>
      </c>
      <c r="J57" t="s">
        <v>478</v>
      </c>
      <c r="K57" s="1">
        <v>3</v>
      </c>
      <c r="L57" t="s">
        <v>69</v>
      </c>
      <c r="M57" t="s">
        <v>70</v>
      </c>
      <c r="N57" t="s">
        <v>71</v>
      </c>
      <c r="P57" t="s">
        <v>72</v>
      </c>
      <c r="Q57" t="s">
        <v>110</v>
      </c>
      <c r="R57" t="s">
        <v>74</v>
      </c>
      <c r="S57" t="s">
        <v>480</v>
      </c>
      <c r="T57" s="2">
        <v>787</v>
      </c>
      <c r="U57" s="3">
        <v>1.61</v>
      </c>
      <c r="V57" s="4">
        <v>1267</v>
      </c>
      <c r="AF57" s="5">
        <v>10.661799999999999</v>
      </c>
      <c r="AI57" s="1">
        <v>2</v>
      </c>
      <c r="AJ57" t="s">
        <v>81</v>
      </c>
      <c r="AK57" t="s">
        <v>82</v>
      </c>
      <c r="AL57" t="s">
        <v>83</v>
      </c>
      <c r="AM57" s="3">
        <v>1.5</v>
      </c>
      <c r="AN57" s="4">
        <v>1379</v>
      </c>
      <c r="AO57" s="1">
        <v>921</v>
      </c>
      <c r="AP57" s="3">
        <v>1.59</v>
      </c>
      <c r="AQ57" s="4">
        <v>1716</v>
      </c>
      <c r="AR57" s="1">
        <v>1082</v>
      </c>
      <c r="AS57" s="3">
        <v>0</v>
      </c>
      <c r="AW57" t="s">
        <v>84</v>
      </c>
      <c r="AY57" s="3">
        <v>1.74</v>
      </c>
      <c r="AZ57" s="4">
        <v>1131</v>
      </c>
      <c r="BA57" s="1">
        <v>650</v>
      </c>
      <c r="BB57" s="1">
        <v>144</v>
      </c>
      <c r="BC57" s="1">
        <v>112</v>
      </c>
      <c r="BD57" s="1">
        <v>16</v>
      </c>
      <c r="BG57" t="s">
        <v>131</v>
      </c>
    </row>
    <row r="58" spans="1:59" x14ac:dyDescent="0.25">
      <c r="A58" t="s">
        <v>481</v>
      </c>
      <c r="B58" t="s">
        <v>482</v>
      </c>
      <c r="C58" s="1">
        <v>300</v>
      </c>
      <c r="D58" s="1">
        <v>1986</v>
      </c>
      <c r="E58" t="s">
        <v>64</v>
      </c>
      <c r="F58" t="s">
        <v>470</v>
      </c>
      <c r="G58" t="s">
        <v>471</v>
      </c>
      <c r="H58" t="s">
        <v>482</v>
      </c>
      <c r="I58" t="s">
        <v>472</v>
      </c>
      <c r="J58" t="s">
        <v>471</v>
      </c>
      <c r="K58" s="1">
        <v>3</v>
      </c>
      <c r="L58" t="s">
        <v>69</v>
      </c>
      <c r="M58" t="s">
        <v>70</v>
      </c>
      <c r="N58" t="s">
        <v>71</v>
      </c>
      <c r="P58" t="s">
        <v>72</v>
      </c>
      <c r="Q58" t="s">
        <v>73</v>
      </c>
      <c r="R58" t="s">
        <v>74</v>
      </c>
      <c r="S58" t="s">
        <v>483</v>
      </c>
      <c r="T58" s="2">
        <v>697</v>
      </c>
      <c r="U58" s="3">
        <v>1.55</v>
      </c>
      <c r="V58" s="4">
        <v>1080</v>
      </c>
      <c r="AF58" s="5">
        <v>8.6667000000000005</v>
      </c>
      <c r="AH58" s="1">
        <v>2006</v>
      </c>
      <c r="AI58" s="1">
        <v>2</v>
      </c>
      <c r="AJ58" t="s">
        <v>81</v>
      </c>
      <c r="AK58" t="s">
        <v>82</v>
      </c>
      <c r="AL58" t="s">
        <v>83</v>
      </c>
      <c r="AM58" s="3">
        <v>1.43</v>
      </c>
      <c r="AN58" s="4">
        <v>1268</v>
      </c>
      <c r="AO58" s="1">
        <v>889</v>
      </c>
      <c r="AS58" s="3">
        <v>587157.35</v>
      </c>
      <c r="AW58" t="s">
        <v>84</v>
      </c>
      <c r="AY58" s="3">
        <v>1.61</v>
      </c>
      <c r="AZ58" s="4">
        <v>1012</v>
      </c>
      <c r="BA58" s="1">
        <v>628</v>
      </c>
      <c r="BB58" s="1">
        <v>220</v>
      </c>
      <c r="BC58" s="1">
        <v>80</v>
      </c>
      <c r="BF58" t="s">
        <v>474</v>
      </c>
      <c r="BG58" t="s">
        <v>104</v>
      </c>
    </row>
    <row r="59" spans="1:59" x14ac:dyDescent="0.25">
      <c r="A59" t="s">
        <v>484</v>
      </c>
      <c r="B59" t="s">
        <v>485</v>
      </c>
      <c r="C59" s="1">
        <v>536</v>
      </c>
      <c r="D59" s="1">
        <v>1985</v>
      </c>
      <c r="E59" t="s">
        <v>64</v>
      </c>
      <c r="F59" t="s">
        <v>486</v>
      </c>
      <c r="G59" t="s">
        <v>487</v>
      </c>
      <c r="H59" t="s">
        <v>488</v>
      </c>
      <c r="I59" t="s">
        <v>487</v>
      </c>
      <c r="K59" s="1">
        <v>3</v>
      </c>
      <c r="L59" t="s">
        <v>91</v>
      </c>
      <c r="M59" t="s">
        <v>70</v>
      </c>
      <c r="N59" t="s">
        <v>71</v>
      </c>
      <c r="P59" t="s">
        <v>72</v>
      </c>
      <c r="Q59" t="s">
        <v>73</v>
      </c>
      <c r="R59" t="s">
        <v>74</v>
      </c>
      <c r="S59" t="s">
        <v>489</v>
      </c>
      <c r="T59" s="2">
        <v>715</v>
      </c>
      <c r="U59" s="3">
        <v>1.44</v>
      </c>
      <c r="V59" s="4">
        <v>1030</v>
      </c>
      <c r="AF59" s="5">
        <v>14.3657</v>
      </c>
      <c r="AH59" s="1">
        <v>2012</v>
      </c>
      <c r="AI59" s="1">
        <v>2</v>
      </c>
      <c r="AJ59" t="s">
        <v>81</v>
      </c>
      <c r="AK59" t="s">
        <v>82</v>
      </c>
      <c r="AL59" t="s">
        <v>83</v>
      </c>
      <c r="AM59" s="3">
        <v>1.34</v>
      </c>
      <c r="AN59" s="4">
        <v>1194</v>
      </c>
      <c r="AO59" s="1">
        <v>893</v>
      </c>
      <c r="AS59" s="3">
        <v>0</v>
      </c>
      <c r="AW59" t="s">
        <v>84</v>
      </c>
      <c r="AY59" s="3">
        <v>1.5</v>
      </c>
      <c r="AZ59" s="4">
        <v>960</v>
      </c>
      <c r="BA59" s="1">
        <v>640</v>
      </c>
      <c r="BB59" s="1">
        <v>376</v>
      </c>
      <c r="BC59" s="1">
        <v>160</v>
      </c>
      <c r="BF59" t="s">
        <v>490</v>
      </c>
      <c r="BG59" t="s">
        <v>104</v>
      </c>
    </row>
    <row r="60" spans="1:59" x14ac:dyDescent="0.25">
      <c r="A60" t="s">
        <v>491</v>
      </c>
      <c r="B60" t="s">
        <v>492</v>
      </c>
      <c r="C60" s="1">
        <v>60</v>
      </c>
      <c r="D60" s="1">
        <v>1985</v>
      </c>
      <c r="E60" t="s">
        <v>64</v>
      </c>
      <c r="F60" t="s">
        <v>493</v>
      </c>
      <c r="G60" t="s">
        <v>494</v>
      </c>
      <c r="H60" t="s">
        <v>495</v>
      </c>
      <c r="I60" t="s">
        <v>496</v>
      </c>
      <c r="J60" t="s">
        <v>494</v>
      </c>
      <c r="K60" s="1">
        <v>3</v>
      </c>
      <c r="L60" t="s">
        <v>91</v>
      </c>
      <c r="M60" t="s">
        <v>70</v>
      </c>
      <c r="N60" t="s">
        <v>71</v>
      </c>
      <c r="P60" t="s">
        <v>72</v>
      </c>
      <c r="Q60" t="s">
        <v>497</v>
      </c>
      <c r="R60" t="s">
        <v>74</v>
      </c>
      <c r="S60" t="s">
        <v>498</v>
      </c>
      <c r="T60" s="2">
        <v>875</v>
      </c>
      <c r="U60" s="3">
        <v>1.1100000000000001</v>
      </c>
      <c r="V60" s="4">
        <v>971</v>
      </c>
      <c r="AF60" s="5">
        <v>0</v>
      </c>
      <c r="AI60" s="1">
        <v>2</v>
      </c>
      <c r="AJ60" t="s">
        <v>81</v>
      </c>
      <c r="AK60" t="s">
        <v>82</v>
      </c>
      <c r="AL60" t="s">
        <v>83</v>
      </c>
      <c r="AM60" s="3">
        <v>1.0900000000000001</v>
      </c>
      <c r="AN60" s="4">
        <v>1086</v>
      </c>
      <c r="AO60" s="1">
        <v>1000</v>
      </c>
      <c r="AS60" s="3">
        <v>94692.9</v>
      </c>
      <c r="AW60" t="s">
        <v>84</v>
      </c>
      <c r="AY60" s="3">
        <v>1.1399999999999999</v>
      </c>
      <c r="AZ60" s="4">
        <v>856</v>
      </c>
      <c r="BA60" s="1">
        <v>750</v>
      </c>
      <c r="BB60" s="1">
        <v>30</v>
      </c>
      <c r="BC60" s="1">
        <v>30</v>
      </c>
    </row>
    <row r="61" spans="1:59" x14ac:dyDescent="0.25">
      <c r="A61" t="s">
        <v>499</v>
      </c>
      <c r="B61" t="s">
        <v>500</v>
      </c>
      <c r="C61" s="1">
        <v>253</v>
      </c>
      <c r="D61" s="1">
        <v>1985</v>
      </c>
      <c r="E61" t="s">
        <v>64</v>
      </c>
      <c r="F61" t="s">
        <v>501</v>
      </c>
      <c r="G61" t="s">
        <v>502</v>
      </c>
      <c r="I61" t="s">
        <v>503</v>
      </c>
      <c r="J61" t="s">
        <v>502</v>
      </c>
      <c r="K61" s="1">
        <v>2</v>
      </c>
      <c r="L61" t="s">
        <v>69</v>
      </c>
      <c r="M61" t="s">
        <v>70</v>
      </c>
      <c r="N61" t="s">
        <v>127</v>
      </c>
      <c r="P61" t="s">
        <v>72</v>
      </c>
      <c r="Q61" t="s">
        <v>152</v>
      </c>
      <c r="R61" t="s">
        <v>74</v>
      </c>
      <c r="S61" t="s">
        <v>504</v>
      </c>
      <c r="AF61" s="5">
        <v>9.4862000000000002</v>
      </c>
      <c r="AI61" s="1">
        <v>1</v>
      </c>
      <c r="AJ61" t="s">
        <v>81</v>
      </c>
      <c r="AK61" t="s">
        <v>82</v>
      </c>
      <c r="AL61" t="s">
        <v>83</v>
      </c>
      <c r="AS61" s="3">
        <v>2549.37</v>
      </c>
      <c r="AW61" t="s">
        <v>84</v>
      </c>
      <c r="BF61" t="s">
        <v>505</v>
      </c>
      <c r="BG61" t="s">
        <v>104</v>
      </c>
    </row>
    <row r="62" spans="1:59" x14ac:dyDescent="0.25">
      <c r="A62" t="s">
        <v>506</v>
      </c>
      <c r="B62" t="s">
        <v>507</v>
      </c>
      <c r="C62" s="1">
        <v>76</v>
      </c>
      <c r="D62" s="1">
        <v>1986</v>
      </c>
      <c r="E62" t="s">
        <v>64</v>
      </c>
      <c r="F62" t="s">
        <v>338</v>
      </c>
      <c r="G62" t="s">
        <v>508</v>
      </c>
      <c r="H62" t="s">
        <v>509</v>
      </c>
      <c r="I62" t="s">
        <v>510</v>
      </c>
      <c r="J62" t="s">
        <v>508</v>
      </c>
      <c r="K62" s="1">
        <v>2</v>
      </c>
      <c r="L62" t="s">
        <v>69</v>
      </c>
      <c r="M62" t="s">
        <v>70</v>
      </c>
      <c r="N62" t="s">
        <v>71</v>
      </c>
      <c r="P62" t="s">
        <v>72</v>
      </c>
      <c r="Q62" t="s">
        <v>73</v>
      </c>
      <c r="R62" t="s">
        <v>74</v>
      </c>
      <c r="S62" t="s">
        <v>511</v>
      </c>
      <c r="T62" s="2">
        <v>639</v>
      </c>
      <c r="U62" s="3">
        <v>1.78</v>
      </c>
      <c r="V62" s="4">
        <v>1135</v>
      </c>
      <c r="AF62" s="5">
        <v>3.9474</v>
      </c>
      <c r="AI62" s="1">
        <v>2</v>
      </c>
      <c r="AJ62" t="s">
        <v>81</v>
      </c>
      <c r="AK62" t="s">
        <v>82</v>
      </c>
      <c r="AL62" t="s">
        <v>83</v>
      </c>
      <c r="AM62" s="3">
        <v>1.65</v>
      </c>
      <c r="AN62" s="4">
        <v>1240</v>
      </c>
      <c r="AO62" s="1">
        <v>750</v>
      </c>
      <c r="AS62" s="3">
        <v>152429.04999999999</v>
      </c>
      <c r="AW62" t="s">
        <v>84</v>
      </c>
      <c r="AY62" s="3">
        <v>1.83</v>
      </c>
      <c r="AZ62" s="4">
        <v>1098</v>
      </c>
      <c r="BA62" s="1">
        <v>600</v>
      </c>
      <c r="BB62" s="1">
        <v>56</v>
      </c>
      <c r="BC62" s="1">
        <v>20</v>
      </c>
      <c r="BG62" t="s">
        <v>131</v>
      </c>
    </row>
    <row r="63" spans="1:59" x14ac:dyDescent="0.25">
      <c r="A63" t="s">
        <v>512</v>
      </c>
      <c r="B63" t="s">
        <v>513</v>
      </c>
      <c r="C63" s="1">
        <v>324</v>
      </c>
      <c r="D63" s="1">
        <v>1987</v>
      </c>
      <c r="E63" t="s">
        <v>64</v>
      </c>
      <c r="F63" t="s">
        <v>514</v>
      </c>
      <c r="G63" t="s">
        <v>515</v>
      </c>
      <c r="I63" t="s">
        <v>516</v>
      </c>
      <c r="J63" t="s">
        <v>515</v>
      </c>
      <c r="K63" s="1">
        <v>3</v>
      </c>
      <c r="L63" t="s">
        <v>69</v>
      </c>
      <c r="M63" t="s">
        <v>70</v>
      </c>
      <c r="N63" t="s">
        <v>71</v>
      </c>
      <c r="P63" t="s">
        <v>72</v>
      </c>
      <c r="Q63" t="s">
        <v>264</v>
      </c>
      <c r="R63" t="s">
        <v>74</v>
      </c>
      <c r="S63" t="s">
        <v>517</v>
      </c>
      <c r="T63" s="2">
        <v>577</v>
      </c>
      <c r="AI63" s="1">
        <v>3</v>
      </c>
      <c r="AJ63" t="s">
        <v>81</v>
      </c>
      <c r="AK63" t="s">
        <v>82</v>
      </c>
      <c r="AL63" t="s">
        <v>83</v>
      </c>
      <c r="AS63" s="3">
        <v>210164.29</v>
      </c>
      <c r="AV63" s="6">
        <v>500</v>
      </c>
      <c r="AW63" t="s">
        <v>84</v>
      </c>
      <c r="BA63" s="1">
        <v>750</v>
      </c>
      <c r="BB63" s="1">
        <v>100</v>
      </c>
    </row>
    <row r="64" spans="1:59" x14ac:dyDescent="0.25">
      <c r="A64" t="s">
        <v>518</v>
      </c>
      <c r="B64" t="s">
        <v>519</v>
      </c>
      <c r="C64" s="1">
        <v>64</v>
      </c>
      <c r="D64" s="1">
        <v>1986</v>
      </c>
      <c r="E64" t="s">
        <v>64</v>
      </c>
      <c r="F64" t="s">
        <v>520</v>
      </c>
      <c r="G64" t="s">
        <v>521</v>
      </c>
      <c r="H64" t="s">
        <v>522</v>
      </c>
      <c r="I64" t="s">
        <v>521</v>
      </c>
      <c r="J64" t="s">
        <v>521</v>
      </c>
      <c r="K64" s="1">
        <v>3</v>
      </c>
      <c r="L64" t="s">
        <v>91</v>
      </c>
      <c r="M64" t="s">
        <v>70</v>
      </c>
      <c r="N64" t="s">
        <v>71</v>
      </c>
      <c r="P64" t="s">
        <v>72</v>
      </c>
      <c r="Q64" t="s">
        <v>523</v>
      </c>
      <c r="R64" t="s">
        <v>74</v>
      </c>
      <c r="S64" t="s">
        <v>524</v>
      </c>
      <c r="T64" s="2">
        <v>811</v>
      </c>
      <c r="U64" s="3">
        <v>1.46</v>
      </c>
      <c r="V64" s="4">
        <v>1184</v>
      </c>
      <c r="AF64" s="5">
        <v>7.8125</v>
      </c>
      <c r="AI64" s="1">
        <v>2</v>
      </c>
      <c r="AJ64" t="s">
        <v>81</v>
      </c>
      <c r="AK64" t="s">
        <v>82</v>
      </c>
      <c r="AL64" t="s">
        <v>83</v>
      </c>
      <c r="AM64" s="3">
        <v>1.49</v>
      </c>
      <c r="AN64" s="4">
        <v>1270</v>
      </c>
      <c r="AO64" s="1">
        <v>850</v>
      </c>
      <c r="AP64" s="3">
        <v>1.4</v>
      </c>
      <c r="AQ64" s="4">
        <v>1425</v>
      </c>
      <c r="AR64" s="1">
        <v>1015</v>
      </c>
      <c r="AS64" s="3">
        <v>17602.82</v>
      </c>
      <c r="AW64" t="s">
        <v>84</v>
      </c>
      <c r="AY64" s="3">
        <v>1.48</v>
      </c>
      <c r="AZ64" s="4">
        <v>1020</v>
      </c>
      <c r="BA64" s="1">
        <v>690</v>
      </c>
      <c r="BB64" s="1">
        <v>32</v>
      </c>
      <c r="BC64" s="1">
        <v>16</v>
      </c>
      <c r="BD64" s="1">
        <v>16</v>
      </c>
      <c r="BF64" t="s">
        <v>525</v>
      </c>
    </row>
    <row r="65" spans="1:59" x14ac:dyDescent="0.25">
      <c r="A65" t="s">
        <v>526</v>
      </c>
      <c r="B65" t="s">
        <v>527</v>
      </c>
      <c r="C65" s="1">
        <v>240</v>
      </c>
      <c r="D65" s="1">
        <v>1985</v>
      </c>
      <c r="E65" t="s">
        <v>64</v>
      </c>
      <c r="F65" t="s">
        <v>110</v>
      </c>
      <c r="G65" t="s">
        <v>528</v>
      </c>
      <c r="H65" t="s">
        <v>529</v>
      </c>
      <c r="I65" t="s">
        <v>530</v>
      </c>
      <c r="J65" t="s">
        <v>528</v>
      </c>
      <c r="K65" s="1">
        <v>3</v>
      </c>
      <c r="L65" t="s">
        <v>91</v>
      </c>
      <c r="M65" t="s">
        <v>70</v>
      </c>
      <c r="N65" t="s">
        <v>71</v>
      </c>
      <c r="P65" t="s">
        <v>72</v>
      </c>
      <c r="Q65" t="s">
        <v>531</v>
      </c>
      <c r="R65" t="s">
        <v>74</v>
      </c>
      <c r="S65" t="s">
        <v>532</v>
      </c>
      <c r="T65" s="2">
        <v>755</v>
      </c>
      <c r="U65" s="3">
        <v>1.63</v>
      </c>
      <c r="V65" s="4">
        <v>1233</v>
      </c>
      <c r="AF65" s="5">
        <v>6.25</v>
      </c>
      <c r="AH65" s="1">
        <v>2018</v>
      </c>
      <c r="AI65" s="1">
        <v>2</v>
      </c>
      <c r="AJ65" t="s">
        <v>81</v>
      </c>
      <c r="AK65" t="s">
        <v>82</v>
      </c>
      <c r="AL65" t="s">
        <v>83</v>
      </c>
      <c r="AM65" s="3">
        <v>1.58</v>
      </c>
      <c r="AN65" s="4">
        <v>1335</v>
      </c>
      <c r="AO65" s="1">
        <v>847</v>
      </c>
      <c r="AP65" s="3">
        <v>1.44</v>
      </c>
      <c r="AQ65" s="4">
        <v>1800</v>
      </c>
      <c r="AR65" s="1">
        <v>1250</v>
      </c>
      <c r="AS65" s="3">
        <v>426574.82</v>
      </c>
      <c r="AW65" t="s">
        <v>84</v>
      </c>
      <c r="AY65" s="3">
        <v>1.74</v>
      </c>
      <c r="AZ65" s="4">
        <v>1081</v>
      </c>
      <c r="BA65" s="1">
        <v>620</v>
      </c>
      <c r="BB65" s="1">
        <v>140</v>
      </c>
      <c r="BC65" s="1">
        <v>76</v>
      </c>
      <c r="BD65" s="1">
        <v>24</v>
      </c>
    </row>
    <row r="66" spans="1:59" x14ac:dyDescent="0.25">
      <c r="A66" t="s">
        <v>533</v>
      </c>
      <c r="B66" t="s">
        <v>534</v>
      </c>
      <c r="C66" s="1">
        <v>300</v>
      </c>
      <c r="D66" s="1">
        <v>1985</v>
      </c>
      <c r="E66" t="s">
        <v>64</v>
      </c>
      <c r="F66" t="s">
        <v>123</v>
      </c>
      <c r="G66" t="s">
        <v>535</v>
      </c>
      <c r="H66" t="s">
        <v>536</v>
      </c>
      <c r="I66" t="s">
        <v>537</v>
      </c>
      <c r="J66" t="s">
        <v>535</v>
      </c>
      <c r="K66" s="1">
        <v>3</v>
      </c>
      <c r="L66" t="s">
        <v>91</v>
      </c>
      <c r="M66" t="s">
        <v>70</v>
      </c>
      <c r="N66" t="s">
        <v>71</v>
      </c>
      <c r="P66" t="s">
        <v>72</v>
      </c>
      <c r="Q66" t="s">
        <v>129</v>
      </c>
      <c r="R66" t="s">
        <v>74</v>
      </c>
      <c r="S66" t="s">
        <v>130</v>
      </c>
      <c r="T66" s="2">
        <v>775</v>
      </c>
      <c r="U66" s="3">
        <v>1.44</v>
      </c>
      <c r="V66" s="4">
        <v>1118</v>
      </c>
      <c r="AF66" s="5">
        <v>22</v>
      </c>
      <c r="AH66" s="1">
        <v>1993</v>
      </c>
      <c r="AI66" s="1">
        <v>2</v>
      </c>
      <c r="AJ66" t="s">
        <v>81</v>
      </c>
      <c r="AK66" t="s">
        <v>82</v>
      </c>
      <c r="AL66" t="s">
        <v>83</v>
      </c>
      <c r="AM66" s="3">
        <v>1.42</v>
      </c>
      <c r="AN66" s="4">
        <v>1292</v>
      </c>
      <c r="AO66" s="1">
        <v>910</v>
      </c>
      <c r="AS66" s="3">
        <v>630757.94999999995</v>
      </c>
      <c r="AT66" s="3">
        <v>1.43</v>
      </c>
      <c r="AU66" s="4">
        <v>799</v>
      </c>
      <c r="AV66" s="6">
        <v>558</v>
      </c>
      <c r="AW66" t="s">
        <v>84</v>
      </c>
      <c r="AY66" s="3">
        <v>1.48</v>
      </c>
      <c r="AZ66" s="4">
        <v>1004</v>
      </c>
      <c r="BA66" s="1">
        <v>678</v>
      </c>
      <c r="BB66" s="1">
        <v>121</v>
      </c>
      <c r="BC66" s="1">
        <v>144</v>
      </c>
    </row>
    <row r="67" spans="1:59" x14ac:dyDescent="0.25">
      <c r="A67" t="s">
        <v>538</v>
      </c>
      <c r="B67" t="s">
        <v>539</v>
      </c>
      <c r="C67" s="1">
        <v>372</v>
      </c>
      <c r="D67" s="1">
        <v>1986</v>
      </c>
      <c r="E67" t="s">
        <v>64</v>
      </c>
      <c r="F67" t="s">
        <v>123</v>
      </c>
      <c r="G67" t="s">
        <v>540</v>
      </c>
      <c r="H67" t="s">
        <v>541</v>
      </c>
      <c r="I67" t="s">
        <v>542</v>
      </c>
      <c r="J67" t="s">
        <v>540</v>
      </c>
      <c r="K67" s="1">
        <v>3</v>
      </c>
      <c r="L67" t="s">
        <v>91</v>
      </c>
      <c r="M67" t="s">
        <v>70</v>
      </c>
      <c r="N67" t="s">
        <v>71</v>
      </c>
      <c r="O67" t="s">
        <v>128</v>
      </c>
      <c r="P67" t="s">
        <v>72</v>
      </c>
      <c r="Q67" t="s">
        <v>129</v>
      </c>
      <c r="R67" t="s">
        <v>74</v>
      </c>
      <c r="S67" t="s">
        <v>130</v>
      </c>
      <c r="T67" s="2">
        <v>777</v>
      </c>
      <c r="U67" s="3">
        <v>1.36</v>
      </c>
      <c r="V67" s="4">
        <v>1055</v>
      </c>
      <c r="AF67" s="5">
        <v>9.4085999999999999</v>
      </c>
      <c r="AI67" s="1">
        <v>2</v>
      </c>
      <c r="AJ67" t="s">
        <v>81</v>
      </c>
      <c r="AK67" t="s">
        <v>82</v>
      </c>
      <c r="AL67" t="s">
        <v>83</v>
      </c>
      <c r="AM67" s="3">
        <v>1.3</v>
      </c>
      <c r="AN67" s="4">
        <v>1302</v>
      </c>
      <c r="AO67" s="1">
        <v>1004</v>
      </c>
      <c r="AS67" s="3">
        <v>765550.07</v>
      </c>
      <c r="AW67" t="s">
        <v>84</v>
      </c>
      <c r="AY67" s="3">
        <v>1.42</v>
      </c>
      <c r="AZ67" s="4">
        <v>892</v>
      </c>
      <c r="BA67" s="1">
        <v>628</v>
      </c>
      <c r="BB67" s="1">
        <v>224</v>
      </c>
      <c r="BC67" s="1">
        <v>148</v>
      </c>
    </row>
    <row r="68" spans="1:59" x14ac:dyDescent="0.25">
      <c r="A68" t="s">
        <v>543</v>
      </c>
      <c r="B68" t="s">
        <v>544</v>
      </c>
      <c r="C68" s="1">
        <v>100</v>
      </c>
      <c r="D68" s="1">
        <v>1989</v>
      </c>
      <c r="E68" t="s">
        <v>64</v>
      </c>
      <c r="F68" t="s">
        <v>545</v>
      </c>
      <c r="G68" t="s">
        <v>546</v>
      </c>
      <c r="H68" t="s">
        <v>547</v>
      </c>
      <c r="I68" t="s">
        <v>546</v>
      </c>
      <c r="J68" t="s">
        <v>546</v>
      </c>
      <c r="K68" s="1">
        <v>3</v>
      </c>
      <c r="L68" t="s">
        <v>69</v>
      </c>
      <c r="M68" t="s">
        <v>70</v>
      </c>
      <c r="N68" t="s">
        <v>71</v>
      </c>
      <c r="O68" t="s">
        <v>426</v>
      </c>
      <c r="P68" t="s">
        <v>72</v>
      </c>
      <c r="Q68" t="s">
        <v>73</v>
      </c>
      <c r="R68" t="s">
        <v>74</v>
      </c>
      <c r="S68" t="s">
        <v>548</v>
      </c>
      <c r="T68" s="2">
        <v>1020</v>
      </c>
      <c r="U68" s="3">
        <v>0.89</v>
      </c>
      <c r="V68" s="4">
        <v>904</v>
      </c>
      <c r="AF68" s="5">
        <v>5</v>
      </c>
      <c r="AI68" s="1">
        <v>2</v>
      </c>
      <c r="AJ68" t="s">
        <v>81</v>
      </c>
      <c r="AK68" t="s">
        <v>82</v>
      </c>
      <c r="AL68" t="s">
        <v>83</v>
      </c>
      <c r="AP68" s="3">
        <v>0.89</v>
      </c>
      <c r="AQ68" s="4">
        <v>904</v>
      </c>
      <c r="AR68" s="1">
        <v>1020</v>
      </c>
      <c r="AW68" t="s">
        <v>84</v>
      </c>
      <c r="BD68" s="1">
        <v>100</v>
      </c>
    </row>
    <row r="69" spans="1:59" x14ac:dyDescent="0.25">
      <c r="A69" t="s">
        <v>549</v>
      </c>
      <c r="B69" t="s">
        <v>550</v>
      </c>
      <c r="C69" s="1">
        <v>128</v>
      </c>
      <c r="D69" s="1">
        <v>1985</v>
      </c>
      <c r="E69" t="s">
        <v>64</v>
      </c>
      <c r="F69" t="s">
        <v>551</v>
      </c>
      <c r="G69" t="s">
        <v>552</v>
      </c>
      <c r="H69" t="s">
        <v>553</v>
      </c>
      <c r="J69" t="s">
        <v>552</v>
      </c>
      <c r="K69" s="1">
        <v>3</v>
      </c>
      <c r="L69" t="s">
        <v>91</v>
      </c>
      <c r="M69" t="s">
        <v>70</v>
      </c>
      <c r="N69" t="s">
        <v>71</v>
      </c>
      <c r="P69" t="s">
        <v>72</v>
      </c>
      <c r="Q69" t="s">
        <v>551</v>
      </c>
      <c r="R69" t="s">
        <v>74</v>
      </c>
      <c r="S69" t="s">
        <v>554</v>
      </c>
      <c r="T69" s="2">
        <v>910</v>
      </c>
      <c r="U69" s="3">
        <v>1.53</v>
      </c>
      <c r="V69" s="4">
        <v>1390</v>
      </c>
      <c r="AF69" s="5">
        <v>12.5</v>
      </c>
      <c r="AH69" s="1">
        <v>2006</v>
      </c>
      <c r="AI69" s="1">
        <v>2</v>
      </c>
      <c r="AJ69" t="s">
        <v>81</v>
      </c>
      <c r="AK69" t="s">
        <v>82</v>
      </c>
      <c r="AL69" t="s">
        <v>83</v>
      </c>
      <c r="AM69" s="3">
        <v>1.5</v>
      </c>
      <c r="AN69" s="4">
        <v>1411</v>
      </c>
      <c r="AO69" s="1">
        <v>939</v>
      </c>
      <c r="AS69" s="3">
        <v>372330.95</v>
      </c>
      <c r="AW69" t="s">
        <v>84</v>
      </c>
      <c r="AY69" s="3">
        <v>1.69</v>
      </c>
      <c r="AZ69" s="4">
        <v>1279</v>
      </c>
      <c r="BA69" s="1">
        <v>757</v>
      </c>
      <c r="BB69" s="1">
        <v>20</v>
      </c>
      <c r="BC69" s="1">
        <v>108</v>
      </c>
    </row>
    <row r="70" spans="1:59" x14ac:dyDescent="0.25">
      <c r="A70" t="s">
        <v>555</v>
      </c>
      <c r="C70" s="1">
        <v>58</v>
      </c>
      <c r="D70" s="1">
        <v>1990</v>
      </c>
      <c r="E70" t="s">
        <v>64</v>
      </c>
      <c r="F70" t="s">
        <v>439</v>
      </c>
      <c r="G70" t="s">
        <v>556</v>
      </c>
      <c r="I70" t="s">
        <v>557</v>
      </c>
      <c r="J70" t="s">
        <v>556</v>
      </c>
      <c r="K70" s="1">
        <v>2</v>
      </c>
      <c r="L70" t="s">
        <v>69</v>
      </c>
      <c r="M70" t="s">
        <v>70</v>
      </c>
      <c r="N70" t="s">
        <v>127</v>
      </c>
      <c r="P70" t="s">
        <v>72</v>
      </c>
      <c r="Q70" t="s">
        <v>558</v>
      </c>
      <c r="R70" t="s">
        <v>74</v>
      </c>
      <c r="S70" t="s">
        <v>559</v>
      </c>
      <c r="AF70" s="5">
        <v>8.6206999999999994</v>
      </c>
      <c r="AI70" s="1">
        <v>1</v>
      </c>
      <c r="AJ70" t="s">
        <v>81</v>
      </c>
      <c r="AK70" t="s">
        <v>82</v>
      </c>
      <c r="AL70" t="s">
        <v>83</v>
      </c>
      <c r="AS70" s="3">
        <v>10.64</v>
      </c>
      <c r="AW70" t="s">
        <v>84</v>
      </c>
      <c r="BB70" s="1">
        <v>58</v>
      </c>
    </row>
    <row r="71" spans="1:59" x14ac:dyDescent="0.25">
      <c r="A71" t="s">
        <v>560</v>
      </c>
      <c r="B71" t="s">
        <v>561</v>
      </c>
      <c r="C71" s="1">
        <v>244</v>
      </c>
      <c r="D71" s="1">
        <v>1985</v>
      </c>
      <c r="E71" t="s">
        <v>64</v>
      </c>
      <c r="F71" t="s">
        <v>140</v>
      </c>
      <c r="G71" t="s">
        <v>562</v>
      </c>
      <c r="H71" t="s">
        <v>563</v>
      </c>
      <c r="I71" t="s">
        <v>564</v>
      </c>
      <c r="J71" t="s">
        <v>562</v>
      </c>
      <c r="K71" s="1">
        <v>3</v>
      </c>
      <c r="L71" t="s">
        <v>91</v>
      </c>
      <c r="M71" t="s">
        <v>70</v>
      </c>
      <c r="N71" t="s">
        <v>71</v>
      </c>
      <c r="P71" t="s">
        <v>72</v>
      </c>
      <c r="Q71" t="s">
        <v>140</v>
      </c>
      <c r="R71" t="s">
        <v>74</v>
      </c>
      <c r="S71" t="s">
        <v>565</v>
      </c>
      <c r="T71" s="2">
        <v>878</v>
      </c>
      <c r="U71" s="3">
        <v>1.67</v>
      </c>
      <c r="V71" s="4">
        <v>1470</v>
      </c>
      <c r="AF71" s="5">
        <v>5.7377000000000002</v>
      </c>
      <c r="AH71" s="1">
        <v>1995</v>
      </c>
      <c r="AI71" s="1">
        <v>2</v>
      </c>
      <c r="AJ71" t="s">
        <v>81</v>
      </c>
      <c r="AK71" t="s">
        <v>82</v>
      </c>
      <c r="AL71" t="s">
        <v>83</v>
      </c>
      <c r="AM71" s="3">
        <v>1.69</v>
      </c>
      <c r="AN71" s="4">
        <v>1720</v>
      </c>
      <c r="AO71" s="1">
        <v>1019</v>
      </c>
      <c r="AP71" s="3">
        <v>1.48</v>
      </c>
      <c r="AQ71" s="4">
        <v>1867</v>
      </c>
      <c r="AR71" s="1">
        <v>1260</v>
      </c>
      <c r="AS71" s="3">
        <v>520497</v>
      </c>
      <c r="AW71" t="s">
        <v>84</v>
      </c>
      <c r="AY71" s="3">
        <v>1.7</v>
      </c>
      <c r="AZ71" s="4">
        <v>1331</v>
      </c>
      <c r="BA71" s="1">
        <v>781</v>
      </c>
      <c r="BB71" s="1">
        <v>164</v>
      </c>
      <c r="BC71" s="1">
        <v>60</v>
      </c>
      <c r="BD71" s="1">
        <v>20</v>
      </c>
      <c r="BF71" t="s">
        <v>566</v>
      </c>
      <c r="BG71" t="s">
        <v>104</v>
      </c>
    </row>
    <row r="72" spans="1:59" x14ac:dyDescent="0.25">
      <c r="A72" t="s">
        <v>567</v>
      </c>
      <c r="B72" t="s">
        <v>568</v>
      </c>
      <c r="C72" s="1">
        <v>246</v>
      </c>
      <c r="D72" s="1">
        <v>1986</v>
      </c>
      <c r="E72" t="s">
        <v>64</v>
      </c>
      <c r="F72" t="s">
        <v>465</v>
      </c>
      <c r="G72" t="s">
        <v>569</v>
      </c>
      <c r="H72" t="s">
        <v>570</v>
      </c>
      <c r="I72" t="s">
        <v>571</v>
      </c>
      <c r="J72" t="s">
        <v>569</v>
      </c>
      <c r="K72" s="1">
        <v>3</v>
      </c>
      <c r="L72" t="s">
        <v>91</v>
      </c>
      <c r="M72" t="s">
        <v>70</v>
      </c>
      <c r="N72" t="s">
        <v>71</v>
      </c>
      <c r="P72" t="s">
        <v>72</v>
      </c>
      <c r="Q72" t="s">
        <v>465</v>
      </c>
      <c r="R72" t="s">
        <v>74</v>
      </c>
      <c r="S72" t="s">
        <v>572</v>
      </c>
      <c r="T72" s="2">
        <v>723</v>
      </c>
      <c r="U72" s="3">
        <v>1.44</v>
      </c>
      <c r="V72" s="4">
        <v>1044</v>
      </c>
      <c r="AF72" s="5">
        <v>10.569100000000001</v>
      </c>
      <c r="AI72" s="1">
        <v>2</v>
      </c>
      <c r="AJ72" t="s">
        <v>81</v>
      </c>
      <c r="AK72" t="s">
        <v>82</v>
      </c>
      <c r="AL72" t="s">
        <v>83</v>
      </c>
      <c r="AM72" s="3">
        <v>1.42</v>
      </c>
      <c r="AN72" s="4">
        <v>1105</v>
      </c>
      <c r="AO72" s="1">
        <v>780</v>
      </c>
      <c r="AS72" s="3">
        <v>428788.27</v>
      </c>
      <c r="AW72" t="s">
        <v>84</v>
      </c>
      <c r="AY72" s="3">
        <v>1.49</v>
      </c>
      <c r="AZ72" s="4">
        <v>942</v>
      </c>
      <c r="BA72" s="1">
        <v>632</v>
      </c>
      <c r="BB72" s="1">
        <v>93</v>
      </c>
      <c r="BC72" s="1">
        <v>153</v>
      </c>
      <c r="BG72" t="s">
        <v>131</v>
      </c>
    </row>
    <row r="73" spans="1:59" x14ac:dyDescent="0.25">
      <c r="A73" t="s">
        <v>573</v>
      </c>
      <c r="B73" t="s">
        <v>574</v>
      </c>
      <c r="C73" s="1">
        <v>300</v>
      </c>
      <c r="D73" s="1">
        <v>1985</v>
      </c>
      <c r="E73" t="s">
        <v>64</v>
      </c>
      <c r="F73" t="s">
        <v>215</v>
      </c>
      <c r="G73" t="s">
        <v>575</v>
      </c>
      <c r="H73" t="s">
        <v>576</v>
      </c>
      <c r="I73" t="s">
        <v>577</v>
      </c>
      <c r="J73" t="s">
        <v>575</v>
      </c>
      <c r="K73" s="1">
        <v>3</v>
      </c>
      <c r="L73" t="s">
        <v>69</v>
      </c>
      <c r="M73" t="s">
        <v>70</v>
      </c>
      <c r="N73" t="s">
        <v>71</v>
      </c>
      <c r="P73" t="s">
        <v>72</v>
      </c>
      <c r="Q73" t="s">
        <v>215</v>
      </c>
      <c r="R73" t="s">
        <v>74</v>
      </c>
      <c r="S73" t="s">
        <v>578</v>
      </c>
      <c r="T73" s="2">
        <v>713</v>
      </c>
      <c r="U73" s="3">
        <v>1.39</v>
      </c>
      <c r="V73" s="4">
        <v>993</v>
      </c>
      <c r="AF73" s="5">
        <v>8.6667000000000005</v>
      </c>
      <c r="AH73" s="1">
        <v>2012</v>
      </c>
      <c r="AI73" s="1">
        <v>3</v>
      </c>
      <c r="AJ73" t="s">
        <v>81</v>
      </c>
      <c r="AK73" t="s">
        <v>82</v>
      </c>
      <c r="AL73" t="s">
        <v>83</v>
      </c>
      <c r="AM73" s="3">
        <v>1.45</v>
      </c>
      <c r="AN73" s="4">
        <v>1311</v>
      </c>
      <c r="AO73" s="1">
        <v>907</v>
      </c>
      <c r="AS73" s="3">
        <v>593620.72</v>
      </c>
      <c r="AW73" t="s">
        <v>84</v>
      </c>
      <c r="AY73" s="3">
        <v>1.36</v>
      </c>
      <c r="AZ73" s="4">
        <v>877</v>
      </c>
      <c r="BA73" s="1">
        <v>643</v>
      </c>
      <c r="BB73" s="1">
        <v>220</v>
      </c>
      <c r="BC73" s="1">
        <v>80</v>
      </c>
      <c r="BF73" t="s">
        <v>579</v>
      </c>
      <c r="BG73" t="s">
        <v>104</v>
      </c>
    </row>
    <row r="74" spans="1:59" x14ac:dyDescent="0.25">
      <c r="A74" t="s">
        <v>580</v>
      </c>
      <c r="B74" t="s">
        <v>581</v>
      </c>
      <c r="C74" s="1">
        <v>85</v>
      </c>
      <c r="D74" s="1">
        <v>1986</v>
      </c>
      <c r="E74" t="s">
        <v>64</v>
      </c>
      <c r="F74" t="s">
        <v>582</v>
      </c>
      <c r="G74" t="s">
        <v>583</v>
      </c>
      <c r="H74" t="s">
        <v>584</v>
      </c>
      <c r="I74" t="s">
        <v>585</v>
      </c>
      <c r="J74" t="s">
        <v>583</v>
      </c>
      <c r="K74" s="1">
        <v>2</v>
      </c>
      <c r="L74" t="s">
        <v>69</v>
      </c>
      <c r="M74" t="s">
        <v>70</v>
      </c>
      <c r="N74" t="s">
        <v>71</v>
      </c>
      <c r="O74" t="s">
        <v>426</v>
      </c>
      <c r="P74" t="s">
        <v>72</v>
      </c>
      <c r="Q74" t="s">
        <v>73</v>
      </c>
      <c r="R74" t="s">
        <v>74</v>
      </c>
      <c r="S74" t="s">
        <v>586</v>
      </c>
      <c r="T74" s="2">
        <v>496</v>
      </c>
      <c r="U74" s="3">
        <v>1.89</v>
      </c>
      <c r="V74" s="4">
        <v>938</v>
      </c>
      <c r="AF74" s="5">
        <v>7.0587999999999997</v>
      </c>
      <c r="AI74" s="1">
        <v>3</v>
      </c>
      <c r="AJ74" t="s">
        <v>81</v>
      </c>
      <c r="AK74" t="s">
        <v>82</v>
      </c>
      <c r="AL74" t="s">
        <v>83</v>
      </c>
      <c r="AS74" s="3">
        <v>197241.41</v>
      </c>
      <c r="AT74" s="3">
        <v>2.0099999999999998</v>
      </c>
      <c r="AU74" s="4">
        <v>804</v>
      </c>
      <c r="AV74" s="6">
        <v>400</v>
      </c>
      <c r="AW74" t="s">
        <v>84</v>
      </c>
      <c r="AY74" s="3">
        <v>1.86</v>
      </c>
      <c r="AZ74" s="4">
        <v>985</v>
      </c>
      <c r="BA74" s="1">
        <v>530</v>
      </c>
      <c r="BB74" s="1">
        <v>63</v>
      </c>
      <c r="BG74" t="s">
        <v>131</v>
      </c>
    </row>
    <row r="75" spans="1:59" x14ac:dyDescent="0.25">
      <c r="A75" t="s">
        <v>587</v>
      </c>
      <c r="B75" t="s">
        <v>588</v>
      </c>
      <c r="C75" s="1">
        <v>260</v>
      </c>
      <c r="D75" s="1">
        <v>1986</v>
      </c>
      <c r="E75" t="s">
        <v>64</v>
      </c>
      <c r="F75" t="s">
        <v>123</v>
      </c>
      <c r="G75" t="s">
        <v>589</v>
      </c>
      <c r="H75" t="s">
        <v>590</v>
      </c>
      <c r="I75" t="s">
        <v>591</v>
      </c>
      <c r="J75" t="s">
        <v>589</v>
      </c>
      <c r="K75" s="1">
        <v>3</v>
      </c>
      <c r="L75" t="s">
        <v>91</v>
      </c>
      <c r="M75" t="s">
        <v>70</v>
      </c>
      <c r="N75" t="s">
        <v>71</v>
      </c>
      <c r="P75" t="s">
        <v>72</v>
      </c>
      <c r="Q75" t="s">
        <v>129</v>
      </c>
      <c r="R75" t="s">
        <v>74</v>
      </c>
      <c r="S75" t="s">
        <v>130</v>
      </c>
      <c r="T75" s="2">
        <v>780</v>
      </c>
      <c r="U75" s="3">
        <v>1.67</v>
      </c>
      <c r="V75" s="4">
        <v>1305</v>
      </c>
      <c r="AF75" s="5">
        <v>1.9231</v>
      </c>
      <c r="AI75" s="1">
        <v>1</v>
      </c>
      <c r="AJ75" t="s">
        <v>81</v>
      </c>
      <c r="AK75" t="s">
        <v>82</v>
      </c>
      <c r="AL75" t="s">
        <v>83</v>
      </c>
      <c r="AM75" s="3">
        <v>1.63</v>
      </c>
      <c r="AN75" s="4">
        <v>1502</v>
      </c>
      <c r="AO75" s="1">
        <v>920</v>
      </c>
      <c r="AP75" s="3">
        <v>1.64</v>
      </c>
      <c r="AQ75" s="4">
        <v>1802</v>
      </c>
      <c r="AR75" s="1">
        <v>1100</v>
      </c>
      <c r="AS75" s="3">
        <v>426444.22</v>
      </c>
      <c r="AW75" t="s">
        <v>84</v>
      </c>
      <c r="AY75" s="3">
        <v>1.76</v>
      </c>
      <c r="AZ75" s="4">
        <v>1001</v>
      </c>
      <c r="BA75" s="1">
        <v>569</v>
      </c>
      <c r="BB75" s="1">
        <v>112</v>
      </c>
      <c r="BC75" s="1">
        <v>132</v>
      </c>
      <c r="BD75" s="1">
        <v>16</v>
      </c>
      <c r="BF75" t="s">
        <v>592</v>
      </c>
      <c r="BG75" t="s">
        <v>104</v>
      </c>
    </row>
    <row r="76" spans="1:59" x14ac:dyDescent="0.25">
      <c r="A76" t="s">
        <v>593</v>
      </c>
      <c r="B76" t="s">
        <v>594</v>
      </c>
      <c r="C76" s="1">
        <v>202</v>
      </c>
      <c r="D76" s="1">
        <v>1990</v>
      </c>
      <c r="E76" t="s">
        <v>64</v>
      </c>
      <c r="F76" t="s">
        <v>140</v>
      </c>
      <c r="H76" t="s">
        <v>595</v>
      </c>
      <c r="K76" s="1">
        <v>2</v>
      </c>
      <c r="L76" t="s">
        <v>69</v>
      </c>
      <c r="M76" t="s">
        <v>70</v>
      </c>
      <c r="N76" t="s">
        <v>71</v>
      </c>
      <c r="P76" t="s">
        <v>72</v>
      </c>
      <c r="Q76" t="s">
        <v>140</v>
      </c>
      <c r="R76" t="s">
        <v>74</v>
      </c>
      <c r="S76" t="s">
        <v>596</v>
      </c>
      <c r="AI76" s="1">
        <v>2</v>
      </c>
      <c r="AJ76" t="s">
        <v>81</v>
      </c>
      <c r="AK76" t="s">
        <v>82</v>
      </c>
      <c r="AL76" t="s">
        <v>83</v>
      </c>
      <c r="AW76" t="s">
        <v>84</v>
      </c>
    </row>
    <row r="77" spans="1:59" x14ac:dyDescent="0.25">
      <c r="A77" t="s">
        <v>597</v>
      </c>
      <c r="B77" t="s">
        <v>598</v>
      </c>
      <c r="C77" s="1">
        <v>264</v>
      </c>
      <c r="D77" s="1">
        <v>1985</v>
      </c>
      <c r="E77" t="s">
        <v>64</v>
      </c>
      <c r="F77" t="s">
        <v>156</v>
      </c>
      <c r="G77" t="s">
        <v>478</v>
      </c>
      <c r="H77" t="s">
        <v>599</v>
      </c>
      <c r="J77" t="s">
        <v>478</v>
      </c>
      <c r="K77" s="1">
        <v>3</v>
      </c>
      <c r="L77" t="s">
        <v>91</v>
      </c>
      <c r="M77" t="s">
        <v>70</v>
      </c>
      <c r="N77" t="s">
        <v>71</v>
      </c>
      <c r="P77" t="s">
        <v>72</v>
      </c>
      <c r="Q77" t="s">
        <v>427</v>
      </c>
      <c r="R77" t="s">
        <v>74</v>
      </c>
      <c r="S77" t="s">
        <v>600</v>
      </c>
      <c r="T77" s="2">
        <v>760</v>
      </c>
      <c r="U77" s="3">
        <v>1.53</v>
      </c>
      <c r="V77" s="4">
        <v>1166</v>
      </c>
      <c r="AF77" s="5">
        <v>14.7727</v>
      </c>
      <c r="AG77" s="1">
        <v>9</v>
      </c>
      <c r="AI77" s="1">
        <v>3</v>
      </c>
      <c r="AJ77" t="s">
        <v>81</v>
      </c>
      <c r="AK77" t="s">
        <v>82</v>
      </c>
      <c r="AL77" t="s">
        <v>83</v>
      </c>
      <c r="AM77" s="3">
        <v>1.52</v>
      </c>
      <c r="AN77" s="4">
        <v>1471</v>
      </c>
      <c r="AO77" s="1">
        <v>965</v>
      </c>
      <c r="AS77" s="3">
        <v>0</v>
      </c>
      <c r="AW77" t="s">
        <v>84</v>
      </c>
      <c r="AY77" s="3">
        <v>1.54</v>
      </c>
      <c r="AZ77" s="4">
        <v>1076</v>
      </c>
      <c r="BA77" s="1">
        <v>701</v>
      </c>
      <c r="BB77" s="1">
        <v>204</v>
      </c>
      <c r="BC77" s="1">
        <v>60</v>
      </c>
    </row>
    <row r="78" spans="1:59" x14ac:dyDescent="0.25">
      <c r="A78" t="s">
        <v>601</v>
      </c>
      <c r="B78" t="s">
        <v>602</v>
      </c>
      <c r="C78" s="1">
        <v>102</v>
      </c>
      <c r="D78" s="1">
        <v>1985</v>
      </c>
      <c r="E78" t="s">
        <v>64</v>
      </c>
      <c r="F78" t="s">
        <v>603</v>
      </c>
      <c r="G78" t="s">
        <v>604</v>
      </c>
      <c r="H78" t="s">
        <v>605</v>
      </c>
      <c r="I78" t="s">
        <v>606</v>
      </c>
      <c r="J78" t="s">
        <v>604</v>
      </c>
      <c r="K78" s="1">
        <v>3</v>
      </c>
      <c r="L78" t="s">
        <v>69</v>
      </c>
      <c r="M78" t="s">
        <v>70</v>
      </c>
      <c r="N78" t="s">
        <v>71</v>
      </c>
      <c r="P78" t="s">
        <v>72</v>
      </c>
      <c r="Q78" t="s">
        <v>73</v>
      </c>
      <c r="R78" t="s">
        <v>74</v>
      </c>
      <c r="S78" t="s">
        <v>607</v>
      </c>
      <c r="T78" s="2">
        <v>877</v>
      </c>
      <c r="U78" s="3">
        <v>2.7</v>
      </c>
      <c r="V78" s="4">
        <v>2364</v>
      </c>
      <c r="AF78" s="5">
        <v>10.7843</v>
      </c>
      <c r="AI78" s="1">
        <v>2</v>
      </c>
      <c r="AJ78" t="s">
        <v>81</v>
      </c>
      <c r="AK78" t="s">
        <v>82</v>
      </c>
      <c r="AL78" t="s">
        <v>83</v>
      </c>
      <c r="AM78" s="3">
        <v>2.73</v>
      </c>
      <c r="AN78" s="4">
        <v>2871</v>
      </c>
      <c r="AO78" s="1">
        <v>1052</v>
      </c>
      <c r="AS78" s="3">
        <v>169954.14</v>
      </c>
      <c r="AW78" t="s">
        <v>84</v>
      </c>
      <c r="AY78" s="3">
        <v>2.65</v>
      </c>
      <c r="AZ78" s="4">
        <v>1931</v>
      </c>
      <c r="BA78" s="1">
        <v>728</v>
      </c>
      <c r="BB78" s="1">
        <v>55</v>
      </c>
      <c r="BC78" s="1">
        <v>47</v>
      </c>
      <c r="BF78" t="s">
        <v>608</v>
      </c>
      <c r="BG78" t="s">
        <v>131</v>
      </c>
    </row>
    <row r="79" spans="1:59" x14ac:dyDescent="0.25">
      <c r="A79" t="s">
        <v>609</v>
      </c>
      <c r="B79" t="s">
        <v>610</v>
      </c>
      <c r="C79" s="1">
        <v>130</v>
      </c>
      <c r="D79" s="1">
        <v>1986</v>
      </c>
      <c r="E79" t="s">
        <v>64</v>
      </c>
      <c r="F79" t="s">
        <v>611</v>
      </c>
      <c r="G79" t="s">
        <v>612</v>
      </c>
      <c r="H79" t="s">
        <v>613</v>
      </c>
      <c r="I79" t="s">
        <v>614</v>
      </c>
      <c r="J79" t="s">
        <v>612</v>
      </c>
      <c r="K79" s="1">
        <v>3</v>
      </c>
      <c r="L79" t="s">
        <v>91</v>
      </c>
      <c r="M79" t="s">
        <v>70</v>
      </c>
      <c r="N79" t="s">
        <v>71</v>
      </c>
      <c r="P79" t="s">
        <v>72</v>
      </c>
      <c r="Q79" t="s">
        <v>611</v>
      </c>
      <c r="R79" t="s">
        <v>74</v>
      </c>
      <c r="S79" t="s">
        <v>615</v>
      </c>
      <c r="T79" s="2">
        <v>878</v>
      </c>
      <c r="U79" s="3">
        <v>1.18</v>
      </c>
      <c r="V79" s="4">
        <v>1041</v>
      </c>
      <c r="AF79" s="5">
        <v>4.6154000000000002</v>
      </c>
      <c r="AH79" s="1">
        <v>2007</v>
      </c>
      <c r="AI79" s="1">
        <v>2</v>
      </c>
      <c r="AJ79" t="s">
        <v>81</v>
      </c>
      <c r="AK79" t="s">
        <v>82</v>
      </c>
      <c r="AL79" t="s">
        <v>83</v>
      </c>
      <c r="AM79" s="3">
        <v>1.1399999999999999</v>
      </c>
      <c r="AN79" s="4">
        <v>1066</v>
      </c>
      <c r="AO79" s="1">
        <v>931</v>
      </c>
      <c r="AP79" s="3">
        <v>1.1399999999999999</v>
      </c>
      <c r="AQ79" s="4">
        <v>1255</v>
      </c>
      <c r="AR79" s="1">
        <v>1104</v>
      </c>
      <c r="AS79" s="3">
        <v>405056.74</v>
      </c>
      <c r="AW79" t="s">
        <v>84</v>
      </c>
      <c r="AY79" s="3">
        <v>1.29</v>
      </c>
      <c r="AZ79" s="4">
        <v>872</v>
      </c>
      <c r="BA79" s="1">
        <v>674</v>
      </c>
      <c r="BB79" s="1">
        <v>48</v>
      </c>
      <c r="BC79" s="1">
        <v>50</v>
      </c>
      <c r="BD79" s="1">
        <v>32</v>
      </c>
      <c r="BF79" t="s">
        <v>616</v>
      </c>
      <c r="BG79" t="s">
        <v>131</v>
      </c>
    </row>
    <row r="80" spans="1:59" x14ac:dyDescent="0.25">
      <c r="A80" t="s">
        <v>617</v>
      </c>
      <c r="B80" t="s">
        <v>618</v>
      </c>
      <c r="C80" s="1">
        <v>336</v>
      </c>
      <c r="D80" s="1">
        <v>1985</v>
      </c>
      <c r="E80" t="s">
        <v>64</v>
      </c>
      <c r="F80" t="s">
        <v>110</v>
      </c>
      <c r="G80" t="s">
        <v>619</v>
      </c>
      <c r="H80" t="s">
        <v>620</v>
      </c>
      <c r="I80" t="s">
        <v>621</v>
      </c>
      <c r="J80" t="s">
        <v>619</v>
      </c>
      <c r="K80" s="1">
        <v>3</v>
      </c>
      <c r="L80" t="s">
        <v>69</v>
      </c>
      <c r="M80" t="s">
        <v>70</v>
      </c>
      <c r="N80" t="s">
        <v>71</v>
      </c>
      <c r="P80" t="s">
        <v>72</v>
      </c>
      <c r="Q80" t="s">
        <v>531</v>
      </c>
      <c r="R80" t="s">
        <v>74</v>
      </c>
      <c r="S80" t="s">
        <v>622</v>
      </c>
      <c r="T80" s="2">
        <v>866</v>
      </c>
      <c r="U80" s="3">
        <v>1.05</v>
      </c>
      <c r="V80" s="4">
        <v>910</v>
      </c>
      <c r="AF80" s="5">
        <v>15.178599999999999</v>
      </c>
      <c r="AI80" s="1">
        <v>3</v>
      </c>
      <c r="AJ80" t="s">
        <v>81</v>
      </c>
      <c r="AK80" t="s">
        <v>82</v>
      </c>
      <c r="AL80" t="s">
        <v>83</v>
      </c>
      <c r="AM80" s="3">
        <v>1.04</v>
      </c>
      <c r="AN80" s="4">
        <v>1079</v>
      </c>
      <c r="AO80" s="1">
        <v>1037</v>
      </c>
      <c r="AS80" s="3">
        <v>307641.32</v>
      </c>
      <c r="AW80" t="s">
        <v>84</v>
      </c>
      <c r="AY80" s="3">
        <v>1.06</v>
      </c>
      <c r="AZ80" s="4">
        <v>816</v>
      </c>
      <c r="BA80" s="1">
        <v>773</v>
      </c>
      <c r="BB80" s="1">
        <v>216</v>
      </c>
      <c r="BC80" s="1">
        <v>120</v>
      </c>
      <c r="BG80" t="s">
        <v>365</v>
      </c>
    </row>
    <row r="81" spans="1:59" x14ac:dyDescent="0.25">
      <c r="A81" t="s">
        <v>623</v>
      </c>
      <c r="B81" t="s">
        <v>624</v>
      </c>
      <c r="C81" s="1">
        <v>236</v>
      </c>
      <c r="D81" s="1">
        <v>1987</v>
      </c>
      <c r="E81" t="s">
        <v>64</v>
      </c>
      <c r="F81" t="s">
        <v>625</v>
      </c>
      <c r="G81" t="s">
        <v>626</v>
      </c>
      <c r="H81" t="s">
        <v>627</v>
      </c>
      <c r="I81" t="s">
        <v>628</v>
      </c>
      <c r="J81" t="s">
        <v>626</v>
      </c>
      <c r="K81" s="1">
        <v>3</v>
      </c>
      <c r="L81" t="s">
        <v>91</v>
      </c>
      <c r="M81" t="s">
        <v>70</v>
      </c>
      <c r="N81" t="s">
        <v>71</v>
      </c>
      <c r="P81" t="s">
        <v>72</v>
      </c>
      <c r="Q81" t="s">
        <v>73</v>
      </c>
      <c r="R81" t="s">
        <v>74</v>
      </c>
      <c r="S81" t="s">
        <v>629</v>
      </c>
      <c r="T81" s="2">
        <v>859</v>
      </c>
      <c r="U81" s="3">
        <v>1.45</v>
      </c>
      <c r="V81" s="4">
        <v>1247</v>
      </c>
      <c r="AF81" s="5">
        <v>7.2034000000000002</v>
      </c>
      <c r="AH81" s="1">
        <v>1994</v>
      </c>
      <c r="AI81" s="1">
        <v>2</v>
      </c>
      <c r="AJ81" t="s">
        <v>81</v>
      </c>
      <c r="AK81" t="s">
        <v>82</v>
      </c>
      <c r="AL81" t="s">
        <v>83</v>
      </c>
      <c r="AM81" s="3">
        <v>1.42</v>
      </c>
      <c r="AN81" s="4">
        <v>1448</v>
      </c>
      <c r="AO81" s="1">
        <v>1018</v>
      </c>
      <c r="AS81" s="3">
        <v>592282.96</v>
      </c>
      <c r="AW81" t="s">
        <v>84</v>
      </c>
      <c r="AY81" s="3">
        <v>1.47</v>
      </c>
      <c r="AZ81" s="4">
        <v>1136</v>
      </c>
      <c r="BA81" s="1">
        <v>772</v>
      </c>
      <c r="BB81" s="1">
        <v>152</v>
      </c>
      <c r="BC81" s="1">
        <v>84</v>
      </c>
      <c r="BF81" t="s">
        <v>174</v>
      </c>
      <c r="BG81" t="s">
        <v>104</v>
      </c>
    </row>
    <row r="82" spans="1:59" x14ac:dyDescent="0.25">
      <c r="A82" t="s">
        <v>630</v>
      </c>
      <c r="B82" t="s">
        <v>631</v>
      </c>
      <c r="C82" s="1">
        <v>112</v>
      </c>
      <c r="D82" s="1">
        <v>1989</v>
      </c>
      <c r="E82" t="s">
        <v>64</v>
      </c>
      <c r="F82" t="s">
        <v>545</v>
      </c>
      <c r="G82" t="s">
        <v>632</v>
      </c>
      <c r="H82" t="s">
        <v>633</v>
      </c>
      <c r="I82" t="s">
        <v>634</v>
      </c>
      <c r="J82" t="s">
        <v>632</v>
      </c>
      <c r="K82" s="1">
        <v>3</v>
      </c>
      <c r="L82" t="s">
        <v>69</v>
      </c>
      <c r="M82" t="s">
        <v>70</v>
      </c>
      <c r="N82" t="s">
        <v>71</v>
      </c>
      <c r="O82" t="s">
        <v>118</v>
      </c>
      <c r="P82" t="s">
        <v>72</v>
      </c>
      <c r="Q82" t="s">
        <v>73</v>
      </c>
      <c r="R82" t="s">
        <v>74</v>
      </c>
      <c r="S82" t="s">
        <v>419</v>
      </c>
      <c r="T82" s="2">
        <v>893</v>
      </c>
      <c r="U82" s="3">
        <v>1.95</v>
      </c>
      <c r="V82" s="4">
        <v>1746</v>
      </c>
      <c r="AF82" s="5">
        <v>13.392899999999999</v>
      </c>
      <c r="AI82" s="1">
        <v>2</v>
      </c>
      <c r="AJ82" t="s">
        <v>81</v>
      </c>
      <c r="AK82" t="s">
        <v>82</v>
      </c>
      <c r="AL82" t="s">
        <v>83</v>
      </c>
      <c r="AM82" s="3">
        <v>1.82</v>
      </c>
      <c r="AN82" s="4">
        <v>1706</v>
      </c>
      <c r="AO82" s="1">
        <v>936</v>
      </c>
      <c r="AP82" s="3">
        <v>1.92</v>
      </c>
      <c r="AQ82" s="4">
        <v>2035</v>
      </c>
      <c r="AR82" s="1">
        <v>1059</v>
      </c>
      <c r="AS82" s="3">
        <v>280047.65000000002</v>
      </c>
      <c r="AW82" t="s">
        <v>84</v>
      </c>
      <c r="AY82" s="3">
        <v>2.29</v>
      </c>
      <c r="AZ82" s="4">
        <v>1516</v>
      </c>
      <c r="BA82" s="1">
        <v>663</v>
      </c>
      <c r="BB82" s="1">
        <v>32</v>
      </c>
      <c r="BC82" s="1">
        <v>48</v>
      </c>
      <c r="BD82" s="1">
        <v>32</v>
      </c>
      <c r="BF82" t="s">
        <v>635</v>
      </c>
      <c r="BG82" t="s">
        <v>131</v>
      </c>
    </row>
    <row r="83" spans="1:59" x14ac:dyDescent="0.25">
      <c r="A83" t="s">
        <v>636</v>
      </c>
      <c r="B83" t="s">
        <v>637</v>
      </c>
      <c r="C83" s="1">
        <v>60</v>
      </c>
      <c r="D83" s="1">
        <v>1986</v>
      </c>
      <c r="E83" t="s">
        <v>64</v>
      </c>
      <c r="F83" t="s">
        <v>638</v>
      </c>
      <c r="G83" t="s">
        <v>639</v>
      </c>
      <c r="H83" t="s">
        <v>637</v>
      </c>
      <c r="I83" t="s">
        <v>639</v>
      </c>
      <c r="J83" t="s">
        <v>639</v>
      </c>
      <c r="K83" s="1">
        <v>3</v>
      </c>
      <c r="L83" t="s">
        <v>69</v>
      </c>
      <c r="M83" t="s">
        <v>70</v>
      </c>
      <c r="N83" t="s">
        <v>71</v>
      </c>
      <c r="P83" t="s">
        <v>72</v>
      </c>
      <c r="Q83" t="s">
        <v>640</v>
      </c>
      <c r="R83" t="s">
        <v>74</v>
      </c>
      <c r="S83" t="s">
        <v>641</v>
      </c>
      <c r="T83" s="2">
        <v>692</v>
      </c>
      <c r="U83" s="3">
        <v>1.0900000000000001</v>
      </c>
      <c r="V83" s="4">
        <v>755</v>
      </c>
      <c r="AF83" s="5">
        <v>1.6667000000000001</v>
      </c>
      <c r="AI83" s="1">
        <v>2</v>
      </c>
      <c r="AJ83" t="s">
        <v>81</v>
      </c>
      <c r="AK83" t="s">
        <v>82</v>
      </c>
      <c r="AL83" t="s">
        <v>83</v>
      </c>
      <c r="AM83" s="3">
        <v>1.0900000000000001</v>
      </c>
      <c r="AN83" s="4">
        <v>815</v>
      </c>
      <c r="AO83" s="1">
        <v>745</v>
      </c>
      <c r="AS83" s="3">
        <v>59771.62</v>
      </c>
      <c r="AW83" t="s">
        <v>84</v>
      </c>
      <c r="AY83" s="3">
        <v>1.0900000000000001</v>
      </c>
      <c r="AZ83" s="4">
        <v>696</v>
      </c>
      <c r="BA83" s="1">
        <v>640</v>
      </c>
      <c r="BB83" s="1">
        <v>30</v>
      </c>
      <c r="BC83" s="1">
        <v>30</v>
      </c>
      <c r="BF83" t="s">
        <v>642</v>
      </c>
      <c r="BG83" t="s">
        <v>643</v>
      </c>
    </row>
    <row r="84" spans="1:59" x14ac:dyDescent="0.25">
      <c r="A84" t="s">
        <v>644</v>
      </c>
      <c r="B84" t="s">
        <v>645</v>
      </c>
      <c r="C84" s="1">
        <v>263</v>
      </c>
      <c r="D84" s="1">
        <v>1985</v>
      </c>
      <c r="E84" t="s">
        <v>64</v>
      </c>
      <c r="F84" t="s">
        <v>646</v>
      </c>
      <c r="G84" t="s">
        <v>135</v>
      </c>
      <c r="H84" t="s">
        <v>647</v>
      </c>
      <c r="I84" t="s">
        <v>648</v>
      </c>
      <c r="J84" t="s">
        <v>135</v>
      </c>
      <c r="K84" s="1">
        <v>3</v>
      </c>
      <c r="L84" t="s">
        <v>91</v>
      </c>
      <c r="M84" t="s">
        <v>70</v>
      </c>
      <c r="N84" t="s">
        <v>71</v>
      </c>
      <c r="P84" t="s">
        <v>72</v>
      </c>
      <c r="Q84" t="s">
        <v>152</v>
      </c>
      <c r="R84" t="s">
        <v>74</v>
      </c>
      <c r="S84" t="s">
        <v>649</v>
      </c>
      <c r="T84" s="2">
        <v>779</v>
      </c>
      <c r="U84" s="3">
        <v>1.44</v>
      </c>
      <c r="V84" s="4">
        <v>1125</v>
      </c>
      <c r="AF84" s="5">
        <v>17.110299999999999</v>
      </c>
      <c r="AH84" s="1">
        <v>2014</v>
      </c>
      <c r="AI84" s="1">
        <v>2</v>
      </c>
      <c r="AJ84" t="s">
        <v>81</v>
      </c>
      <c r="AK84" t="s">
        <v>82</v>
      </c>
      <c r="AL84" t="s">
        <v>83</v>
      </c>
      <c r="AM84" s="3">
        <v>1.39</v>
      </c>
      <c r="AN84" s="4">
        <v>1373</v>
      </c>
      <c r="AO84" s="1">
        <v>988</v>
      </c>
      <c r="AS84" s="3">
        <v>572189.4</v>
      </c>
      <c r="AW84" t="s">
        <v>84</v>
      </c>
      <c r="AY84" s="3">
        <v>1.48</v>
      </c>
      <c r="AZ84" s="4">
        <v>1001</v>
      </c>
      <c r="BA84" s="1">
        <v>674</v>
      </c>
      <c r="BB84" s="1">
        <v>175</v>
      </c>
      <c r="BC84" s="1">
        <v>88</v>
      </c>
      <c r="BF84" t="s">
        <v>650</v>
      </c>
      <c r="BG84" t="s">
        <v>131</v>
      </c>
    </row>
    <row r="85" spans="1:59" x14ac:dyDescent="0.25">
      <c r="A85" t="s">
        <v>651</v>
      </c>
      <c r="B85" t="s">
        <v>652</v>
      </c>
      <c r="C85" s="1">
        <v>51</v>
      </c>
      <c r="D85" s="1">
        <v>1990</v>
      </c>
      <c r="E85" t="s">
        <v>64</v>
      </c>
      <c r="F85" t="s">
        <v>653</v>
      </c>
      <c r="G85" t="s">
        <v>654</v>
      </c>
      <c r="H85" t="s">
        <v>655</v>
      </c>
      <c r="I85" t="s">
        <v>656</v>
      </c>
      <c r="J85" t="s">
        <v>654</v>
      </c>
      <c r="K85" s="1">
        <v>3</v>
      </c>
      <c r="L85" t="s">
        <v>69</v>
      </c>
      <c r="M85" t="s">
        <v>70</v>
      </c>
      <c r="N85" t="s">
        <v>71</v>
      </c>
      <c r="P85" t="s">
        <v>72</v>
      </c>
      <c r="Q85" t="s">
        <v>152</v>
      </c>
      <c r="R85" t="s">
        <v>74</v>
      </c>
      <c r="S85" t="s">
        <v>657</v>
      </c>
      <c r="T85" s="2">
        <v>762</v>
      </c>
      <c r="U85" s="3">
        <v>1.52</v>
      </c>
      <c r="V85" s="4">
        <v>1157</v>
      </c>
      <c r="AF85" s="5">
        <v>7.8430999999999997</v>
      </c>
      <c r="AH85" s="1">
        <v>2000</v>
      </c>
      <c r="AI85" s="1">
        <v>1</v>
      </c>
      <c r="AJ85" t="s">
        <v>81</v>
      </c>
      <c r="AK85" t="s">
        <v>82</v>
      </c>
      <c r="AL85" t="s">
        <v>83</v>
      </c>
      <c r="AM85" s="3">
        <v>1.55</v>
      </c>
      <c r="AN85" s="4">
        <v>1309</v>
      </c>
      <c r="AO85" s="1">
        <v>844</v>
      </c>
      <c r="AS85" s="3">
        <v>136876.68</v>
      </c>
      <c r="AW85" t="s">
        <v>84</v>
      </c>
      <c r="AY85" s="3">
        <v>1.47</v>
      </c>
      <c r="AZ85" s="4">
        <v>999</v>
      </c>
      <c r="BA85" s="1">
        <v>678</v>
      </c>
      <c r="BB85" s="1">
        <v>25</v>
      </c>
      <c r="BC85" s="1">
        <v>26</v>
      </c>
    </row>
    <row r="86" spans="1:59" x14ac:dyDescent="0.25">
      <c r="A86" t="s">
        <v>658</v>
      </c>
      <c r="B86" t="s">
        <v>659</v>
      </c>
      <c r="C86" s="1">
        <v>220</v>
      </c>
      <c r="D86" s="1">
        <v>1989</v>
      </c>
      <c r="E86" t="s">
        <v>64</v>
      </c>
      <c r="F86" t="s">
        <v>660</v>
      </c>
      <c r="G86" t="s">
        <v>661</v>
      </c>
      <c r="H86" t="s">
        <v>662</v>
      </c>
      <c r="I86" t="s">
        <v>663</v>
      </c>
      <c r="J86" t="s">
        <v>661</v>
      </c>
      <c r="K86" s="1">
        <v>3</v>
      </c>
      <c r="L86" t="s">
        <v>91</v>
      </c>
      <c r="M86" t="s">
        <v>70</v>
      </c>
      <c r="N86" t="s">
        <v>71</v>
      </c>
      <c r="P86" t="s">
        <v>72</v>
      </c>
      <c r="Q86" t="s">
        <v>664</v>
      </c>
      <c r="R86" t="s">
        <v>74</v>
      </c>
      <c r="S86" t="s">
        <v>665</v>
      </c>
      <c r="T86" s="2">
        <v>772</v>
      </c>
      <c r="U86" s="3">
        <v>1.59</v>
      </c>
      <c r="V86" s="4">
        <v>1229</v>
      </c>
      <c r="AF86" s="5">
        <v>19.090900000000001</v>
      </c>
      <c r="AH86" s="1">
        <v>2003</v>
      </c>
      <c r="AI86" s="1">
        <v>2</v>
      </c>
      <c r="AJ86" t="s">
        <v>81</v>
      </c>
      <c r="AK86" t="s">
        <v>82</v>
      </c>
      <c r="AL86" t="s">
        <v>83</v>
      </c>
      <c r="AM86" s="3">
        <v>1.42</v>
      </c>
      <c r="AN86" s="4">
        <v>1348</v>
      </c>
      <c r="AO86" s="1">
        <v>951</v>
      </c>
      <c r="AS86" s="3">
        <v>485589.17</v>
      </c>
      <c r="AW86" t="s">
        <v>84</v>
      </c>
      <c r="AY86" s="3">
        <v>1.78</v>
      </c>
      <c r="AZ86" s="4">
        <v>1144</v>
      </c>
      <c r="BA86" s="1">
        <v>645</v>
      </c>
      <c r="BB86" s="1">
        <v>128</v>
      </c>
      <c r="BC86" s="1">
        <v>92</v>
      </c>
      <c r="BF86" t="s">
        <v>666</v>
      </c>
      <c r="BG86" t="s">
        <v>104</v>
      </c>
    </row>
    <row r="87" spans="1:59" x14ac:dyDescent="0.25">
      <c r="A87" t="s">
        <v>667</v>
      </c>
      <c r="B87" t="s">
        <v>668</v>
      </c>
      <c r="C87" s="1">
        <v>100</v>
      </c>
      <c r="D87" s="1">
        <v>1985</v>
      </c>
      <c r="E87" t="s">
        <v>64</v>
      </c>
      <c r="F87" t="s">
        <v>301</v>
      </c>
      <c r="G87" t="s">
        <v>669</v>
      </c>
      <c r="H87" t="s">
        <v>670</v>
      </c>
      <c r="I87" t="s">
        <v>671</v>
      </c>
      <c r="J87" t="s">
        <v>669</v>
      </c>
      <c r="K87" s="1">
        <v>3</v>
      </c>
      <c r="L87" t="s">
        <v>69</v>
      </c>
      <c r="M87" t="s">
        <v>70</v>
      </c>
      <c r="N87" t="s">
        <v>71</v>
      </c>
      <c r="P87" t="s">
        <v>72</v>
      </c>
      <c r="Q87" t="s">
        <v>152</v>
      </c>
      <c r="R87" t="s">
        <v>74</v>
      </c>
      <c r="S87" t="s">
        <v>672</v>
      </c>
      <c r="T87" s="2">
        <v>855</v>
      </c>
      <c r="U87" s="3">
        <v>1.64</v>
      </c>
      <c r="V87" s="4">
        <v>1399</v>
      </c>
      <c r="AF87" s="5">
        <v>7</v>
      </c>
      <c r="AI87" s="1">
        <v>2</v>
      </c>
      <c r="AJ87" t="s">
        <v>81</v>
      </c>
      <c r="AK87" t="s">
        <v>82</v>
      </c>
      <c r="AL87" t="s">
        <v>83</v>
      </c>
      <c r="AM87" s="3">
        <v>1.55</v>
      </c>
      <c r="AN87" s="4">
        <v>1432</v>
      </c>
      <c r="AO87" s="1">
        <v>926</v>
      </c>
      <c r="AS87" s="3">
        <v>320874.84000000003</v>
      </c>
      <c r="AW87" t="s">
        <v>84</v>
      </c>
      <c r="AY87" s="3">
        <v>1.7</v>
      </c>
      <c r="AZ87" s="4">
        <v>1380</v>
      </c>
      <c r="BA87" s="1">
        <v>814</v>
      </c>
      <c r="BB87" s="1">
        <v>63</v>
      </c>
      <c r="BC87" s="1">
        <v>37</v>
      </c>
      <c r="BG87" t="s">
        <v>131</v>
      </c>
    </row>
    <row r="88" spans="1:59" x14ac:dyDescent="0.25">
      <c r="A88" t="s">
        <v>673</v>
      </c>
      <c r="B88" t="s">
        <v>674</v>
      </c>
      <c r="C88" s="1">
        <v>360</v>
      </c>
      <c r="D88" s="1">
        <v>1986</v>
      </c>
      <c r="E88" t="s">
        <v>64</v>
      </c>
      <c r="F88" t="s">
        <v>264</v>
      </c>
      <c r="G88" t="s">
        <v>675</v>
      </c>
      <c r="H88" t="s">
        <v>676</v>
      </c>
      <c r="I88" t="s">
        <v>677</v>
      </c>
      <c r="J88" t="s">
        <v>675</v>
      </c>
      <c r="K88" s="1">
        <v>3</v>
      </c>
      <c r="L88" t="s">
        <v>91</v>
      </c>
      <c r="M88" t="s">
        <v>70</v>
      </c>
      <c r="N88" t="s">
        <v>71</v>
      </c>
      <c r="P88" t="s">
        <v>72</v>
      </c>
      <c r="Q88" t="s">
        <v>264</v>
      </c>
      <c r="R88" t="s">
        <v>74</v>
      </c>
      <c r="S88" t="s">
        <v>678</v>
      </c>
      <c r="T88" s="2">
        <v>786</v>
      </c>
      <c r="U88" s="3">
        <v>1.55</v>
      </c>
      <c r="V88" s="4">
        <v>1221</v>
      </c>
      <c r="AF88" s="5">
        <v>7.2222</v>
      </c>
      <c r="AI88" s="1">
        <v>2</v>
      </c>
      <c r="AJ88" t="s">
        <v>81</v>
      </c>
      <c r="AK88" t="s">
        <v>82</v>
      </c>
      <c r="AL88" t="s">
        <v>83</v>
      </c>
      <c r="AM88" s="3">
        <v>1.41</v>
      </c>
      <c r="AN88" s="4">
        <v>1379</v>
      </c>
      <c r="AO88" s="1">
        <v>976</v>
      </c>
      <c r="AS88" s="3">
        <v>1069047.5</v>
      </c>
      <c r="AW88" t="s">
        <v>84</v>
      </c>
      <c r="AY88" s="3">
        <v>1.65</v>
      </c>
      <c r="AZ88" s="4">
        <v>1143</v>
      </c>
      <c r="BA88" s="1">
        <v>692</v>
      </c>
      <c r="BB88" s="1">
        <v>240</v>
      </c>
      <c r="BC88" s="1">
        <v>120</v>
      </c>
      <c r="BF88" t="s">
        <v>679</v>
      </c>
      <c r="BG88" t="s">
        <v>104</v>
      </c>
    </row>
    <row r="89" spans="1:59" x14ac:dyDescent="0.25">
      <c r="A89" t="s">
        <v>680</v>
      </c>
      <c r="B89" t="s">
        <v>681</v>
      </c>
      <c r="C89" s="1">
        <v>320</v>
      </c>
      <c r="D89" s="1">
        <v>1985</v>
      </c>
      <c r="E89" t="s">
        <v>64</v>
      </c>
      <c r="F89" t="s">
        <v>264</v>
      </c>
      <c r="G89" t="s">
        <v>682</v>
      </c>
      <c r="H89" t="s">
        <v>683</v>
      </c>
      <c r="I89" t="s">
        <v>684</v>
      </c>
      <c r="J89" t="s">
        <v>682</v>
      </c>
      <c r="K89" s="1">
        <v>3</v>
      </c>
      <c r="L89" t="s">
        <v>69</v>
      </c>
      <c r="M89" t="s">
        <v>70</v>
      </c>
      <c r="N89" t="s">
        <v>71</v>
      </c>
      <c r="P89" t="s">
        <v>72</v>
      </c>
      <c r="Q89" t="s">
        <v>264</v>
      </c>
      <c r="R89" t="s">
        <v>74</v>
      </c>
      <c r="S89" t="s">
        <v>678</v>
      </c>
      <c r="T89" s="2">
        <v>866</v>
      </c>
      <c r="U89" s="3">
        <v>1.6</v>
      </c>
      <c r="V89" s="4">
        <v>1387</v>
      </c>
      <c r="AF89" s="5">
        <v>6.5625</v>
      </c>
      <c r="AI89" s="1">
        <v>2</v>
      </c>
      <c r="AJ89" t="s">
        <v>81</v>
      </c>
      <c r="AK89" t="s">
        <v>82</v>
      </c>
      <c r="AL89" t="s">
        <v>83</v>
      </c>
      <c r="AM89" s="3">
        <v>1.61</v>
      </c>
      <c r="AN89" s="4">
        <v>1421</v>
      </c>
      <c r="AO89" s="1">
        <v>885</v>
      </c>
      <c r="AS89" s="3">
        <v>1069047.5</v>
      </c>
      <c r="AW89" t="s">
        <v>84</v>
      </c>
      <c r="AY89" s="3">
        <v>1.57</v>
      </c>
      <c r="AZ89" s="4">
        <v>1152</v>
      </c>
      <c r="BA89" s="1">
        <v>735</v>
      </c>
      <c r="BB89" s="1">
        <v>40</v>
      </c>
      <c r="BC89" s="1">
        <v>280</v>
      </c>
      <c r="BG89" t="s">
        <v>131</v>
      </c>
    </row>
    <row r="90" spans="1:59" x14ac:dyDescent="0.25">
      <c r="A90" t="s">
        <v>685</v>
      </c>
      <c r="B90" t="s">
        <v>686</v>
      </c>
      <c r="C90" s="1">
        <v>248</v>
      </c>
      <c r="D90" s="1">
        <v>1985</v>
      </c>
      <c r="E90" t="s">
        <v>64</v>
      </c>
      <c r="F90" t="s">
        <v>264</v>
      </c>
      <c r="G90" t="s">
        <v>687</v>
      </c>
      <c r="H90" t="s">
        <v>688</v>
      </c>
      <c r="J90" t="s">
        <v>687</v>
      </c>
      <c r="K90" s="1">
        <v>3</v>
      </c>
      <c r="L90" t="s">
        <v>69</v>
      </c>
      <c r="M90" t="s">
        <v>70</v>
      </c>
      <c r="N90" t="s">
        <v>71</v>
      </c>
      <c r="P90" t="s">
        <v>72</v>
      </c>
      <c r="Q90" t="s">
        <v>264</v>
      </c>
      <c r="R90" t="s">
        <v>74</v>
      </c>
      <c r="S90" t="s">
        <v>678</v>
      </c>
      <c r="T90" s="2">
        <v>763</v>
      </c>
      <c r="U90" s="3">
        <v>1.62</v>
      </c>
      <c r="V90" s="4">
        <v>1238</v>
      </c>
      <c r="AF90" s="5">
        <v>7.2580999999999998</v>
      </c>
      <c r="AH90" s="1">
        <v>2018</v>
      </c>
      <c r="AI90" s="1">
        <v>2</v>
      </c>
      <c r="AJ90" t="s">
        <v>81</v>
      </c>
      <c r="AK90" t="s">
        <v>82</v>
      </c>
      <c r="AL90" t="s">
        <v>83</v>
      </c>
      <c r="AM90" s="3">
        <v>1.45</v>
      </c>
      <c r="AN90" s="4">
        <v>1496</v>
      </c>
      <c r="AO90" s="1">
        <v>1029</v>
      </c>
      <c r="AS90" s="3">
        <v>0</v>
      </c>
      <c r="AW90" t="s">
        <v>84</v>
      </c>
      <c r="AY90" s="3">
        <v>1.74</v>
      </c>
      <c r="AZ90" s="4">
        <v>1124</v>
      </c>
      <c r="BA90" s="1">
        <v>646</v>
      </c>
      <c r="BB90" s="1">
        <v>172</v>
      </c>
      <c r="BC90" s="1">
        <v>76</v>
      </c>
    </row>
    <row r="91" spans="1:59" x14ac:dyDescent="0.25">
      <c r="A91" t="s">
        <v>689</v>
      </c>
      <c r="B91" t="s">
        <v>690</v>
      </c>
      <c r="C91" s="1">
        <v>75</v>
      </c>
      <c r="D91" s="1">
        <v>1986</v>
      </c>
      <c r="E91" t="s">
        <v>64</v>
      </c>
      <c r="F91" t="s">
        <v>691</v>
      </c>
      <c r="G91" t="s">
        <v>692</v>
      </c>
      <c r="H91" t="s">
        <v>690</v>
      </c>
      <c r="I91" t="s">
        <v>693</v>
      </c>
      <c r="J91" t="s">
        <v>692</v>
      </c>
      <c r="K91" s="1">
        <v>2</v>
      </c>
      <c r="L91" t="s">
        <v>69</v>
      </c>
      <c r="M91" t="s">
        <v>70</v>
      </c>
      <c r="N91" t="s">
        <v>71</v>
      </c>
      <c r="P91" t="s">
        <v>72</v>
      </c>
      <c r="Q91" t="s">
        <v>551</v>
      </c>
      <c r="R91" t="s">
        <v>74</v>
      </c>
      <c r="S91" t="s">
        <v>694</v>
      </c>
      <c r="T91" s="2">
        <v>633</v>
      </c>
      <c r="U91" s="3">
        <v>1.62</v>
      </c>
      <c r="V91" s="4">
        <v>1028</v>
      </c>
      <c r="AF91" s="5">
        <v>1.3332999999999999</v>
      </c>
      <c r="AH91" s="1">
        <v>1991</v>
      </c>
      <c r="AI91" s="1">
        <v>3</v>
      </c>
      <c r="AJ91" t="s">
        <v>81</v>
      </c>
      <c r="AK91" t="s">
        <v>82</v>
      </c>
      <c r="AL91" t="s">
        <v>83</v>
      </c>
      <c r="AM91" s="3">
        <v>1.37</v>
      </c>
      <c r="AN91" s="4">
        <v>1139</v>
      </c>
      <c r="AO91" s="1">
        <v>829</v>
      </c>
      <c r="AS91" s="3">
        <v>63616.03</v>
      </c>
      <c r="AT91" s="3">
        <v>3.07</v>
      </c>
      <c r="AU91" s="4">
        <v>782</v>
      </c>
      <c r="AV91" s="6">
        <v>255</v>
      </c>
      <c r="AW91" t="s">
        <v>84</v>
      </c>
      <c r="AY91" s="3">
        <v>1.69</v>
      </c>
      <c r="AZ91" s="4">
        <v>1025</v>
      </c>
      <c r="BA91" s="1">
        <v>606</v>
      </c>
      <c r="BB91" s="1">
        <v>35</v>
      </c>
      <c r="BC91" s="1">
        <v>28</v>
      </c>
    </row>
    <row r="92" spans="1:59" x14ac:dyDescent="0.25">
      <c r="A92" t="s">
        <v>695</v>
      </c>
      <c r="B92" t="s">
        <v>696</v>
      </c>
      <c r="C92" s="1">
        <v>420</v>
      </c>
      <c r="D92" s="1">
        <v>1987</v>
      </c>
      <c r="E92" t="s">
        <v>64</v>
      </c>
      <c r="F92" t="s">
        <v>156</v>
      </c>
      <c r="G92" t="s">
        <v>697</v>
      </c>
      <c r="H92" t="s">
        <v>698</v>
      </c>
      <c r="I92" t="s">
        <v>699</v>
      </c>
      <c r="J92" t="s">
        <v>697</v>
      </c>
      <c r="K92" s="1">
        <v>3</v>
      </c>
      <c r="L92" t="s">
        <v>91</v>
      </c>
      <c r="M92" t="s">
        <v>70</v>
      </c>
      <c r="N92" t="s">
        <v>71</v>
      </c>
      <c r="P92" t="s">
        <v>72</v>
      </c>
      <c r="Q92" t="s">
        <v>73</v>
      </c>
      <c r="R92" t="s">
        <v>74</v>
      </c>
      <c r="S92" t="s">
        <v>461</v>
      </c>
      <c r="T92" s="2">
        <v>750</v>
      </c>
      <c r="U92" s="3">
        <v>1.52</v>
      </c>
      <c r="V92" s="4">
        <v>1138</v>
      </c>
      <c r="AF92" s="5">
        <v>9.2857000000000003</v>
      </c>
      <c r="AH92" s="1">
        <v>2018</v>
      </c>
      <c r="AI92" s="1">
        <v>3</v>
      </c>
      <c r="AJ92" t="s">
        <v>81</v>
      </c>
      <c r="AK92" t="s">
        <v>82</v>
      </c>
      <c r="AL92" t="s">
        <v>83</v>
      </c>
      <c r="AM92" s="3">
        <v>1.4</v>
      </c>
      <c r="AN92" s="4">
        <v>1436</v>
      </c>
      <c r="AO92" s="1">
        <v>1025</v>
      </c>
      <c r="AS92" s="3">
        <v>1024761.26</v>
      </c>
      <c r="AT92" s="3">
        <v>1.78</v>
      </c>
      <c r="AU92" s="4">
        <v>917</v>
      </c>
      <c r="AV92" s="6">
        <v>514</v>
      </c>
      <c r="AW92" t="s">
        <v>84</v>
      </c>
      <c r="AY92" s="3">
        <v>1.5</v>
      </c>
      <c r="AZ92" s="4">
        <v>1087</v>
      </c>
      <c r="BA92" s="1">
        <v>725</v>
      </c>
      <c r="BB92" s="1">
        <v>180</v>
      </c>
      <c r="BC92" s="1">
        <v>120</v>
      </c>
      <c r="BF92" t="s">
        <v>314</v>
      </c>
      <c r="BG92" t="s">
        <v>104</v>
      </c>
    </row>
    <row r="93" spans="1:59" x14ac:dyDescent="0.25">
      <c r="A93" t="s">
        <v>700</v>
      </c>
      <c r="B93" t="s">
        <v>701</v>
      </c>
      <c r="C93" s="1">
        <v>220</v>
      </c>
      <c r="D93" s="1">
        <v>1985</v>
      </c>
      <c r="E93" t="s">
        <v>64</v>
      </c>
      <c r="F93" t="s">
        <v>477</v>
      </c>
      <c r="G93" t="s">
        <v>229</v>
      </c>
      <c r="H93" t="s">
        <v>702</v>
      </c>
      <c r="I93" t="s">
        <v>703</v>
      </c>
      <c r="J93" t="s">
        <v>229</v>
      </c>
      <c r="K93" s="1">
        <v>3</v>
      </c>
      <c r="L93" t="s">
        <v>91</v>
      </c>
      <c r="M93" t="s">
        <v>70</v>
      </c>
      <c r="N93" t="s">
        <v>71</v>
      </c>
      <c r="P93" t="s">
        <v>72</v>
      </c>
      <c r="Q93" t="s">
        <v>110</v>
      </c>
      <c r="R93" t="s">
        <v>74</v>
      </c>
      <c r="S93" t="s">
        <v>704</v>
      </c>
      <c r="T93" s="2">
        <v>750</v>
      </c>
      <c r="U93" s="3">
        <v>1.85</v>
      </c>
      <c r="V93" s="4">
        <v>1391</v>
      </c>
      <c r="AF93" s="5">
        <v>11.3636</v>
      </c>
      <c r="AH93" s="1">
        <v>2001</v>
      </c>
      <c r="AI93" s="1">
        <v>2</v>
      </c>
      <c r="AJ93" t="s">
        <v>81</v>
      </c>
      <c r="AK93" t="s">
        <v>82</v>
      </c>
      <c r="AL93" t="s">
        <v>83</v>
      </c>
      <c r="AM93" s="3">
        <v>1.82</v>
      </c>
      <c r="AN93" s="4">
        <v>1734</v>
      </c>
      <c r="AO93" s="1">
        <v>955</v>
      </c>
      <c r="AS93" s="3">
        <v>631897.54</v>
      </c>
      <c r="AT93" s="3">
        <v>1.9</v>
      </c>
      <c r="AU93" s="4">
        <v>914</v>
      </c>
      <c r="AV93" s="6">
        <v>480</v>
      </c>
      <c r="AW93" t="s">
        <v>84</v>
      </c>
      <c r="AY93" s="3">
        <v>1.88</v>
      </c>
      <c r="AZ93" s="4">
        <v>1261</v>
      </c>
      <c r="BA93" s="1">
        <v>670</v>
      </c>
      <c r="BB93" s="1">
        <v>118</v>
      </c>
      <c r="BC93" s="1">
        <v>78</v>
      </c>
    </row>
    <row r="94" spans="1:59" x14ac:dyDescent="0.25">
      <c r="A94" t="s">
        <v>705</v>
      </c>
      <c r="B94" t="s">
        <v>706</v>
      </c>
      <c r="C94" s="1">
        <v>152</v>
      </c>
      <c r="D94" s="1">
        <v>1987</v>
      </c>
      <c r="E94" t="s">
        <v>64</v>
      </c>
      <c r="F94" t="s">
        <v>707</v>
      </c>
      <c r="G94" t="s">
        <v>575</v>
      </c>
      <c r="H94" t="s">
        <v>708</v>
      </c>
      <c r="I94" t="s">
        <v>709</v>
      </c>
      <c r="J94" t="s">
        <v>575</v>
      </c>
      <c r="K94" s="1">
        <v>3</v>
      </c>
      <c r="L94" t="s">
        <v>69</v>
      </c>
      <c r="M94" t="s">
        <v>70</v>
      </c>
      <c r="N94" t="s">
        <v>71</v>
      </c>
      <c r="P94" t="s">
        <v>72</v>
      </c>
      <c r="Q94" t="s">
        <v>710</v>
      </c>
      <c r="R94" t="s">
        <v>74</v>
      </c>
      <c r="S94" t="s">
        <v>711</v>
      </c>
      <c r="T94" s="2">
        <v>862</v>
      </c>
      <c r="U94" s="3">
        <v>1.56</v>
      </c>
      <c r="V94" s="4">
        <v>1343</v>
      </c>
      <c r="AF94" s="5">
        <v>3.2894999999999999</v>
      </c>
      <c r="AH94" s="1">
        <v>2012</v>
      </c>
      <c r="AI94" s="1">
        <v>2</v>
      </c>
      <c r="AJ94" t="s">
        <v>81</v>
      </c>
      <c r="AK94" t="s">
        <v>82</v>
      </c>
      <c r="AL94" t="s">
        <v>83</v>
      </c>
      <c r="AM94" s="3">
        <v>1.54</v>
      </c>
      <c r="AN94" s="4">
        <v>1247</v>
      </c>
      <c r="AO94" s="1">
        <v>810</v>
      </c>
      <c r="AP94" s="3">
        <v>1.63</v>
      </c>
      <c r="AQ94" s="4">
        <v>1798</v>
      </c>
      <c r="AR94" s="1">
        <v>1101</v>
      </c>
      <c r="AS94" s="3">
        <v>282634.15000000002</v>
      </c>
      <c r="AW94" t="s">
        <v>84</v>
      </c>
      <c r="AY94" s="3">
        <v>1.49</v>
      </c>
      <c r="AZ94" s="4">
        <v>1122</v>
      </c>
      <c r="BA94" s="1">
        <v>753</v>
      </c>
      <c r="BB94" s="1">
        <v>24</v>
      </c>
      <c r="BC94" s="1">
        <v>96</v>
      </c>
      <c r="BD94" s="1">
        <v>32</v>
      </c>
      <c r="BF94" t="s">
        <v>712</v>
      </c>
      <c r="BG94" t="s">
        <v>104</v>
      </c>
    </row>
    <row r="95" spans="1:59" x14ac:dyDescent="0.25">
      <c r="A95" t="s">
        <v>713</v>
      </c>
      <c r="B95" t="s">
        <v>714</v>
      </c>
      <c r="C95" s="1">
        <v>86</v>
      </c>
      <c r="D95" s="1">
        <v>1985</v>
      </c>
      <c r="E95" t="s">
        <v>64</v>
      </c>
      <c r="F95" t="s">
        <v>177</v>
      </c>
      <c r="G95" t="s">
        <v>250</v>
      </c>
      <c r="H95" t="s">
        <v>715</v>
      </c>
      <c r="I95" t="s">
        <v>716</v>
      </c>
      <c r="J95" t="s">
        <v>250</v>
      </c>
      <c r="K95" s="1">
        <v>3</v>
      </c>
      <c r="L95" t="s">
        <v>91</v>
      </c>
      <c r="M95" t="s">
        <v>70</v>
      </c>
      <c r="N95" t="s">
        <v>71</v>
      </c>
      <c r="P95" t="s">
        <v>72</v>
      </c>
      <c r="Q95" t="s">
        <v>181</v>
      </c>
      <c r="R95" t="s">
        <v>74</v>
      </c>
      <c r="S95" t="s">
        <v>717</v>
      </c>
      <c r="T95" s="2">
        <v>959</v>
      </c>
      <c r="U95" s="3">
        <v>1.71</v>
      </c>
      <c r="V95" s="4">
        <v>1641</v>
      </c>
      <c r="AF95" s="5">
        <v>5.8140000000000001</v>
      </c>
      <c r="AH95" s="1">
        <v>2000</v>
      </c>
      <c r="AI95" s="1">
        <v>2</v>
      </c>
      <c r="AJ95" t="s">
        <v>81</v>
      </c>
      <c r="AK95" t="s">
        <v>82</v>
      </c>
      <c r="AL95" t="s">
        <v>83</v>
      </c>
      <c r="AM95" s="3">
        <v>1.73</v>
      </c>
      <c r="AN95" s="4">
        <v>1677</v>
      </c>
      <c r="AO95" s="1">
        <v>968</v>
      </c>
      <c r="AP95" s="3">
        <v>1.69</v>
      </c>
      <c r="AQ95" s="4">
        <v>2033</v>
      </c>
      <c r="AR95" s="1">
        <v>1202</v>
      </c>
      <c r="AS95" s="3">
        <v>262832.31</v>
      </c>
      <c r="AW95" t="s">
        <v>84</v>
      </c>
      <c r="AY95" s="3">
        <v>1.7</v>
      </c>
      <c r="AZ95" s="4">
        <v>1359</v>
      </c>
      <c r="BA95" s="1">
        <v>801</v>
      </c>
      <c r="BB95" s="1">
        <v>31</v>
      </c>
      <c r="BC95" s="1">
        <v>36</v>
      </c>
      <c r="BD95" s="1">
        <v>19</v>
      </c>
    </row>
    <row r="96" spans="1:59" x14ac:dyDescent="0.25">
      <c r="A96" t="s">
        <v>718</v>
      </c>
      <c r="B96" t="s">
        <v>719</v>
      </c>
      <c r="C96" s="1">
        <v>210</v>
      </c>
      <c r="D96" s="1">
        <v>1986</v>
      </c>
      <c r="E96" t="s">
        <v>64</v>
      </c>
      <c r="F96" t="s">
        <v>177</v>
      </c>
      <c r="G96" t="s">
        <v>720</v>
      </c>
      <c r="H96" t="s">
        <v>721</v>
      </c>
      <c r="I96" t="s">
        <v>722</v>
      </c>
      <c r="J96" t="s">
        <v>720</v>
      </c>
      <c r="K96" s="1">
        <v>2</v>
      </c>
      <c r="L96" t="s">
        <v>69</v>
      </c>
      <c r="M96" t="s">
        <v>70</v>
      </c>
      <c r="N96" t="s">
        <v>71</v>
      </c>
      <c r="P96" t="s">
        <v>72</v>
      </c>
      <c r="Q96" t="s">
        <v>181</v>
      </c>
      <c r="R96" t="s">
        <v>74</v>
      </c>
      <c r="S96" t="s">
        <v>182</v>
      </c>
      <c r="T96" s="2">
        <v>735</v>
      </c>
      <c r="U96" s="3">
        <v>1.53</v>
      </c>
      <c r="V96" s="4">
        <v>1127</v>
      </c>
      <c r="AF96" s="5">
        <v>8.5714000000000006</v>
      </c>
      <c r="AH96" s="1">
        <v>2014</v>
      </c>
      <c r="AI96" s="1">
        <v>2</v>
      </c>
      <c r="AJ96" t="s">
        <v>81</v>
      </c>
      <c r="AK96" t="s">
        <v>82</v>
      </c>
      <c r="AL96" t="s">
        <v>83</v>
      </c>
      <c r="AW96" t="s">
        <v>84</v>
      </c>
      <c r="AY96" s="3">
        <v>1.53</v>
      </c>
      <c r="AZ96" s="4">
        <v>1127</v>
      </c>
      <c r="BA96" s="1">
        <v>736</v>
      </c>
      <c r="BB96" s="1">
        <v>210</v>
      </c>
      <c r="BF96" t="s">
        <v>462</v>
      </c>
      <c r="BG96" t="s">
        <v>131</v>
      </c>
    </row>
    <row r="97" spans="1:59" x14ac:dyDescent="0.25">
      <c r="A97" t="s">
        <v>723</v>
      </c>
      <c r="B97" t="s">
        <v>724</v>
      </c>
      <c r="C97" s="1">
        <v>461</v>
      </c>
      <c r="D97" s="1">
        <v>1986</v>
      </c>
      <c r="E97" t="s">
        <v>64</v>
      </c>
      <c r="F97" t="s">
        <v>725</v>
      </c>
      <c r="G97" t="s">
        <v>726</v>
      </c>
      <c r="H97" t="s">
        <v>727</v>
      </c>
      <c r="I97" t="s">
        <v>728</v>
      </c>
      <c r="J97" t="s">
        <v>726</v>
      </c>
      <c r="K97" s="1">
        <v>4</v>
      </c>
      <c r="L97" t="s">
        <v>729</v>
      </c>
      <c r="M97" t="s">
        <v>70</v>
      </c>
      <c r="N97" t="s">
        <v>71</v>
      </c>
      <c r="P97" t="s">
        <v>72</v>
      </c>
      <c r="Q97" t="s">
        <v>73</v>
      </c>
      <c r="R97" t="s">
        <v>74</v>
      </c>
      <c r="S97" t="s">
        <v>730</v>
      </c>
      <c r="T97" s="2">
        <v>631</v>
      </c>
      <c r="U97" s="3">
        <v>1.46</v>
      </c>
      <c r="V97" s="4">
        <v>923</v>
      </c>
      <c r="AF97" s="5">
        <v>1.9522999999999999</v>
      </c>
      <c r="AH97" s="1">
        <v>2000</v>
      </c>
      <c r="AI97" s="1">
        <v>3</v>
      </c>
      <c r="AJ97" t="s">
        <v>81</v>
      </c>
      <c r="AK97" t="s">
        <v>82</v>
      </c>
      <c r="AL97" t="s">
        <v>83</v>
      </c>
      <c r="AM97" s="3">
        <v>1.65</v>
      </c>
      <c r="AN97" s="4">
        <v>1607</v>
      </c>
      <c r="AO97" s="1">
        <v>975</v>
      </c>
      <c r="AS97" s="3">
        <v>778610.13</v>
      </c>
      <c r="AT97" s="3">
        <v>1.4</v>
      </c>
      <c r="AU97" s="4">
        <v>700</v>
      </c>
      <c r="AV97" s="6">
        <v>500</v>
      </c>
      <c r="AW97" t="s">
        <v>84</v>
      </c>
      <c r="AY97" s="3">
        <v>1.44</v>
      </c>
      <c r="AZ97" s="4">
        <v>916</v>
      </c>
      <c r="BA97" s="1">
        <v>638</v>
      </c>
      <c r="BB97" s="1">
        <v>275</v>
      </c>
      <c r="BC97" s="1">
        <v>48</v>
      </c>
      <c r="BF97" t="s">
        <v>731</v>
      </c>
      <c r="BG97" t="s">
        <v>104</v>
      </c>
    </row>
    <row r="98" spans="1:59" x14ac:dyDescent="0.25">
      <c r="A98" t="s">
        <v>732</v>
      </c>
      <c r="B98" t="s">
        <v>733</v>
      </c>
      <c r="C98" s="1">
        <v>180</v>
      </c>
      <c r="D98" s="1">
        <v>1990</v>
      </c>
      <c r="E98" t="s">
        <v>64</v>
      </c>
      <c r="F98" t="s">
        <v>734</v>
      </c>
      <c r="G98" t="s">
        <v>735</v>
      </c>
      <c r="H98" t="s">
        <v>736</v>
      </c>
      <c r="I98" t="s">
        <v>737</v>
      </c>
      <c r="J98" t="s">
        <v>735</v>
      </c>
      <c r="K98" s="1">
        <v>2</v>
      </c>
      <c r="L98" t="s">
        <v>69</v>
      </c>
      <c r="M98" t="s">
        <v>70</v>
      </c>
      <c r="N98" t="s">
        <v>71</v>
      </c>
      <c r="P98" t="s">
        <v>72</v>
      </c>
      <c r="Q98" t="s">
        <v>73</v>
      </c>
      <c r="R98" t="s">
        <v>74</v>
      </c>
      <c r="S98" t="s">
        <v>738</v>
      </c>
      <c r="T98" s="2">
        <v>692</v>
      </c>
      <c r="U98" s="3">
        <v>1.52</v>
      </c>
      <c r="V98" s="4">
        <v>1052</v>
      </c>
      <c r="AF98" s="5">
        <v>8.8888999999999996</v>
      </c>
      <c r="AI98" s="1">
        <v>3</v>
      </c>
      <c r="AJ98" t="s">
        <v>81</v>
      </c>
      <c r="AK98" t="s">
        <v>82</v>
      </c>
      <c r="AL98" t="s">
        <v>83</v>
      </c>
      <c r="AM98" s="3">
        <v>1.4</v>
      </c>
      <c r="AN98" s="4">
        <v>1282</v>
      </c>
      <c r="AO98" s="1">
        <v>916</v>
      </c>
      <c r="AS98" s="3">
        <v>243753.38</v>
      </c>
      <c r="AT98" s="3">
        <v>1.82</v>
      </c>
      <c r="AU98" s="4">
        <v>910</v>
      </c>
      <c r="AV98" s="6">
        <v>500</v>
      </c>
      <c r="AW98" t="s">
        <v>84</v>
      </c>
      <c r="AY98" s="3">
        <v>1.54</v>
      </c>
      <c r="AZ98" s="4">
        <v>1019</v>
      </c>
      <c r="BA98" s="1">
        <v>662</v>
      </c>
      <c r="BB98" s="1">
        <v>153</v>
      </c>
      <c r="BC98" s="1">
        <v>24</v>
      </c>
    </row>
    <row r="99" spans="1:59" x14ac:dyDescent="0.25">
      <c r="A99" t="s">
        <v>739</v>
      </c>
      <c r="B99" t="s">
        <v>740</v>
      </c>
      <c r="C99" s="1">
        <v>432</v>
      </c>
      <c r="D99" s="1">
        <v>1986</v>
      </c>
      <c r="E99" t="s">
        <v>64</v>
      </c>
      <c r="F99" t="s">
        <v>97</v>
      </c>
      <c r="G99" t="s">
        <v>741</v>
      </c>
      <c r="H99" t="s">
        <v>742</v>
      </c>
      <c r="I99" t="s">
        <v>741</v>
      </c>
      <c r="J99" t="s">
        <v>741</v>
      </c>
      <c r="K99" s="1">
        <v>3</v>
      </c>
      <c r="L99" t="s">
        <v>69</v>
      </c>
      <c r="M99" t="s">
        <v>70</v>
      </c>
      <c r="N99" t="s">
        <v>71</v>
      </c>
      <c r="P99" t="s">
        <v>72</v>
      </c>
      <c r="Q99" t="s">
        <v>73</v>
      </c>
      <c r="R99" t="s">
        <v>74</v>
      </c>
      <c r="S99" t="s">
        <v>743</v>
      </c>
      <c r="T99" s="2">
        <v>577</v>
      </c>
      <c r="U99" s="3">
        <v>1.41</v>
      </c>
      <c r="V99" s="4">
        <v>813</v>
      </c>
      <c r="AF99" s="5">
        <v>0.46300000000000002</v>
      </c>
      <c r="AI99" s="1">
        <v>3</v>
      </c>
      <c r="AJ99" t="s">
        <v>81</v>
      </c>
      <c r="AK99" t="s">
        <v>82</v>
      </c>
      <c r="AL99" t="s">
        <v>83</v>
      </c>
      <c r="AM99" s="3">
        <v>1.37</v>
      </c>
      <c r="AN99" s="4">
        <v>1090</v>
      </c>
      <c r="AO99" s="1">
        <v>799</v>
      </c>
      <c r="AS99" s="3">
        <v>810564.68</v>
      </c>
      <c r="AW99" t="s">
        <v>84</v>
      </c>
      <c r="AY99" s="3">
        <v>1.42</v>
      </c>
      <c r="AZ99" s="4">
        <v>756</v>
      </c>
      <c r="BA99" s="1">
        <v>533</v>
      </c>
      <c r="BB99" s="1">
        <v>359</v>
      </c>
      <c r="BC99" s="1">
        <v>73</v>
      </c>
      <c r="BG99" t="s">
        <v>744</v>
      </c>
    </row>
    <row r="100" spans="1:59" x14ac:dyDescent="0.25">
      <c r="A100" t="s">
        <v>745</v>
      </c>
      <c r="B100" t="s">
        <v>746</v>
      </c>
      <c r="C100" s="1">
        <v>156</v>
      </c>
      <c r="D100" s="1">
        <v>1985</v>
      </c>
      <c r="E100" t="s">
        <v>64</v>
      </c>
      <c r="F100" t="s">
        <v>97</v>
      </c>
      <c r="G100" t="s">
        <v>747</v>
      </c>
      <c r="H100" t="s">
        <v>748</v>
      </c>
      <c r="I100" t="s">
        <v>749</v>
      </c>
      <c r="J100" t="s">
        <v>747</v>
      </c>
      <c r="K100" s="1">
        <v>3</v>
      </c>
      <c r="L100" t="s">
        <v>91</v>
      </c>
      <c r="M100" t="s">
        <v>70</v>
      </c>
      <c r="N100" t="s">
        <v>71</v>
      </c>
      <c r="P100" t="s">
        <v>72</v>
      </c>
      <c r="Q100" t="s">
        <v>73</v>
      </c>
      <c r="R100" t="s">
        <v>74</v>
      </c>
      <c r="S100" t="s">
        <v>750</v>
      </c>
      <c r="T100" s="2">
        <v>822</v>
      </c>
      <c r="U100" s="3">
        <v>1.21</v>
      </c>
      <c r="V100" s="4">
        <v>994</v>
      </c>
      <c r="AF100" s="5">
        <v>9.6153999999999993</v>
      </c>
      <c r="AI100" s="1">
        <v>3</v>
      </c>
      <c r="AJ100" t="s">
        <v>81</v>
      </c>
      <c r="AK100" t="s">
        <v>82</v>
      </c>
      <c r="AL100" t="s">
        <v>83</v>
      </c>
      <c r="AM100" s="3">
        <v>1.1100000000000001</v>
      </c>
      <c r="AN100" s="4">
        <v>1117</v>
      </c>
      <c r="AO100" s="1">
        <v>1008</v>
      </c>
      <c r="AS100" s="3">
        <v>317273.14</v>
      </c>
      <c r="AW100" t="s">
        <v>84</v>
      </c>
      <c r="AY100" s="3">
        <v>1.27</v>
      </c>
      <c r="AZ100" s="4">
        <v>939</v>
      </c>
      <c r="BA100" s="1">
        <v>741</v>
      </c>
      <c r="BB100" s="1">
        <v>108</v>
      </c>
      <c r="BC100" s="1">
        <v>48</v>
      </c>
    </row>
    <row r="101" spans="1:59" x14ac:dyDescent="0.25">
      <c r="A101" t="s">
        <v>751</v>
      </c>
      <c r="B101" t="s">
        <v>752</v>
      </c>
      <c r="C101" s="1">
        <v>66</v>
      </c>
      <c r="D101" s="1">
        <v>1985</v>
      </c>
      <c r="E101" t="s">
        <v>64</v>
      </c>
      <c r="F101" t="s">
        <v>65</v>
      </c>
      <c r="G101" t="s">
        <v>66</v>
      </c>
      <c r="H101" t="s">
        <v>753</v>
      </c>
      <c r="I101" t="s">
        <v>68</v>
      </c>
      <c r="J101" t="s">
        <v>66</v>
      </c>
      <c r="K101" s="1">
        <v>3</v>
      </c>
      <c r="L101" t="s">
        <v>69</v>
      </c>
      <c r="M101" t="s">
        <v>70</v>
      </c>
      <c r="N101" t="s">
        <v>71</v>
      </c>
      <c r="P101" t="s">
        <v>72</v>
      </c>
      <c r="Q101" t="s">
        <v>73</v>
      </c>
      <c r="R101" t="s">
        <v>74</v>
      </c>
      <c r="S101" t="s">
        <v>75</v>
      </c>
      <c r="T101" s="2">
        <v>515</v>
      </c>
      <c r="U101" s="3">
        <v>2.5</v>
      </c>
      <c r="V101" s="4">
        <v>1286</v>
      </c>
      <c r="AF101" s="5">
        <v>24.2424</v>
      </c>
      <c r="AI101" s="1">
        <v>3</v>
      </c>
      <c r="AJ101" t="s">
        <v>81</v>
      </c>
      <c r="AK101" t="s">
        <v>82</v>
      </c>
      <c r="AL101" t="s">
        <v>83</v>
      </c>
      <c r="AS101" s="3">
        <v>161695.93</v>
      </c>
      <c r="AW101" t="s">
        <v>84</v>
      </c>
      <c r="AY101" s="3">
        <v>2.5</v>
      </c>
      <c r="AZ101" s="4">
        <v>1286</v>
      </c>
      <c r="BA101" s="1">
        <v>515</v>
      </c>
      <c r="BB101" s="1">
        <v>66</v>
      </c>
    </row>
    <row r="102" spans="1:59" x14ac:dyDescent="0.25">
      <c r="A102" t="s">
        <v>754</v>
      </c>
      <c r="B102" t="s">
        <v>755</v>
      </c>
      <c r="C102" s="1">
        <v>326</v>
      </c>
      <c r="D102" s="1">
        <v>1986</v>
      </c>
      <c r="E102" t="s">
        <v>64</v>
      </c>
      <c r="F102" t="s">
        <v>756</v>
      </c>
      <c r="G102" t="s">
        <v>757</v>
      </c>
      <c r="H102" t="s">
        <v>758</v>
      </c>
      <c r="I102" t="s">
        <v>759</v>
      </c>
      <c r="J102" t="s">
        <v>757</v>
      </c>
      <c r="K102" s="1">
        <v>3</v>
      </c>
      <c r="L102" t="s">
        <v>91</v>
      </c>
      <c r="M102" t="s">
        <v>70</v>
      </c>
      <c r="N102" t="s">
        <v>71</v>
      </c>
      <c r="P102" t="s">
        <v>72</v>
      </c>
      <c r="Q102" t="s">
        <v>73</v>
      </c>
      <c r="R102" t="s">
        <v>74</v>
      </c>
      <c r="S102" t="s">
        <v>760</v>
      </c>
      <c r="T102" s="2">
        <v>798</v>
      </c>
      <c r="U102" s="3">
        <v>2.0499999999999998</v>
      </c>
      <c r="V102" s="4">
        <v>1642</v>
      </c>
      <c r="AF102" s="5">
        <v>7.3620000000000001</v>
      </c>
      <c r="AI102" s="1">
        <v>3</v>
      </c>
      <c r="AJ102" t="s">
        <v>81</v>
      </c>
      <c r="AK102" t="s">
        <v>82</v>
      </c>
      <c r="AL102" t="s">
        <v>83</v>
      </c>
      <c r="AM102" s="3">
        <v>1.97</v>
      </c>
      <c r="AN102" s="4">
        <v>1922</v>
      </c>
      <c r="AO102" s="1">
        <v>977</v>
      </c>
      <c r="AS102" s="3">
        <v>1206916.2</v>
      </c>
      <c r="AW102" t="s">
        <v>84</v>
      </c>
      <c r="AY102" s="3">
        <v>2.11</v>
      </c>
      <c r="AZ102" s="4">
        <v>1516</v>
      </c>
      <c r="BA102" s="1">
        <v>719</v>
      </c>
      <c r="BB102" s="1">
        <v>225</v>
      </c>
      <c r="BC102" s="1">
        <v>101</v>
      </c>
      <c r="BG102" t="s">
        <v>131</v>
      </c>
    </row>
    <row r="103" spans="1:59" x14ac:dyDescent="0.25">
      <c r="A103" t="s">
        <v>761</v>
      </c>
      <c r="B103" t="s">
        <v>762</v>
      </c>
      <c r="C103" s="1">
        <v>256</v>
      </c>
      <c r="D103" s="1">
        <v>1985</v>
      </c>
      <c r="E103" t="s">
        <v>64</v>
      </c>
      <c r="F103" t="s">
        <v>308</v>
      </c>
      <c r="G103" t="s">
        <v>763</v>
      </c>
      <c r="H103" t="s">
        <v>764</v>
      </c>
      <c r="I103" t="s">
        <v>765</v>
      </c>
      <c r="J103" t="s">
        <v>763</v>
      </c>
      <c r="K103" s="1">
        <v>3</v>
      </c>
      <c r="L103" t="s">
        <v>91</v>
      </c>
      <c r="M103" t="s">
        <v>70</v>
      </c>
      <c r="N103" t="s">
        <v>71</v>
      </c>
      <c r="P103" t="s">
        <v>72</v>
      </c>
      <c r="Q103" t="s">
        <v>393</v>
      </c>
      <c r="R103" t="s">
        <v>74</v>
      </c>
      <c r="S103" t="s">
        <v>766</v>
      </c>
      <c r="T103" s="2">
        <v>893</v>
      </c>
      <c r="U103" s="3">
        <v>1.31</v>
      </c>
      <c r="V103" s="4">
        <v>1168</v>
      </c>
      <c r="AF103" s="5">
        <v>12.109400000000001</v>
      </c>
      <c r="AI103" s="1">
        <v>2</v>
      </c>
      <c r="AJ103" t="s">
        <v>81</v>
      </c>
      <c r="AK103" t="s">
        <v>82</v>
      </c>
      <c r="AL103" t="s">
        <v>83</v>
      </c>
      <c r="AM103" s="3">
        <v>1.2</v>
      </c>
      <c r="AN103" s="4">
        <v>1243</v>
      </c>
      <c r="AO103" s="1">
        <v>1039</v>
      </c>
      <c r="AS103" s="3">
        <v>839778</v>
      </c>
      <c r="AW103" t="s">
        <v>84</v>
      </c>
      <c r="AY103" s="3">
        <v>1.46</v>
      </c>
      <c r="AZ103" s="4">
        <v>1093</v>
      </c>
      <c r="BA103" s="1">
        <v>748</v>
      </c>
      <c r="BB103" s="1">
        <v>128</v>
      </c>
      <c r="BC103" s="1">
        <v>128</v>
      </c>
      <c r="BF103" t="s">
        <v>767</v>
      </c>
      <c r="BG103" t="s">
        <v>131</v>
      </c>
    </row>
    <row r="104" spans="1:59" x14ac:dyDescent="0.25">
      <c r="A104" t="s">
        <v>768</v>
      </c>
      <c r="B104" t="s">
        <v>769</v>
      </c>
      <c r="C104" s="1">
        <v>126</v>
      </c>
      <c r="D104" s="1">
        <v>1985</v>
      </c>
      <c r="E104" t="s">
        <v>64</v>
      </c>
      <c r="F104" t="s">
        <v>198</v>
      </c>
      <c r="G104" t="s">
        <v>770</v>
      </c>
      <c r="H104" t="s">
        <v>771</v>
      </c>
      <c r="I104" t="s">
        <v>772</v>
      </c>
      <c r="J104" t="s">
        <v>770</v>
      </c>
      <c r="K104" s="1">
        <v>3</v>
      </c>
      <c r="L104" t="s">
        <v>69</v>
      </c>
      <c r="M104" t="s">
        <v>70</v>
      </c>
      <c r="N104" t="s">
        <v>71</v>
      </c>
      <c r="P104" t="s">
        <v>72</v>
      </c>
      <c r="Q104" t="s">
        <v>110</v>
      </c>
      <c r="R104" t="s">
        <v>74</v>
      </c>
      <c r="S104" t="s">
        <v>773</v>
      </c>
      <c r="T104" s="2">
        <v>948</v>
      </c>
      <c r="U104" s="3">
        <v>1.62</v>
      </c>
      <c r="V104" s="4">
        <v>1534</v>
      </c>
      <c r="AI104" s="1">
        <v>2</v>
      </c>
      <c r="AJ104" t="s">
        <v>81</v>
      </c>
      <c r="AK104" t="s">
        <v>82</v>
      </c>
      <c r="AL104" t="s">
        <v>83</v>
      </c>
      <c r="AM104" s="3">
        <v>1.55</v>
      </c>
      <c r="AN104" s="4">
        <v>1603</v>
      </c>
      <c r="AO104" s="1">
        <v>1035</v>
      </c>
      <c r="AS104" s="3">
        <v>383569.29</v>
      </c>
      <c r="AW104" t="s">
        <v>84</v>
      </c>
      <c r="AY104" s="3">
        <v>1.84</v>
      </c>
      <c r="AZ104" s="4">
        <v>1376</v>
      </c>
      <c r="BA104" s="1">
        <v>750</v>
      </c>
      <c r="BB104" s="1">
        <v>38</v>
      </c>
      <c r="BC104" s="1">
        <v>88</v>
      </c>
      <c r="BF104" t="s">
        <v>774</v>
      </c>
      <c r="BG104" t="s">
        <v>104</v>
      </c>
    </row>
    <row r="105" spans="1:59" x14ac:dyDescent="0.25">
      <c r="A105" t="s">
        <v>775</v>
      </c>
      <c r="B105" t="s">
        <v>776</v>
      </c>
      <c r="C105" s="1">
        <v>168</v>
      </c>
      <c r="D105" s="1">
        <v>1985</v>
      </c>
      <c r="E105" t="s">
        <v>64</v>
      </c>
      <c r="F105" t="s">
        <v>148</v>
      </c>
      <c r="G105" t="s">
        <v>777</v>
      </c>
      <c r="H105" t="s">
        <v>778</v>
      </c>
      <c r="I105" t="s">
        <v>779</v>
      </c>
      <c r="J105" t="s">
        <v>777</v>
      </c>
      <c r="K105" s="1">
        <v>3</v>
      </c>
      <c r="L105" t="s">
        <v>91</v>
      </c>
      <c r="M105" t="s">
        <v>70</v>
      </c>
      <c r="N105" t="s">
        <v>71</v>
      </c>
      <c r="P105" t="s">
        <v>72</v>
      </c>
      <c r="Q105" t="s">
        <v>152</v>
      </c>
      <c r="R105" t="s">
        <v>74</v>
      </c>
      <c r="S105" t="s">
        <v>780</v>
      </c>
      <c r="T105" s="2">
        <v>933</v>
      </c>
      <c r="U105" s="3">
        <v>1.21</v>
      </c>
      <c r="V105" s="4">
        <v>1130</v>
      </c>
      <c r="AF105" s="5">
        <v>25.595199999999998</v>
      </c>
      <c r="AH105" s="1">
        <v>2009</v>
      </c>
      <c r="AI105" s="1">
        <v>2</v>
      </c>
      <c r="AJ105" t="s">
        <v>81</v>
      </c>
      <c r="AK105" t="s">
        <v>82</v>
      </c>
      <c r="AL105" t="s">
        <v>83</v>
      </c>
      <c r="AM105" s="3">
        <v>1.18</v>
      </c>
      <c r="AN105" s="4">
        <v>1158</v>
      </c>
      <c r="AO105" s="1">
        <v>979</v>
      </c>
      <c r="AS105" s="3">
        <v>0</v>
      </c>
      <c r="AW105" t="s">
        <v>84</v>
      </c>
      <c r="AY105" s="3">
        <v>1.46</v>
      </c>
      <c r="AZ105" s="4">
        <v>965</v>
      </c>
      <c r="BA105" s="1">
        <v>660</v>
      </c>
      <c r="BB105" s="1">
        <v>24</v>
      </c>
      <c r="BC105" s="1">
        <v>144</v>
      </c>
      <c r="BF105" t="s">
        <v>781</v>
      </c>
      <c r="BG105" t="s">
        <v>131</v>
      </c>
    </row>
    <row r="106" spans="1:59" x14ac:dyDescent="0.25">
      <c r="A106" t="s">
        <v>782</v>
      </c>
      <c r="B106" t="s">
        <v>783</v>
      </c>
      <c r="C106" s="1">
        <v>252</v>
      </c>
      <c r="D106" s="1">
        <v>1986</v>
      </c>
      <c r="E106" t="s">
        <v>64</v>
      </c>
      <c r="F106" t="s">
        <v>156</v>
      </c>
      <c r="G106" t="s">
        <v>784</v>
      </c>
      <c r="H106" t="s">
        <v>785</v>
      </c>
      <c r="I106" t="s">
        <v>786</v>
      </c>
      <c r="J106" t="s">
        <v>784</v>
      </c>
      <c r="K106" s="1">
        <v>3</v>
      </c>
      <c r="L106" t="s">
        <v>91</v>
      </c>
      <c r="M106" t="s">
        <v>70</v>
      </c>
      <c r="N106" t="s">
        <v>71</v>
      </c>
      <c r="P106" t="s">
        <v>72</v>
      </c>
      <c r="Q106" t="s">
        <v>73</v>
      </c>
      <c r="R106" t="s">
        <v>74</v>
      </c>
      <c r="S106" t="s">
        <v>787</v>
      </c>
      <c r="T106" s="2">
        <v>739</v>
      </c>
      <c r="U106" s="3">
        <v>1.67</v>
      </c>
      <c r="V106" s="4">
        <v>1232</v>
      </c>
      <c r="AF106" s="5">
        <v>13.492100000000001</v>
      </c>
      <c r="AH106" s="1">
        <v>2010</v>
      </c>
      <c r="AI106" s="1">
        <v>3</v>
      </c>
      <c r="AJ106" t="s">
        <v>81</v>
      </c>
      <c r="AK106" t="s">
        <v>82</v>
      </c>
      <c r="AL106" t="s">
        <v>83</v>
      </c>
      <c r="AM106" s="3">
        <v>1.57</v>
      </c>
      <c r="AN106" s="4">
        <v>1403</v>
      </c>
      <c r="AO106" s="1">
        <v>894</v>
      </c>
      <c r="AP106" s="3">
        <v>1.81</v>
      </c>
      <c r="AQ106" s="4">
        <v>1886</v>
      </c>
      <c r="AR106" s="1">
        <v>1041</v>
      </c>
      <c r="AS106" s="3">
        <v>690847.77</v>
      </c>
      <c r="AW106" t="s">
        <v>84</v>
      </c>
      <c r="AY106" s="3">
        <v>1.72</v>
      </c>
      <c r="AZ106" s="4">
        <v>1012</v>
      </c>
      <c r="BA106" s="1">
        <v>590</v>
      </c>
      <c r="BB106" s="1">
        <v>140</v>
      </c>
      <c r="BC106" s="1">
        <v>88</v>
      </c>
      <c r="BD106" s="1">
        <v>24</v>
      </c>
    </row>
    <row r="107" spans="1:59" x14ac:dyDescent="0.25">
      <c r="A107" t="s">
        <v>788</v>
      </c>
      <c r="B107" t="s">
        <v>789</v>
      </c>
      <c r="C107" s="1">
        <v>293</v>
      </c>
      <c r="D107" s="1">
        <v>1987</v>
      </c>
      <c r="E107" t="s">
        <v>64</v>
      </c>
      <c r="F107" t="s">
        <v>156</v>
      </c>
      <c r="G107" t="s">
        <v>790</v>
      </c>
      <c r="H107" t="s">
        <v>791</v>
      </c>
      <c r="I107" t="s">
        <v>792</v>
      </c>
      <c r="J107" t="s">
        <v>790</v>
      </c>
      <c r="K107" s="1">
        <v>4</v>
      </c>
      <c r="L107" t="s">
        <v>91</v>
      </c>
      <c r="M107" t="s">
        <v>70</v>
      </c>
      <c r="N107" t="s">
        <v>71</v>
      </c>
      <c r="P107" t="s">
        <v>72</v>
      </c>
      <c r="Q107" t="s">
        <v>73</v>
      </c>
      <c r="R107" t="s">
        <v>74</v>
      </c>
      <c r="S107" t="s">
        <v>342</v>
      </c>
      <c r="T107" s="2">
        <v>620</v>
      </c>
      <c r="U107" s="3">
        <v>2.0499999999999998</v>
      </c>
      <c r="V107" s="4">
        <v>1269</v>
      </c>
      <c r="AF107" s="5">
        <v>7.5084999999999997</v>
      </c>
      <c r="AH107" s="1">
        <v>2019</v>
      </c>
      <c r="AI107" s="1">
        <v>3</v>
      </c>
      <c r="AJ107" t="s">
        <v>81</v>
      </c>
      <c r="AK107" t="s">
        <v>82</v>
      </c>
      <c r="AL107" t="s">
        <v>83</v>
      </c>
      <c r="AM107" s="3">
        <v>1.83</v>
      </c>
      <c r="AN107" s="4">
        <v>1518</v>
      </c>
      <c r="AO107" s="1">
        <v>830</v>
      </c>
      <c r="AS107" s="3">
        <v>521762.17</v>
      </c>
      <c r="AW107" t="s">
        <v>84</v>
      </c>
      <c r="AY107" s="3">
        <v>2.15</v>
      </c>
      <c r="AZ107" s="4">
        <v>1188</v>
      </c>
      <c r="BA107" s="1">
        <v>552</v>
      </c>
      <c r="BB107" s="1">
        <v>221</v>
      </c>
      <c r="BC107" s="1">
        <v>72</v>
      </c>
    </row>
    <row r="108" spans="1:59" x14ac:dyDescent="0.25">
      <c r="A108" t="s">
        <v>793</v>
      </c>
      <c r="B108" t="s">
        <v>794</v>
      </c>
      <c r="C108" s="1">
        <v>250</v>
      </c>
      <c r="D108" s="1">
        <v>1986</v>
      </c>
      <c r="E108" t="s">
        <v>64</v>
      </c>
      <c r="F108" t="s">
        <v>660</v>
      </c>
      <c r="G108" t="s">
        <v>540</v>
      </c>
      <c r="H108" t="s">
        <v>795</v>
      </c>
      <c r="I108" t="s">
        <v>796</v>
      </c>
      <c r="J108" t="s">
        <v>540</v>
      </c>
      <c r="K108" s="1">
        <v>3</v>
      </c>
      <c r="L108" t="s">
        <v>69</v>
      </c>
      <c r="M108" t="s">
        <v>70</v>
      </c>
      <c r="N108" t="s">
        <v>71</v>
      </c>
      <c r="P108" t="s">
        <v>72</v>
      </c>
      <c r="Q108" t="s">
        <v>664</v>
      </c>
      <c r="R108" t="s">
        <v>74</v>
      </c>
      <c r="S108" t="s">
        <v>797</v>
      </c>
      <c r="T108" s="2">
        <v>772</v>
      </c>
      <c r="U108" s="3">
        <v>1.53</v>
      </c>
      <c r="V108" s="4">
        <v>1183</v>
      </c>
      <c r="AF108" s="5">
        <v>9.6</v>
      </c>
      <c r="AI108" s="1">
        <v>2</v>
      </c>
      <c r="AJ108" t="s">
        <v>81</v>
      </c>
      <c r="AK108" t="s">
        <v>82</v>
      </c>
      <c r="AL108" t="s">
        <v>83</v>
      </c>
      <c r="AM108" s="3">
        <v>1.29</v>
      </c>
      <c r="AN108" s="4">
        <v>1278</v>
      </c>
      <c r="AO108" s="1">
        <v>992</v>
      </c>
      <c r="AS108" s="3">
        <v>522520.23</v>
      </c>
      <c r="AW108" t="s">
        <v>84</v>
      </c>
      <c r="AY108" s="3">
        <v>1.81</v>
      </c>
      <c r="AZ108" s="4">
        <v>1115</v>
      </c>
      <c r="BA108" s="1">
        <v>615</v>
      </c>
      <c r="BB108" s="1">
        <v>146</v>
      </c>
      <c r="BC108" s="1">
        <v>104</v>
      </c>
    </row>
    <row r="109" spans="1:59" x14ac:dyDescent="0.25">
      <c r="A109" t="s">
        <v>798</v>
      </c>
      <c r="B109" t="s">
        <v>799</v>
      </c>
      <c r="C109" s="1">
        <v>450</v>
      </c>
      <c r="D109" s="1">
        <v>1986</v>
      </c>
      <c r="E109" t="s">
        <v>64</v>
      </c>
      <c r="F109" t="s">
        <v>800</v>
      </c>
      <c r="G109" t="s">
        <v>801</v>
      </c>
      <c r="H109" t="s">
        <v>802</v>
      </c>
      <c r="J109" t="s">
        <v>801</v>
      </c>
      <c r="K109" s="1">
        <v>3</v>
      </c>
      <c r="L109" t="s">
        <v>91</v>
      </c>
      <c r="M109" t="s">
        <v>70</v>
      </c>
      <c r="N109" t="s">
        <v>71</v>
      </c>
      <c r="P109" t="s">
        <v>72</v>
      </c>
      <c r="Q109" t="s">
        <v>800</v>
      </c>
      <c r="R109" t="s">
        <v>74</v>
      </c>
      <c r="S109" t="s">
        <v>803</v>
      </c>
      <c r="T109" s="2">
        <v>860</v>
      </c>
      <c r="U109" s="3">
        <v>1.72</v>
      </c>
      <c r="V109" s="4">
        <v>1481</v>
      </c>
      <c r="AF109" s="5">
        <v>3.3332999999999999</v>
      </c>
      <c r="AI109" s="1">
        <v>2</v>
      </c>
      <c r="AJ109" t="s">
        <v>81</v>
      </c>
      <c r="AK109" t="s">
        <v>82</v>
      </c>
      <c r="AL109" t="s">
        <v>83</v>
      </c>
      <c r="AM109" s="3">
        <v>1.63</v>
      </c>
      <c r="AN109" s="4">
        <v>1589</v>
      </c>
      <c r="AO109" s="1">
        <v>975</v>
      </c>
      <c r="AP109" s="3">
        <v>1.68</v>
      </c>
      <c r="AQ109" s="4">
        <v>2119</v>
      </c>
      <c r="AR109" s="1">
        <v>1264</v>
      </c>
      <c r="AS109" s="3">
        <v>409455.72</v>
      </c>
      <c r="AT109" s="3">
        <v>1.77</v>
      </c>
      <c r="AU109" s="4">
        <v>1171</v>
      </c>
      <c r="AV109" s="6">
        <v>663</v>
      </c>
      <c r="AW109" t="s">
        <v>84</v>
      </c>
      <c r="AY109" s="3">
        <v>1.8</v>
      </c>
      <c r="AZ109" s="4">
        <v>1401</v>
      </c>
      <c r="BA109" s="1">
        <v>779</v>
      </c>
      <c r="BB109" s="1">
        <v>242</v>
      </c>
      <c r="BC109" s="1">
        <v>164</v>
      </c>
      <c r="BD109" s="1">
        <v>16</v>
      </c>
      <c r="BF109" t="s">
        <v>804</v>
      </c>
      <c r="BG109" t="s">
        <v>94</v>
      </c>
    </row>
    <row r="110" spans="1:59" x14ac:dyDescent="0.25">
      <c r="A110" t="s">
        <v>805</v>
      </c>
      <c r="B110" t="s">
        <v>806</v>
      </c>
      <c r="C110" s="1">
        <v>538</v>
      </c>
      <c r="D110" s="1">
        <v>1985</v>
      </c>
      <c r="E110" t="s">
        <v>64</v>
      </c>
      <c r="F110" t="s">
        <v>198</v>
      </c>
      <c r="G110" t="s">
        <v>807</v>
      </c>
      <c r="H110" t="s">
        <v>808</v>
      </c>
      <c r="I110" t="s">
        <v>809</v>
      </c>
      <c r="J110" t="s">
        <v>807</v>
      </c>
      <c r="K110" s="1">
        <v>3</v>
      </c>
      <c r="L110" t="s">
        <v>91</v>
      </c>
      <c r="M110" t="s">
        <v>70</v>
      </c>
      <c r="N110" t="s">
        <v>71</v>
      </c>
      <c r="P110" t="s">
        <v>72</v>
      </c>
      <c r="Q110" t="s">
        <v>110</v>
      </c>
      <c r="R110" t="s">
        <v>74</v>
      </c>
      <c r="S110" t="s">
        <v>810</v>
      </c>
      <c r="T110" s="2">
        <v>732</v>
      </c>
      <c r="U110" s="3">
        <v>1.66</v>
      </c>
      <c r="V110" s="4">
        <v>1216</v>
      </c>
      <c r="AF110" s="5">
        <v>14.498100000000001</v>
      </c>
      <c r="AH110" s="1">
        <v>1992</v>
      </c>
      <c r="AI110" s="1">
        <v>2</v>
      </c>
      <c r="AJ110" t="s">
        <v>81</v>
      </c>
      <c r="AK110" t="s">
        <v>82</v>
      </c>
      <c r="AL110" t="s">
        <v>83</v>
      </c>
      <c r="AM110" s="3">
        <v>1.57</v>
      </c>
      <c r="AN110" s="4">
        <v>1415</v>
      </c>
      <c r="AO110" s="1">
        <v>902</v>
      </c>
      <c r="AS110" s="3">
        <v>1612958.05</v>
      </c>
      <c r="AT110" s="3">
        <v>1.96</v>
      </c>
      <c r="AU110" s="4">
        <v>987</v>
      </c>
      <c r="AV110" s="6">
        <v>503</v>
      </c>
      <c r="AW110" t="s">
        <v>84</v>
      </c>
      <c r="AY110" s="3">
        <v>1.68</v>
      </c>
      <c r="AZ110" s="4">
        <v>1094</v>
      </c>
      <c r="BA110" s="1">
        <v>650</v>
      </c>
      <c r="BB110" s="1">
        <v>190</v>
      </c>
      <c r="BC110" s="1">
        <v>240</v>
      </c>
      <c r="BF110" t="s">
        <v>811</v>
      </c>
      <c r="BG110" t="s">
        <v>104</v>
      </c>
    </row>
    <row r="111" spans="1:59" x14ac:dyDescent="0.25">
      <c r="A111" t="s">
        <v>812</v>
      </c>
      <c r="B111" t="s">
        <v>813</v>
      </c>
      <c r="C111" s="1">
        <v>60</v>
      </c>
      <c r="D111" s="1">
        <v>1985</v>
      </c>
      <c r="E111" t="s">
        <v>64</v>
      </c>
      <c r="F111" t="s">
        <v>814</v>
      </c>
      <c r="G111" t="s">
        <v>815</v>
      </c>
      <c r="I111" t="s">
        <v>815</v>
      </c>
      <c r="K111" s="1">
        <v>3</v>
      </c>
      <c r="L111" t="s">
        <v>91</v>
      </c>
      <c r="M111" t="s">
        <v>70</v>
      </c>
      <c r="N111" t="s">
        <v>71</v>
      </c>
      <c r="P111" t="s">
        <v>72</v>
      </c>
      <c r="Q111" t="s">
        <v>814</v>
      </c>
      <c r="R111" t="s">
        <v>74</v>
      </c>
      <c r="S111" t="s">
        <v>816</v>
      </c>
      <c r="AI111" s="1">
        <v>1</v>
      </c>
      <c r="AJ111" t="s">
        <v>81</v>
      </c>
      <c r="AK111" t="s">
        <v>82</v>
      </c>
      <c r="AL111" t="s">
        <v>83</v>
      </c>
      <c r="AS111" s="3">
        <v>16563.57</v>
      </c>
      <c r="AW111" t="s">
        <v>84</v>
      </c>
    </row>
    <row r="112" spans="1:59" x14ac:dyDescent="0.25">
      <c r="A112" t="s">
        <v>817</v>
      </c>
      <c r="B112" t="s">
        <v>818</v>
      </c>
      <c r="C112" s="1">
        <v>168</v>
      </c>
      <c r="D112" s="1">
        <v>1986</v>
      </c>
      <c r="E112" t="s">
        <v>64</v>
      </c>
      <c r="F112" t="s">
        <v>177</v>
      </c>
      <c r="G112" t="s">
        <v>575</v>
      </c>
      <c r="H112" t="s">
        <v>819</v>
      </c>
      <c r="I112" t="s">
        <v>820</v>
      </c>
      <c r="J112" t="s">
        <v>575</v>
      </c>
      <c r="K112" s="1">
        <v>3</v>
      </c>
      <c r="L112" t="s">
        <v>91</v>
      </c>
      <c r="M112" t="s">
        <v>70</v>
      </c>
      <c r="N112" t="s">
        <v>71</v>
      </c>
      <c r="P112" t="s">
        <v>72</v>
      </c>
      <c r="Q112" t="s">
        <v>181</v>
      </c>
      <c r="R112" t="s">
        <v>74</v>
      </c>
      <c r="S112" t="s">
        <v>182</v>
      </c>
      <c r="T112" s="2">
        <v>739</v>
      </c>
      <c r="U112" s="3">
        <v>1.7</v>
      </c>
      <c r="V112" s="4">
        <v>1260</v>
      </c>
      <c r="AF112" s="5">
        <v>7.1429</v>
      </c>
      <c r="AH112" s="1">
        <v>2008</v>
      </c>
      <c r="AI112" s="1">
        <v>2</v>
      </c>
      <c r="AJ112" t="s">
        <v>81</v>
      </c>
      <c r="AK112" t="s">
        <v>82</v>
      </c>
      <c r="AL112" t="s">
        <v>83</v>
      </c>
      <c r="AM112" s="3">
        <v>1.6</v>
      </c>
      <c r="AN112" s="4">
        <v>1600</v>
      </c>
      <c r="AO112" s="1">
        <v>1000</v>
      </c>
      <c r="AP112" s="3">
        <v>1.51</v>
      </c>
      <c r="AQ112" s="4">
        <v>1890</v>
      </c>
      <c r="AR112" s="1">
        <v>1250</v>
      </c>
      <c r="AS112" s="3">
        <v>391328.11</v>
      </c>
      <c r="AT112" s="3">
        <v>1.99</v>
      </c>
      <c r="AU112" s="4">
        <v>1097</v>
      </c>
      <c r="AV112" s="6">
        <v>550</v>
      </c>
      <c r="AW112" t="s">
        <v>84</v>
      </c>
      <c r="AY112" s="3">
        <v>1.66</v>
      </c>
      <c r="AZ112" s="4">
        <v>1215</v>
      </c>
      <c r="BA112" s="1">
        <v>732</v>
      </c>
      <c r="BB112" s="1">
        <v>97</v>
      </c>
      <c r="BC112" s="1">
        <v>30</v>
      </c>
      <c r="BD112" s="1">
        <v>1</v>
      </c>
      <c r="BF112" t="s">
        <v>712</v>
      </c>
      <c r="BG112" t="s">
        <v>104</v>
      </c>
    </row>
    <row r="113" spans="1:59" x14ac:dyDescent="0.25">
      <c r="A113" t="s">
        <v>821</v>
      </c>
      <c r="B113" t="s">
        <v>822</v>
      </c>
      <c r="C113" s="1">
        <v>153</v>
      </c>
      <c r="D113" s="1">
        <v>1985</v>
      </c>
      <c r="E113" t="s">
        <v>64</v>
      </c>
      <c r="F113" t="s">
        <v>177</v>
      </c>
      <c r="G113" t="s">
        <v>823</v>
      </c>
      <c r="H113" t="s">
        <v>824</v>
      </c>
      <c r="I113" t="s">
        <v>825</v>
      </c>
      <c r="J113" t="s">
        <v>823</v>
      </c>
      <c r="K113" s="1">
        <v>3</v>
      </c>
      <c r="L113" t="s">
        <v>69</v>
      </c>
      <c r="M113" t="s">
        <v>70</v>
      </c>
      <c r="N113" t="s">
        <v>71</v>
      </c>
      <c r="P113" t="s">
        <v>72</v>
      </c>
      <c r="Q113" t="s">
        <v>181</v>
      </c>
      <c r="R113" t="s">
        <v>74</v>
      </c>
      <c r="S113" t="s">
        <v>182</v>
      </c>
      <c r="T113" s="2">
        <v>923</v>
      </c>
      <c r="U113" s="3">
        <v>1.4</v>
      </c>
      <c r="V113" s="4">
        <v>1291</v>
      </c>
      <c r="AF113" s="5">
        <v>7.1894999999999998</v>
      </c>
      <c r="AI113" s="1">
        <v>2</v>
      </c>
      <c r="AJ113" t="s">
        <v>81</v>
      </c>
      <c r="AK113" t="s">
        <v>82</v>
      </c>
      <c r="AL113" t="s">
        <v>83</v>
      </c>
      <c r="AM113" s="3">
        <v>1.36</v>
      </c>
      <c r="AN113" s="4">
        <v>1433</v>
      </c>
      <c r="AO113" s="1">
        <v>1055</v>
      </c>
      <c r="AP113" s="3">
        <v>1.05</v>
      </c>
      <c r="AQ113" s="4">
        <v>1531</v>
      </c>
      <c r="AR113" s="1">
        <v>1458</v>
      </c>
      <c r="AW113" t="s">
        <v>84</v>
      </c>
      <c r="AY113" s="3">
        <v>1.48</v>
      </c>
      <c r="AZ113" s="4">
        <v>1125</v>
      </c>
      <c r="BA113" s="1">
        <v>759</v>
      </c>
      <c r="BB113" s="1">
        <v>71</v>
      </c>
      <c r="BC113" s="1">
        <v>80</v>
      </c>
      <c r="BD113" s="1">
        <v>2</v>
      </c>
    </row>
    <row r="114" spans="1:59" x14ac:dyDescent="0.25">
      <c r="A114" t="s">
        <v>826</v>
      </c>
      <c r="B114" t="s">
        <v>827</v>
      </c>
      <c r="C114" s="1">
        <v>590</v>
      </c>
      <c r="D114" s="1">
        <v>1986</v>
      </c>
      <c r="E114" t="s">
        <v>64</v>
      </c>
      <c r="F114" t="s">
        <v>734</v>
      </c>
      <c r="G114" t="s">
        <v>478</v>
      </c>
      <c r="H114" t="s">
        <v>828</v>
      </c>
      <c r="J114" t="s">
        <v>478</v>
      </c>
      <c r="K114" s="1">
        <v>4</v>
      </c>
      <c r="L114" t="s">
        <v>91</v>
      </c>
      <c r="M114" t="s">
        <v>70</v>
      </c>
      <c r="N114" t="s">
        <v>71</v>
      </c>
      <c r="P114" t="s">
        <v>72</v>
      </c>
      <c r="Q114" t="s">
        <v>73</v>
      </c>
      <c r="R114" t="s">
        <v>74</v>
      </c>
      <c r="S114" t="s">
        <v>730</v>
      </c>
      <c r="T114" s="2">
        <v>879</v>
      </c>
      <c r="U114" s="3">
        <v>1.52</v>
      </c>
      <c r="V114" s="4">
        <v>1340</v>
      </c>
      <c r="AF114" s="5">
        <v>30.678000000000001</v>
      </c>
      <c r="AH114" s="1">
        <v>2013</v>
      </c>
      <c r="AI114" s="1">
        <v>3</v>
      </c>
      <c r="AJ114" t="s">
        <v>81</v>
      </c>
      <c r="AK114" t="s">
        <v>82</v>
      </c>
      <c r="AL114" t="s">
        <v>83</v>
      </c>
      <c r="AM114" s="3">
        <v>1.43</v>
      </c>
      <c r="AN114" s="4">
        <v>1649</v>
      </c>
      <c r="AO114" s="1">
        <v>1153</v>
      </c>
      <c r="AS114" s="3">
        <v>1378239.1</v>
      </c>
      <c r="AW114" t="s">
        <v>84</v>
      </c>
      <c r="AY114" s="3">
        <v>1.58</v>
      </c>
      <c r="AZ114" s="4">
        <v>1210</v>
      </c>
      <c r="BA114" s="1">
        <v>765</v>
      </c>
      <c r="BB114" s="1">
        <v>415</v>
      </c>
      <c r="BC114" s="1">
        <v>175</v>
      </c>
      <c r="BG114" t="s">
        <v>131</v>
      </c>
    </row>
    <row r="115" spans="1:59" x14ac:dyDescent="0.25">
      <c r="A115" t="s">
        <v>829</v>
      </c>
      <c r="B115" t="s">
        <v>830</v>
      </c>
      <c r="C115" s="1">
        <v>57</v>
      </c>
      <c r="D115" s="1">
        <v>1986</v>
      </c>
      <c r="E115" t="s">
        <v>64</v>
      </c>
      <c r="F115" t="s">
        <v>338</v>
      </c>
      <c r="G115" t="s">
        <v>831</v>
      </c>
      <c r="H115" t="s">
        <v>832</v>
      </c>
      <c r="I115" t="s">
        <v>831</v>
      </c>
      <c r="K115" s="1">
        <v>3</v>
      </c>
      <c r="L115" t="s">
        <v>91</v>
      </c>
      <c r="M115" t="s">
        <v>70</v>
      </c>
      <c r="N115" t="s">
        <v>71</v>
      </c>
      <c r="P115" t="s">
        <v>72</v>
      </c>
      <c r="Q115" t="s">
        <v>73</v>
      </c>
      <c r="R115" t="s">
        <v>74</v>
      </c>
      <c r="S115" t="s">
        <v>342</v>
      </c>
      <c r="T115" s="2">
        <v>589</v>
      </c>
      <c r="U115" s="3">
        <v>1.94</v>
      </c>
      <c r="V115" s="4">
        <v>1143</v>
      </c>
      <c r="AF115" s="5">
        <v>8.7719000000000005</v>
      </c>
      <c r="AG115" s="1">
        <v>1</v>
      </c>
      <c r="AH115" s="1">
        <v>2006</v>
      </c>
      <c r="AI115" s="1">
        <v>3</v>
      </c>
      <c r="AJ115" t="s">
        <v>81</v>
      </c>
      <c r="AK115" t="s">
        <v>82</v>
      </c>
      <c r="AL115" t="s">
        <v>83</v>
      </c>
      <c r="AM115" s="3">
        <v>2.12</v>
      </c>
      <c r="AN115" s="4">
        <v>1567</v>
      </c>
      <c r="AO115" s="1">
        <v>738</v>
      </c>
      <c r="AS115" s="3">
        <v>119752.91</v>
      </c>
      <c r="AW115" t="s">
        <v>84</v>
      </c>
      <c r="AY115" s="3">
        <v>1.88</v>
      </c>
      <c r="AZ115" s="4">
        <v>1042</v>
      </c>
      <c r="BA115" s="1">
        <v>554</v>
      </c>
      <c r="BB115" s="1">
        <v>46</v>
      </c>
      <c r="BC115" s="1">
        <v>11</v>
      </c>
      <c r="BG115" t="s">
        <v>131</v>
      </c>
    </row>
    <row r="116" spans="1:59" x14ac:dyDescent="0.25">
      <c r="A116" t="s">
        <v>833</v>
      </c>
      <c r="B116" t="s">
        <v>834</v>
      </c>
      <c r="C116" s="1">
        <v>200</v>
      </c>
      <c r="D116" s="1">
        <v>1986</v>
      </c>
      <c r="E116" t="s">
        <v>64</v>
      </c>
      <c r="F116" t="s">
        <v>660</v>
      </c>
      <c r="G116" t="s">
        <v>835</v>
      </c>
      <c r="H116" t="s">
        <v>836</v>
      </c>
      <c r="I116" t="s">
        <v>837</v>
      </c>
      <c r="J116" t="s">
        <v>835</v>
      </c>
      <c r="K116" s="1">
        <v>3</v>
      </c>
      <c r="L116" t="s">
        <v>91</v>
      </c>
      <c r="M116" t="s">
        <v>70</v>
      </c>
      <c r="N116" t="s">
        <v>71</v>
      </c>
      <c r="P116" t="s">
        <v>72</v>
      </c>
      <c r="Q116" t="s">
        <v>838</v>
      </c>
      <c r="R116" t="s">
        <v>74</v>
      </c>
      <c r="S116" t="s">
        <v>665</v>
      </c>
      <c r="T116" s="2">
        <v>693</v>
      </c>
      <c r="U116" s="3">
        <v>1.69</v>
      </c>
      <c r="V116" s="4">
        <v>1170</v>
      </c>
      <c r="AF116" s="5">
        <v>15.5</v>
      </c>
      <c r="AH116" s="1">
        <v>2006</v>
      </c>
      <c r="AI116" s="1">
        <v>2</v>
      </c>
      <c r="AJ116" t="s">
        <v>81</v>
      </c>
      <c r="AK116" t="s">
        <v>82</v>
      </c>
      <c r="AL116" t="s">
        <v>83</v>
      </c>
      <c r="AM116" s="3">
        <v>1.56</v>
      </c>
      <c r="AN116" s="4">
        <v>1342</v>
      </c>
      <c r="AO116" s="1">
        <v>858</v>
      </c>
      <c r="AS116" s="3">
        <v>382818.07</v>
      </c>
      <c r="AW116" t="s">
        <v>84</v>
      </c>
      <c r="AY116" s="3">
        <v>1.81</v>
      </c>
      <c r="AZ116" s="4">
        <v>1055</v>
      </c>
      <c r="BA116" s="1">
        <v>584</v>
      </c>
      <c r="BB116" s="1">
        <v>120</v>
      </c>
      <c r="BC116" s="1">
        <v>80</v>
      </c>
      <c r="BG116" t="s">
        <v>131</v>
      </c>
    </row>
    <row r="117" spans="1:59" x14ac:dyDescent="0.25">
      <c r="A117" t="s">
        <v>839</v>
      </c>
      <c r="B117" t="s">
        <v>840</v>
      </c>
      <c r="C117" s="1">
        <v>96</v>
      </c>
      <c r="D117" s="1">
        <v>1985</v>
      </c>
      <c r="E117" t="s">
        <v>64</v>
      </c>
      <c r="F117" t="s">
        <v>841</v>
      </c>
      <c r="G117" t="s">
        <v>842</v>
      </c>
      <c r="H117" t="s">
        <v>843</v>
      </c>
      <c r="I117" t="s">
        <v>844</v>
      </c>
      <c r="J117" t="s">
        <v>842</v>
      </c>
      <c r="K117" s="1">
        <v>3</v>
      </c>
      <c r="L117" t="s">
        <v>91</v>
      </c>
      <c r="M117" t="s">
        <v>70</v>
      </c>
      <c r="N117" t="s">
        <v>71</v>
      </c>
      <c r="P117" t="s">
        <v>72</v>
      </c>
      <c r="Q117" t="s">
        <v>841</v>
      </c>
      <c r="R117" t="s">
        <v>74</v>
      </c>
      <c r="S117" t="s">
        <v>845</v>
      </c>
      <c r="T117" s="2">
        <v>900</v>
      </c>
      <c r="U117" s="3">
        <v>1.75</v>
      </c>
      <c r="V117" s="4">
        <v>1578</v>
      </c>
      <c r="AH117" s="1">
        <v>2019</v>
      </c>
      <c r="AI117" s="1">
        <v>2</v>
      </c>
      <c r="AJ117" t="s">
        <v>81</v>
      </c>
      <c r="AK117" t="s">
        <v>82</v>
      </c>
      <c r="AL117" t="s">
        <v>83</v>
      </c>
      <c r="AM117" s="3">
        <v>1.75</v>
      </c>
      <c r="AN117" s="4">
        <v>1578</v>
      </c>
      <c r="AO117" s="1">
        <v>900</v>
      </c>
      <c r="AS117" s="3">
        <v>225795.67</v>
      </c>
      <c r="AW117" t="s">
        <v>84</v>
      </c>
      <c r="BC117" s="1">
        <v>96</v>
      </c>
      <c r="BF117" t="s">
        <v>566</v>
      </c>
      <c r="BG117" t="s">
        <v>104</v>
      </c>
    </row>
    <row r="118" spans="1:59" x14ac:dyDescent="0.25">
      <c r="A118" t="s">
        <v>846</v>
      </c>
      <c r="B118" t="s">
        <v>847</v>
      </c>
      <c r="C118" s="1">
        <v>420</v>
      </c>
      <c r="D118" s="1">
        <v>1985</v>
      </c>
      <c r="E118" t="s">
        <v>64</v>
      </c>
      <c r="F118" t="s">
        <v>514</v>
      </c>
      <c r="G118" t="s">
        <v>848</v>
      </c>
      <c r="H118" t="s">
        <v>849</v>
      </c>
      <c r="I118" t="s">
        <v>850</v>
      </c>
      <c r="J118" t="s">
        <v>848</v>
      </c>
      <c r="K118" s="1">
        <v>3</v>
      </c>
      <c r="L118" t="s">
        <v>91</v>
      </c>
      <c r="M118" t="s">
        <v>70</v>
      </c>
      <c r="N118" t="s">
        <v>71</v>
      </c>
      <c r="P118" t="s">
        <v>72</v>
      </c>
      <c r="Q118" t="s">
        <v>264</v>
      </c>
      <c r="R118" t="s">
        <v>74</v>
      </c>
      <c r="S118" t="s">
        <v>851</v>
      </c>
      <c r="T118" s="2">
        <v>827</v>
      </c>
      <c r="U118" s="3">
        <v>1.9</v>
      </c>
      <c r="V118" s="4">
        <v>1573</v>
      </c>
      <c r="AF118" s="5">
        <v>10.238099999999999</v>
      </c>
      <c r="AI118" s="1">
        <v>3</v>
      </c>
      <c r="AJ118" t="s">
        <v>81</v>
      </c>
      <c r="AK118" t="s">
        <v>82</v>
      </c>
      <c r="AL118" t="s">
        <v>83</v>
      </c>
      <c r="AM118" s="3">
        <v>1.8</v>
      </c>
      <c r="AN118" s="4">
        <v>1768</v>
      </c>
      <c r="AO118" s="1">
        <v>982</v>
      </c>
      <c r="AP118" s="3">
        <v>1.79</v>
      </c>
      <c r="AQ118" s="4">
        <v>2127</v>
      </c>
      <c r="AR118" s="1">
        <v>1190</v>
      </c>
      <c r="AS118" s="3">
        <v>1516172.4</v>
      </c>
      <c r="AW118" t="s">
        <v>84</v>
      </c>
      <c r="AY118" s="3">
        <v>2.02</v>
      </c>
      <c r="AZ118" s="4">
        <v>1356</v>
      </c>
      <c r="BA118" s="1">
        <v>672</v>
      </c>
      <c r="BB118" s="1">
        <v>244</v>
      </c>
      <c r="BC118" s="1">
        <v>124</v>
      </c>
      <c r="BD118" s="1">
        <v>52</v>
      </c>
      <c r="BF118" t="s">
        <v>731</v>
      </c>
      <c r="BG118" t="s">
        <v>104</v>
      </c>
    </row>
    <row r="119" spans="1:59" x14ac:dyDescent="0.25">
      <c r="A119" t="s">
        <v>852</v>
      </c>
      <c r="B119" t="s">
        <v>853</v>
      </c>
      <c r="C119" s="1">
        <v>500</v>
      </c>
      <c r="D119" s="1">
        <v>1985</v>
      </c>
      <c r="E119" t="s">
        <v>64</v>
      </c>
      <c r="F119" t="s">
        <v>256</v>
      </c>
      <c r="G119" t="s">
        <v>854</v>
      </c>
      <c r="H119" t="s">
        <v>855</v>
      </c>
      <c r="I119" t="s">
        <v>856</v>
      </c>
      <c r="J119" t="s">
        <v>854</v>
      </c>
      <c r="K119" s="1">
        <v>3</v>
      </c>
      <c r="L119" t="s">
        <v>91</v>
      </c>
      <c r="M119" t="s">
        <v>70</v>
      </c>
      <c r="N119" t="s">
        <v>71</v>
      </c>
      <c r="P119" t="s">
        <v>72</v>
      </c>
      <c r="Q119" t="s">
        <v>152</v>
      </c>
      <c r="R119" t="s">
        <v>74</v>
      </c>
      <c r="S119" t="s">
        <v>780</v>
      </c>
      <c r="T119" s="2">
        <v>841</v>
      </c>
      <c r="U119" s="3">
        <v>1.3</v>
      </c>
      <c r="V119" s="4">
        <v>1093</v>
      </c>
      <c r="AF119" s="5">
        <v>6</v>
      </c>
      <c r="AH119" s="1">
        <v>1996</v>
      </c>
      <c r="AI119" s="1">
        <v>2</v>
      </c>
      <c r="AJ119" t="s">
        <v>81</v>
      </c>
      <c r="AK119" t="s">
        <v>82</v>
      </c>
      <c r="AL119" t="s">
        <v>83</v>
      </c>
      <c r="AM119" s="3">
        <v>1.29</v>
      </c>
      <c r="AN119" s="4">
        <v>1411</v>
      </c>
      <c r="AO119" s="1">
        <v>1096</v>
      </c>
      <c r="AS119" s="3">
        <v>665688</v>
      </c>
      <c r="AW119" t="s">
        <v>84</v>
      </c>
      <c r="AY119" s="3">
        <v>1.31</v>
      </c>
      <c r="AZ119" s="4">
        <v>959</v>
      </c>
      <c r="BA119" s="1">
        <v>734</v>
      </c>
      <c r="BB119" s="1">
        <v>352</v>
      </c>
      <c r="BC119" s="1">
        <v>148</v>
      </c>
    </row>
    <row r="120" spans="1:59" x14ac:dyDescent="0.25">
      <c r="A120" t="s">
        <v>857</v>
      </c>
      <c r="B120" t="s">
        <v>858</v>
      </c>
      <c r="C120" s="1">
        <v>112</v>
      </c>
      <c r="D120" s="1">
        <v>1987</v>
      </c>
      <c r="E120" t="s">
        <v>64</v>
      </c>
      <c r="F120" t="s">
        <v>156</v>
      </c>
      <c r="G120" t="s">
        <v>859</v>
      </c>
      <c r="H120" t="s">
        <v>860</v>
      </c>
      <c r="I120" t="s">
        <v>861</v>
      </c>
      <c r="J120" t="s">
        <v>859</v>
      </c>
      <c r="K120" s="1">
        <v>3</v>
      </c>
      <c r="L120" t="s">
        <v>69</v>
      </c>
      <c r="M120" t="s">
        <v>70</v>
      </c>
      <c r="N120" t="s">
        <v>71</v>
      </c>
      <c r="P120" t="s">
        <v>72</v>
      </c>
      <c r="Q120" t="s">
        <v>862</v>
      </c>
      <c r="R120" t="s">
        <v>74</v>
      </c>
      <c r="S120" t="s">
        <v>863</v>
      </c>
      <c r="T120" s="2">
        <v>803</v>
      </c>
      <c r="U120" s="3">
        <v>1.58</v>
      </c>
      <c r="V120" s="4">
        <v>1272</v>
      </c>
      <c r="AF120" s="5">
        <v>8.9285999999999994</v>
      </c>
      <c r="AI120" s="1">
        <v>2</v>
      </c>
      <c r="AJ120" t="s">
        <v>81</v>
      </c>
      <c r="AK120" t="s">
        <v>82</v>
      </c>
      <c r="AL120" t="s">
        <v>83</v>
      </c>
      <c r="AM120" s="3">
        <v>1.55</v>
      </c>
      <c r="AN120" s="4">
        <v>1315</v>
      </c>
      <c r="AO120" s="1">
        <v>850</v>
      </c>
      <c r="AP120" s="3">
        <v>1.48</v>
      </c>
      <c r="AQ120" s="4">
        <v>1404</v>
      </c>
      <c r="AR120" s="1">
        <v>950</v>
      </c>
      <c r="AS120" s="3">
        <v>235332.52</v>
      </c>
      <c r="AT120" s="3">
        <v>1.94</v>
      </c>
      <c r="AU120" s="4">
        <v>1021</v>
      </c>
      <c r="AV120" s="6">
        <v>525</v>
      </c>
      <c r="AW120" t="s">
        <v>84</v>
      </c>
      <c r="AY120" s="3">
        <v>1.74</v>
      </c>
      <c r="AZ120" s="4">
        <v>1134</v>
      </c>
      <c r="BA120" s="1">
        <v>650</v>
      </c>
      <c r="BB120" s="1">
        <v>16</v>
      </c>
      <c r="BC120" s="1">
        <v>48</v>
      </c>
      <c r="BD120" s="1">
        <v>32</v>
      </c>
      <c r="BF120" t="s">
        <v>261</v>
      </c>
      <c r="BG120" t="s">
        <v>104</v>
      </c>
    </row>
    <row r="121" spans="1:59" x14ac:dyDescent="0.25">
      <c r="A121" t="s">
        <v>864</v>
      </c>
      <c r="B121" t="s">
        <v>865</v>
      </c>
      <c r="C121" s="1">
        <v>301</v>
      </c>
      <c r="D121" s="1">
        <v>1987</v>
      </c>
      <c r="E121" t="s">
        <v>64</v>
      </c>
      <c r="F121" t="s">
        <v>156</v>
      </c>
      <c r="G121" t="s">
        <v>866</v>
      </c>
      <c r="H121" t="s">
        <v>867</v>
      </c>
      <c r="I121" t="s">
        <v>868</v>
      </c>
      <c r="J121" t="s">
        <v>866</v>
      </c>
      <c r="K121" s="1">
        <v>2</v>
      </c>
      <c r="L121" t="s">
        <v>69</v>
      </c>
      <c r="M121" t="s">
        <v>70</v>
      </c>
      <c r="N121" t="s">
        <v>127</v>
      </c>
      <c r="P121" t="s">
        <v>72</v>
      </c>
      <c r="Q121" t="s">
        <v>862</v>
      </c>
      <c r="R121" t="s">
        <v>74</v>
      </c>
      <c r="S121" t="s">
        <v>869</v>
      </c>
      <c r="T121" s="2">
        <v>1086</v>
      </c>
      <c r="AF121" s="5">
        <v>10.6312</v>
      </c>
      <c r="AI121" s="1">
        <v>1</v>
      </c>
      <c r="AJ121" t="s">
        <v>81</v>
      </c>
      <c r="AK121" t="s">
        <v>82</v>
      </c>
      <c r="AL121" t="s">
        <v>83</v>
      </c>
      <c r="AR121" s="1">
        <v>1086</v>
      </c>
      <c r="AS121" s="3">
        <v>257745.14</v>
      </c>
      <c r="AW121" t="s">
        <v>84</v>
      </c>
      <c r="BD121" s="1">
        <v>301</v>
      </c>
    </row>
    <row r="122" spans="1:59" x14ac:dyDescent="0.25">
      <c r="A122" t="s">
        <v>870</v>
      </c>
      <c r="B122" t="s">
        <v>871</v>
      </c>
      <c r="C122" s="1">
        <v>87</v>
      </c>
      <c r="D122" s="1">
        <v>1986</v>
      </c>
      <c r="E122" t="s">
        <v>64</v>
      </c>
      <c r="F122" t="s">
        <v>872</v>
      </c>
      <c r="G122" t="s">
        <v>873</v>
      </c>
      <c r="I122" t="s">
        <v>874</v>
      </c>
      <c r="J122" t="s">
        <v>873</v>
      </c>
      <c r="K122" s="1">
        <v>3</v>
      </c>
      <c r="L122" t="s">
        <v>69</v>
      </c>
      <c r="M122" t="s">
        <v>70</v>
      </c>
      <c r="N122" t="s">
        <v>127</v>
      </c>
      <c r="P122" t="s">
        <v>72</v>
      </c>
      <c r="Q122" t="s">
        <v>710</v>
      </c>
      <c r="R122" t="s">
        <v>74</v>
      </c>
      <c r="S122" t="s">
        <v>875</v>
      </c>
      <c r="AF122" s="5">
        <v>8.0459999999999994</v>
      </c>
      <c r="AI122" s="1">
        <v>1</v>
      </c>
      <c r="AJ122" t="s">
        <v>81</v>
      </c>
      <c r="AK122" t="s">
        <v>82</v>
      </c>
      <c r="AL122" t="s">
        <v>83</v>
      </c>
      <c r="AS122" s="3">
        <v>87904.78</v>
      </c>
      <c r="AW122" t="s">
        <v>84</v>
      </c>
      <c r="BB122" s="1">
        <v>87</v>
      </c>
      <c r="BG122" t="s">
        <v>744</v>
      </c>
    </row>
    <row r="123" spans="1:59" x14ac:dyDescent="0.25">
      <c r="A123" t="s">
        <v>876</v>
      </c>
      <c r="B123" t="s">
        <v>877</v>
      </c>
      <c r="C123" s="1">
        <v>115</v>
      </c>
      <c r="D123" s="1">
        <v>1986</v>
      </c>
      <c r="E123" t="s">
        <v>64</v>
      </c>
      <c r="F123" t="s">
        <v>756</v>
      </c>
      <c r="G123" t="s">
        <v>878</v>
      </c>
      <c r="I123" t="s">
        <v>878</v>
      </c>
      <c r="K123" s="1">
        <v>3</v>
      </c>
      <c r="L123" t="s">
        <v>91</v>
      </c>
      <c r="M123" t="s">
        <v>70</v>
      </c>
      <c r="N123" t="s">
        <v>71</v>
      </c>
      <c r="P123" t="s">
        <v>72</v>
      </c>
      <c r="Q123" t="s">
        <v>73</v>
      </c>
      <c r="R123" t="s">
        <v>74</v>
      </c>
      <c r="S123" t="s">
        <v>879</v>
      </c>
      <c r="T123" s="2">
        <v>1132</v>
      </c>
      <c r="AI123" s="1">
        <v>2</v>
      </c>
      <c r="AJ123" t="s">
        <v>81</v>
      </c>
      <c r="AK123" t="s">
        <v>82</v>
      </c>
      <c r="AL123" t="s">
        <v>83</v>
      </c>
      <c r="AO123" s="1">
        <v>1337</v>
      </c>
      <c r="AS123" s="3">
        <v>43013.09</v>
      </c>
      <c r="AW123" t="s">
        <v>84</v>
      </c>
      <c r="BA123" s="1">
        <v>997</v>
      </c>
      <c r="BB123" s="1">
        <v>69</v>
      </c>
      <c r="BC123" s="1">
        <v>46</v>
      </c>
    </row>
    <row r="124" spans="1:59" x14ac:dyDescent="0.25">
      <c r="A124" t="s">
        <v>880</v>
      </c>
      <c r="B124" t="s">
        <v>881</v>
      </c>
      <c r="C124" s="1">
        <v>72</v>
      </c>
      <c r="D124" s="1">
        <v>1985</v>
      </c>
      <c r="E124" t="s">
        <v>64</v>
      </c>
      <c r="F124" t="s">
        <v>439</v>
      </c>
      <c r="G124" t="s">
        <v>882</v>
      </c>
      <c r="H124" t="s">
        <v>883</v>
      </c>
      <c r="I124" t="s">
        <v>884</v>
      </c>
      <c r="J124" t="s">
        <v>882</v>
      </c>
      <c r="K124" s="1">
        <v>2</v>
      </c>
      <c r="L124" t="s">
        <v>69</v>
      </c>
      <c r="M124" t="s">
        <v>70</v>
      </c>
      <c r="N124" t="s">
        <v>71</v>
      </c>
      <c r="P124" t="s">
        <v>72</v>
      </c>
      <c r="Q124" t="s">
        <v>885</v>
      </c>
      <c r="R124" t="s">
        <v>74</v>
      </c>
      <c r="S124" t="s">
        <v>886</v>
      </c>
      <c r="T124" s="2">
        <v>764</v>
      </c>
      <c r="U124" s="3">
        <v>1.73</v>
      </c>
      <c r="V124" s="4">
        <v>1324</v>
      </c>
      <c r="AI124" s="1">
        <v>2</v>
      </c>
      <c r="AJ124" t="s">
        <v>81</v>
      </c>
      <c r="AK124" t="s">
        <v>82</v>
      </c>
      <c r="AL124" t="s">
        <v>83</v>
      </c>
      <c r="AM124" s="3">
        <v>1.59</v>
      </c>
      <c r="AN124" s="4">
        <v>1419</v>
      </c>
      <c r="AO124" s="1">
        <v>893</v>
      </c>
      <c r="AS124" s="3">
        <v>49602.44</v>
      </c>
      <c r="AW124" t="s">
        <v>84</v>
      </c>
      <c r="AY124" s="3">
        <v>1.89</v>
      </c>
      <c r="AZ124" s="4">
        <v>1248</v>
      </c>
      <c r="BA124" s="1">
        <v>661</v>
      </c>
      <c r="BB124" s="1">
        <v>40</v>
      </c>
      <c r="BC124" s="1">
        <v>32</v>
      </c>
      <c r="BF124" t="s">
        <v>887</v>
      </c>
      <c r="BG124" t="s">
        <v>104</v>
      </c>
    </row>
    <row r="125" spans="1:59" x14ac:dyDescent="0.25">
      <c r="A125" t="s">
        <v>888</v>
      </c>
      <c r="B125" t="s">
        <v>889</v>
      </c>
      <c r="C125" s="1">
        <v>65</v>
      </c>
      <c r="D125" s="1">
        <v>1985</v>
      </c>
      <c r="E125" t="s">
        <v>64</v>
      </c>
      <c r="F125" t="s">
        <v>114</v>
      </c>
      <c r="G125" t="s">
        <v>890</v>
      </c>
      <c r="H125" t="s">
        <v>889</v>
      </c>
      <c r="I125" t="s">
        <v>891</v>
      </c>
      <c r="J125" t="s">
        <v>890</v>
      </c>
      <c r="K125" s="1">
        <v>3</v>
      </c>
      <c r="L125" t="s">
        <v>91</v>
      </c>
      <c r="M125" t="s">
        <v>70</v>
      </c>
      <c r="N125" t="s">
        <v>71</v>
      </c>
      <c r="P125" t="s">
        <v>72</v>
      </c>
      <c r="Q125" t="s">
        <v>356</v>
      </c>
      <c r="R125" t="s">
        <v>74</v>
      </c>
      <c r="S125" t="s">
        <v>357</v>
      </c>
      <c r="T125" s="2">
        <v>877</v>
      </c>
      <c r="U125" s="3">
        <v>1.65</v>
      </c>
      <c r="V125" s="4">
        <v>1447</v>
      </c>
      <c r="AF125" s="5">
        <v>3.0769000000000002</v>
      </c>
      <c r="AI125" s="1">
        <v>2</v>
      </c>
      <c r="AJ125" t="s">
        <v>81</v>
      </c>
      <c r="AK125" t="s">
        <v>82</v>
      </c>
      <c r="AL125" t="s">
        <v>83</v>
      </c>
      <c r="AM125" s="3">
        <v>1.53</v>
      </c>
      <c r="AN125" s="4">
        <v>1628</v>
      </c>
      <c r="AO125" s="1">
        <v>1063</v>
      </c>
      <c r="AS125" s="3">
        <v>0</v>
      </c>
      <c r="AW125" t="s">
        <v>84</v>
      </c>
      <c r="AY125" s="3">
        <v>1.76</v>
      </c>
      <c r="AZ125" s="4">
        <v>1327</v>
      </c>
      <c r="BA125" s="1">
        <v>755</v>
      </c>
      <c r="BB125" s="1">
        <v>39</v>
      </c>
      <c r="BC125" s="1">
        <v>26</v>
      </c>
      <c r="BF125" t="s">
        <v>892</v>
      </c>
      <c r="BG125" t="s">
        <v>104</v>
      </c>
    </row>
    <row r="126" spans="1:59" x14ac:dyDescent="0.25">
      <c r="A126" t="s">
        <v>893</v>
      </c>
      <c r="B126" t="s">
        <v>894</v>
      </c>
      <c r="C126" s="1">
        <v>336</v>
      </c>
      <c r="D126" s="1">
        <v>1985</v>
      </c>
      <c r="E126" t="s">
        <v>64</v>
      </c>
      <c r="F126" t="s">
        <v>148</v>
      </c>
      <c r="G126" t="s">
        <v>784</v>
      </c>
      <c r="H126" t="s">
        <v>895</v>
      </c>
      <c r="I126" t="s">
        <v>896</v>
      </c>
      <c r="J126" t="s">
        <v>784</v>
      </c>
      <c r="K126" s="1">
        <v>3</v>
      </c>
      <c r="L126" t="s">
        <v>91</v>
      </c>
      <c r="M126" t="s">
        <v>70</v>
      </c>
      <c r="N126" t="s">
        <v>71</v>
      </c>
      <c r="P126" t="s">
        <v>72</v>
      </c>
      <c r="Q126" t="s">
        <v>152</v>
      </c>
      <c r="R126" t="s">
        <v>74</v>
      </c>
      <c r="S126" t="s">
        <v>780</v>
      </c>
      <c r="T126" s="2">
        <v>670</v>
      </c>
      <c r="U126" s="3">
        <v>1.7</v>
      </c>
      <c r="V126" s="4">
        <v>1142</v>
      </c>
      <c r="AF126" s="5">
        <v>13.6905</v>
      </c>
      <c r="AI126" s="1">
        <v>3</v>
      </c>
      <c r="AJ126" t="s">
        <v>81</v>
      </c>
      <c r="AK126" t="s">
        <v>82</v>
      </c>
      <c r="AL126" t="s">
        <v>83</v>
      </c>
      <c r="AM126" s="3">
        <v>1.61</v>
      </c>
      <c r="AN126" s="4">
        <v>1471</v>
      </c>
      <c r="AO126" s="1">
        <v>911</v>
      </c>
      <c r="AS126" s="3">
        <v>745624.08</v>
      </c>
      <c r="AW126" t="s">
        <v>84</v>
      </c>
      <c r="AY126" s="3">
        <v>1.74</v>
      </c>
      <c r="AZ126" s="4">
        <v>1053</v>
      </c>
      <c r="BA126" s="1">
        <v>605</v>
      </c>
      <c r="BB126" s="1">
        <v>264</v>
      </c>
      <c r="BC126" s="1">
        <v>72</v>
      </c>
      <c r="BG126" t="s">
        <v>131</v>
      </c>
    </row>
    <row r="127" spans="1:59" x14ac:dyDescent="0.25">
      <c r="A127" t="s">
        <v>897</v>
      </c>
      <c r="B127" t="s">
        <v>898</v>
      </c>
      <c r="C127" s="1">
        <v>256</v>
      </c>
      <c r="D127" s="1">
        <v>1985</v>
      </c>
      <c r="E127" t="s">
        <v>64</v>
      </c>
      <c r="F127" t="s">
        <v>148</v>
      </c>
      <c r="G127" t="s">
        <v>452</v>
      </c>
      <c r="H127" t="s">
        <v>899</v>
      </c>
      <c r="I127" t="s">
        <v>900</v>
      </c>
      <c r="J127" t="s">
        <v>452</v>
      </c>
      <c r="K127" s="1">
        <v>3</v>
      </c>
      <c r="L127" t="s">
        <v>91</v>
      </c>
      <c r="M127" t="s">
        <v>70</v>
      </c>
      <c r="N127" t="s">
        <v>71</v>
      </c>
      <c r="P127" t="s">
        <v>72</v>
      </c>
      <c r="Q127" t="s">
        <v>152</v>
      </c>
      <c r="R127" t="s">
        <v>74</v>
      </c>
      <c r="S127" t="s">
        <v>901</v>
      </c>
      <c r="T127" s="2">
        <v>851</v>
      </c>
      <c r="U127" s="3">
        <v>1.3</v>
      </c>
      <c r="V127" s="4">
        <v>1105</v>
      </c>
      <c r="AF127" s="5">
        <v>9.375</v>
      </c>
      <c r="AI127" s="1">
        <v>3</v>
      </c>
      <c r="AJ127" t="s">
        <v>81</v>
      </c>
      <c r="AK127" t="s">
        <v>82</v>
      </c>
      <c r="AL127" t="s">
        <v>83</v>
      </c>
      <c r="AM127" s="3">
        <v>1.25</v>
      </c>
      <c r="AN127" s="4">
        <v>1257</v>
      </c>
      <c r="AO127" s="1">
        <v>1003</v>
      </c>
      <c r="AS127" s="3">
        <v>772427.56</v>
      </c>
      <c r="AW127" t="s">
        <v>84</v>
      </c>
      <c r="AY127" s="3">
        <v>1.37</v>
      </c>
      <c r="AZ127" s="4">
        <v>933</v>
      </c>
      <c r="BA127" s="1">
        <v>681</v>
      </c>
      <c r="BB127" s="1">
        <v>120</v>
      </c>
      <c r="BC127" s="1">
        <v>136</v>
      </c>
      <c r="BG127" t="s">
        <v>131</v>
      </c>
    </row>
    <row r="128" spans="1:59" x14ac:dyDescent="0.25">
      <c r="A128" t="s">
        <v>902</v>
      </c>
      <c r="B128" t="s">
        <v>903</v>
      </c>
      <c r="C128" s="1">
        <v>325</v>
      </c>
      <c r="D128" s="1">
        <v>1985</v>
      </c>
      <c r="E128" t="s">
        <v>64</v>
      </c>
      <c r="F128" t="s">
        <v>148</v>
      </c>
      <c r="G128" t="s">
        <v>199</v>
      </c>
      <c r="H128" t="s">
        <v>904</v>
      </c>
      <c r="I128" t="s">
        <v>905</v>
      </c>
      <c r="J128" t="s">
        <v>199</v>
      </c>
      <c r="K128" s="1">
        <v>3</v>
      </c>
      <c r="L128" t="s">
        <v>91</v>
      </c>
      <c r="M128" t="s">
        <v>70</v>
      </c>
      <c r="N128" t="s">
        <v>71</v>
      </c>
      <c r="P128" t="s">
        <v>72</v>
      </c>
      <c r="Q128" t="s">
        <v>152</v>
      </c>
      <c r="R128" t="s">
        <v>74</v>
      </c>
      <c r="S128" t="s">
        <v>780</v>
      </c>
      <c r="T128" s="2">
        <v>726</v>
      </c>
      <c r="U128" s="3">
        <v>1.4</v>
      </c>
      <c r="V128" s="4">
        <v>1017</v>
      </c>
      <c r="AF128" s="5">
        <v>10.461499999999999</v>
      </c>
      <c r="AH128" s="1">
        <v>2018</v>
      </c>
      <c r="AI128" s="1">
        <v>3</v>
      </c>
      <c r="AJ128" t="s">
        <v>81</v>
      </c>
      <c r="AK128" t="s">
        <v>82</v>
      </c>
      <c r="AL128" t="s">
        <v>83</v>
      </c>
      <c r="AM128" s="3">
        <v>1.3</v>
      </c>
      <c r="AN128" s="4">
        <v>1128</v>
      </c>
      <c r="AO128" s="1">
        <v>868</v>
      </c>
      <c r="AS128" s="3">
        <v>731004</v>
      </c>
      <c r="AT128" s="3">
        <v>1.58</v>
      </c>
      <c r="AU128" s="4">
        <v>896</v>
      </c>
      <c r="AV128" s="6">
        <v>567</v>
      </c>
      <c r="AW128" t="s">
        <v>84</v>
      </c>
      <c r="AY128" s="3">
        <v>1.42</v>
      </c>
      <c r="AZ128" s="4">
        <v>888</v>
      </c>
      <c r="BA128" s="1">
        <v>626</v>
      </c>
      <c r="BB128" s="1">
        <v>13</v>
      </c>
      <c r="BC128" s="1">
        <v>170</v>
      </c>
    </row>
    <row r="129" spans="1:59" x14ac:dyDescent="0.25">
      <c r="A129" t="s">
        <v>906</v>
      </c>
      <c r="B129" t="s">
        <v>907</v>
      </c>
      <c r="C129" s="1">
        <v>52</v>
      </c>
      <c r="D129" s="1">
        <v>1989</v>
      </c>
      <c r="E129" t="s">
        <v>64</v>
      </c>
      <c r="F129" t="s">
        <v>97</v>
      </c>
      <c r="G129" t="s">
        <v>908</v>
      </c>
      <c r="H129" t="s">
        <v>909</v>
      </c>
      <c r="I129" t="s">
        <v>910</v>
      </c>
      <c r="J129" t="s">
        <v>908</v>
      </c>
      <c r="K129" s="1">
        <v>3</v>
      </c>
      <c r="L129" t="s">
        <v>91</v>
      </c>
      <c r="M129" t="s">
        <v>70</v>
      </c>
      <c r="N129" t="s">
        <v>71</v>
      </c>
      <c r="P129" t="s">
        <v>72</v>
      </c>
      <c r="Q129" t="s">
        <v>911</v>
      </c>
      <c r="R129" t="s">
        <v>74</v>
      </c>
      <c r="S129" t="s">
        <v>912</v>
      </c>
      <c r="T129" s="2">
        <v>873</v>
      </c>
      <c r="U129" s="3">
        <v>1.53</v>
      </c>
      <c r="V129" s="4">
        <v>1334</v>
      </c>
      <c r="AF129" s="5">
        <v>5.7691999999999997</v>
      </c>
      <c r="AI129" s="1">
        <v>2</v>
      </c>
      <c r="AJ129" t="s">
        <v>81</v>
      </c>
      <c r="AK129" t="s">
        <v>82</v>
      </c>
      <c r="AL129" t="s">
        <v>83</v>
      </c>
      <c r="AM129" s="3">
        <v>1.49</v>
      </c>
      <c r="AN129" s="4">
        <v>1458</v>
      </c>
      <c r="AO129" s="1">
        <v>976</v>
      </c>
      <c r="AS129" s="3">
        <v>99610.4</v>
      </c>
      <c r="AW129" t="s">
        <v>84</v>
      </c>
      <c r="AY129" s="3">
        <v>1.61</v>
      </c>
      <c r="AZ129" s="4">
        <v>1099</v>
      </c>
      <c r="BA129" s="1">
        <v>681</v>
      </c>
      <c r="BB129" s="1">
        <v>18</v>
      </c>
      <c r="BC129" s="1">
        <v>34</v>
      </c>
    </row>
    <row r="130" spans="1:59" x14ac:dyDescent="0.25">
      <c r="A130" t="s">
        <v>913</v>
      </c>
      <c r="B130" t="s">
        <v>914</v>
      </c>
      <c r="C130" s="1">
        <v>64</v>
      </c>
      <c r="D130" s="1">
        <v>1985</v>
      </c>
      <c r="E130" t="s">
        <v>64</v>
      </c>
      <c r="F130" t="s">
        <v>114</v>
      </c>
      <c r="G130" t="s">
        <v>915</v>
      </c>
      <c r="H130" t="s">
        <v>914</v>
      </c>
      <c r="I130" t="s">
        <v>916</v>
      </c>
      <c r="J130" t="s">
        <v>915</v>
      </c>
      <c r="K130" s="1">
        <v>2</v>
      </c>
      <c r="L130" t="s">
        <v>69</v>
      </c>
      <c r="M130" t="s">
        <v>70</v>
      </c>
      <c r="N130" t="s">
        <v>71</v>
      </c>
      <c r="P130" t="s">
        <v>72</v>
      </c>
      <c r="Q130" t="s">
        <v>917</v>
      </c>
      <c r="R130" t="s">
        <v>74</v>
      </c>
      <c r="S130" t="s">
        <v>918</v>
      </c>
      <c r="T130" s="2">
        <v>843</v>
      </c>
      <c r="U130" s="3">
        <v>1.33</v>
      </c>
      <c r="V130" s="4">
        <v>1120</v>
      </c>
      <c r="AF130" s="5">
        <v>10.9375</v>
      </c>
      <c r="AI130" s="1">
        <v>2</v>
      </c>
      <c r="AJ130" t="s">
        <v>81</v>
      </c>
      <c r="AK130" t="s">
        <v>82</v>
      </c>
      <c r="AL130" t="s">
        <v>83</v>
      </c>
      <c r="AM130" s="3">
        <v>1.3</v>
      </c>
      <c r="AN130" s="4">
        <v>1151</v>
      </c>
      <c r="AO130" s="1">
        <v>888</v>
      </c>
      <c r="AS130" s="3">
        <v>118425.57</v>
      </c>
      <c r="AW130" t="s">
        <v>84</v>
      </c>
      <c r="AY130" s="3">
        <v>1.45</v>
      </c>
      <c r="AZ130" s="4">
        <v>1026</v>
      </c>
      <c r="BA130" s="1">
        <v>710</v>
      </c>
      <c r="BB130" s="1">
        <v>16</v>
      </c>
      <c r="BC130" s="1">
        <v>48</v>
      </c>
      <c r="BF130" t="s">
        <v>919</v>
      </c>
      <c r="BG130" t="s">
        <v>104</v>
      </c>
    </row>
    <row r="131" spans="1:59" x14ac:dyDescent="0.25">
      <c r="A131" t="s">
        <v>920</v>
      </c>
      <c r="B131" t="s">
        <v>921</v>
      </c>
      <c r="C131" s="1">
        <v>172</v>
      </c>
      <c r="D131" s="1">
        <v>1985</v>
      </c>
      <c r="E131" t="s">
        <v>64</v>
      </c>
      <c r="F131" t="s">
        <v>922</v>
      </c>
      <c r="G131" t="s">
        <v>923</v>
      </c>
      <c r="H131" t="s">
        <v>924</v>
      </c>
      <c r="I131" t="s">
        <v>925</v>
      </c>
      <c r="J131" t="s">
        <v>923</v>
      </c>
      <c r="K131" s="1">
        <v>2</v>
      </c>
      <c r="L131" t="s">
        <v>69</v>
      </c>
      <c r="M131" t="s">
        <v>70</v>
      </c>
      <c r="N131" t="s">
        <v>71</v>
      </c>
      <c r="P131" t="s">
        <v>72</v>
      </c>
      <c r="Q131" t="s">
        <v>215</v>
      </c>
      <c r="R131" t="s">
        <v>74</v>
      </c>
      <c r="S131" t="s">
        <v>926</v>
      </c>
      <c r="T131" s="2">
        <v>577</v>
      </c>
      <c r="U131" s="3">
        <v>1.59</v>
      </c>
      <c r="V131" s="4">
        <v>916</v>
      </c>
      <c r="AF131" s="5">
        <v>15.116300000000001</v>
      </c>
      <c r="AH131" s="1">
        <v>2022</v>
      </c>
      <c r="AI131" s="1">
        <v>2</v>
      </c>
      <c r="AJ131" t="s">
        <v>81</v>
      </c>
      <c r="AK131" t="s">
        <v>82</v>
      </c>
      <c r="AL131" t="s">
        <v>83</v>
      </c>
      <c r="AM131" s="3">
        <v>1.47</v>
      </c>
      <c r="AN131" s="4">
        <v>1007</v>
      </c>
      <c r="AO131" s="1">
        <v>684</v>
      </c>
      <c r="AS131" s="3">
        <v>130930.43</v>
      </c>
      <c r="AW131" t="s">
        <v>84</v>
      </c>
      <c r="AY131" s="3">
        <v>1.66</v>
      </c>
      <c r="AZ131" s="4">
        <v>872</v>
      </c>
      <c r="BA131" s="1">
        <v>527</v>
      </c>
      <c r="BB131" s="1">
        <v>116</v>
      </c>
      <c r="BC131" s="1">
        <v>56</v>
      </c>
      <c r="BG131" t="s">
        <v>131</v>
      </c>
    </row>
    <row r="132" spans="1:59" x14ac:dyDescent="0.25">
      <c r="A132" t="s">
        <v>927</v>
      </c>
      <c r="B132" t="s">
        <v>928</v>
      </c>
      <c r="C132" s="1">
        <v>332</v>
      </c>
      <c r="D132" s="1">
        <v>1986</v>
      </c>
      <c r="E132" t="s">
        <v>64</v>
      </c>
      <c r="F132" t="s">
        <v>215</v>
      </c>
      <c r="G132" t="s">
        <v>929</v>
      </c>
      <c r="H132" t="s">
        <v>930</v>
      </c>
      <c r="I132" t="s">
        <v>931</v>
      </c>
      <c r="J132" t="s">
        <v>929</v>
      </c>
      <c r="K132" s="1">
        <v>3</v>
      </c>
      <c r="L132" t="s">
        <v>69</v>
      </c>
      <c r="M132" t="s">
        <v>70</v>
      </c>
      <c r="N132" t="s">
        <v>71</v>
      </c>
      <c r="P132" t="s">
        <v>72</v>
      </c>
      <c r="Q132" t="s">
        <v>215</v>
      </c>
      <c r="R132" t="s">
        <v>74</v>
      </c>
      <c r="S132" t="s">
        <v>932</v>
      </c>
      <c r="T132" s="2">
        <v>667</v>
      </c>
      <c r="U132" s="3">
        <v>1.74</v>
      </c>
      <c r="V132" s="4">
        <v>1162</v>
      </c>
      <c r="AF132" s="5">
        <v>10.241</v>
      </c>
      <c r="AI132" s="1">
        <v>3</v>
      </c>
      <c r="AJ132" t="s">
        <v>81</v>
      </c>
      <c r="AK132" t="s">
        <v>82</v>
      </c>
      <c r="AL132" t="s">
        <v>83</v>
      </c>
      <c r="AM132" s="3">
        <v>1.55</v>
      </c>
      <c r="AN132" s="4">
        <v>1352</v>
      </c>
      <c r="AO132" s="1">
        <v>873</v>
      </c>
      <c r="AS132" s="3">
        <v>687147.28</v>
      </c>
      <c r="AT132" s="3">
        <v>2.25</v>
      </c>
      <c r="AU132" s="4">
        <v>992</v>
      </c>
      <c r="AV132" s="6">
        <v>440</v>
      </c>
      <c r="AW132" t="s">
        <v>84</v>
      </c>
      <c r="AY132" s="3">
        <v>1.83</v>
      </c>
      <c r="AZ132" s="4">
        <v>1073</v>
      </c>
      <c r="BA132" s="1">
        <v>587</v>
      </c>
      <c r="BB132" s="1">
        <v>159</v>
      </c>
      <c r="BC132" s="1">
        <v>121</v>
      </c>
      <c r="BG132" t="s">
        <v>131</v>
      </c>
    </row>
    <row r="133" spans="1:59" x14ac:dyDescent="0.25">
      <c r="A133" t="s">
        <v>933</v>
      </c>
      <c r="B133" t="s">
        <v>934</v>
      </c>
      <c r="C133" s="1">
        <v>58</v>
      </c>
      <c r="D133" s="1">
        <v>1990</v>
      </c>
      <c r="E133" t="s">
        <v>64</v>
      </c>
      <c r="F133" t="s">
        <v>219</v>
      </c>
      <c r="G133" t="s">
        <v>935</v>
      </c>
      <c r="I133" t="s">
        <v>936</v>
      </c>
      <c r="J133" t="s">
        <v>935</v>
      </c>
      <c r="K133" s="1">
        <v>3</v>
      </c>
      <c r="L133" t="s">
        <v>69</v>
      </c>
      <c r="M133" t="s">
        <v>70</v>
      </c>
      <c r="N133" t="s">
        <v>127</v>
      </c>
      <c r="P133" t="s">
        <v>72</v>
      </c>
      <c r="Q133" t="s">
        <v>152</v>
      </c>
      <c r="R133" t="s">
        <v>74</v>
      </c>
      <c r="S133" t="s">
        <v>937</v>
      </c>
      <c r="T133" s="2">
        <v>1000</v>
      </c>
      <c r="AF133" s="5">
        <v>8.6206999999999994</v>
      </c>
      <c r="AI133" s="1">
        <v>2</v>
      </c>
      <c r="AJ133" t="s">
        <v>81</v>
      </c>
      <c r="AK133" t="s">
        <v>82</v>
      </c>
      <c r="AL133" t="s">
        <v>83</v>
      </c>
      <c r="AS133" s="3">
        <v>63380.72</v>
      </c>
      <c r="AW133" t="s">
        <v>84</v>
      </c>
      <c r="BA133" s="1">
        <v>1000</v>
      </c>
      <c r="BB133" s="1">
        <v>58</v>
      </c>
      <c r="BF133" t="s">
        <v>566</v>
      </c>
      <c r="BG133" t="s">
        <v>104</v>
      </c>
    </row>
    <row r="134" spans="1:59" x14ac:dyDescent="0.25">
      <c r="A134" t="s">
        <v>938</v>
      </c>
      <c r="B134" t="s">
        <v>939</v>
      </c>
      <c r="C134" s="1">
        <v>115</v>
      </c>
      <c r="D134" s="1">
        <v>1985</v>
      </c>
      <c r="E134" t="s">
        <v>64</v>
      </c>
      <c r="F134" t="s">
        <v>280</v>
      </c>
      <c r="G134" t="s">
        <v>939</v>
      </c>
      <c r="H134" t="s">
        <v>939</v>
      </c>
      <c r="I134" t="s">
        <v>939</v>
      </c>
      <c r="K134" s="1">
        <v>3</v>
      </c>
      <c r="L134" t="s">
        <v>69</v>
      </c>
      <c r="M134" t="s">
        <v>70</v>
      </c>
      <c r="N134" t="s">
        <v>71</v>
      </c>
      <c r="O134" t="s">
        <v>426</v>
      </c>
      <c r="P134" t="s">
        <v>72</v>
      </c>
      <c r="Q134" t="s">
        <v>523</v>
      </c>
      <c r="R134" t="s">
        <v>74</v>
      </c>
      <c r="S134" t="s">
        <v>940</v>
      </c>
      <c r="AF134" s="5">
        <v>7.8261000000000003</v>
      </c>
      <c r="AI134" s="1">
        <v>1</v>
      </c>
      <c r="AJ134" t="s">
        <v>81</v>
      </c>
      <c r="AK134" t="s">
        <v>82</v>
      </c>
      <c r="AL134" t="s">
        <v>83</v>
      </c>
      <c r="AS134" s="3">
        <v>57745.120000000003</v>
      </c>
      <c r="AW134" t="s">
        <v>84</v>
      </c>
    </row>
    <row r="135" spans="1:59" x14ac:dyDescent="0.25">
      <c r="A135" t="s">
        <v>941</v>
      </c>
      <c r="B135" t="s">
        <v>942</v>
      </c>
      <c r="C135" s="1">
        <v>112</v>
      </c>
      <c r="D135" s="1">
        <v>1985</v>
      </c>
      <c r="E135" t="s">
        <v>64</v>
      </c>
      <c r="F135" t="s">
        <v>943</v>
      </c>
      <c r="G135" t="s">
        <v>220</v>
      </c>
      <c r="H135" t="s">
        <v>944</v>
      </c>
      <c r="J135" t="s">
        <v>220</v>
      </c>
      <c r="K135" s="1">
        <v>2</v>
      </c>
      <c r="L135" t="s">
        <v>69</v>
      </c>
      <c r="M135" t="s">
        <v>70</v>
      </c>
      <c r="N135" t="s">
        <v>71</v>
      </c>
      <c r="P135" t="s">
        <v>72</v>
      </c>
      <c r="Q135" t="s">
        <v>945</v>
      </c>
      <c r="R135" t="s">
        <v>74</v>
      </c>
      <c r="S135" t="s">
        <v>946</v>
      </c>
      <c r="T135" s="2">
        <v>687</v>
      </c>
      <c r="U135" s="3">
        <v>1.41</v>
      </c>
      <c r="V135" s="4">
        <v>968</v>
      </c>
      <c r="AF135" s="5">
        <v>14.2857</v>
      </c>
      <c r="AI135" s="1">
        <v>2</v>
      </c>
      <c r="AJ135" t="s">
        <v>81</v>
      </c>
      <c r="AK135" t="s">
        <v>82</v>
      </c>
      <c r="AL135" t="s">
        <v>83</v>
      </c>
      <c r="AM135" s="3">
        <v>1.31</v>
      </c>
      <c r="AN135" s="4">
        <v>1088</v>
      </c>
      <c r="AO135" s="1">
        <v>829</v>
      </c>
      <c r="AS135" s="3">
        <v>124530.1</v>
      </c>
      <c r="AT135" s="3">
        <v>1.8</v>
      </c>
      <c r="AU135" s="4">
        <v>882</v>
      </c>
      <c r="AV135" s="6">
        <v>490</v>
      </c>
      <c r="AW135" t="s">
        <v>84</v>
      </c>
      <c r="AY135" s="3">
        <v>1.36</v>
      </c>
      <c r="AZ135" s="4">
        <v>925</v>
      </c>
      <c r="BA135" s="1">
        <v>680</v>
      </c>
      <c r="BB135" s="1">
        <v>52</v>
      </c>
      <c r="BC135" s="1">
        <v>36</v>
      </c>
    </row>
    <row r="136" spans="1:59" x14ac:dyDescent="0.25">
      <c r="A136" t="s">
        <v>947</v>
      </c>
      <c r="B136" t="s">
        <v>948</v>
      </c>
      <c r="C136" s="1">
        <v>160</v>
      </c>
      <c r="D136" s="1">
        <v>1986</v>
      </c>
      <c r="E136" t="s">
        <v>64</v>
      </c>
      <c r="F136" t="s">
        <v>943</v>
      </c>
      <c r="G136" t="s">
        <v>193</v>
      </c>
      <c r="H136" t="s">
        <v>949</v>
      </c>
      <c r="I136" t="s">
        <v>950</v>
      </c>
      <c r="J136" t="s">
        <v>193</v>
      </c>
      <c r="K136" s="1">
        <v>3</v>
      </c>
      <c r="L136" t="s">
        <v>69</v>
      </c>
      <c r="M136" t="s">
        <v>70</v>
      </c>
      <c r="N136" t="s">
        <v>71</v>
      </c>
      <c r="O136" t="s">
        <v>118</v>
      </c>
      <c r="P136" t="s">
        <v>72</v>
      </c>
      <c r="Q136" t="s">
        <v>945</v>
      </c>
      <c r="R136" t="s">
        <v>74</v>
      </c>
      <c r="S136" t="s">
        <v>951</v>
      </c>
      <c r="T136" s="2">
        <v>851</v>
      </c>
      <c r="U136" s="3">
        <v>1.34</v>
      </c>
      <c r="V136" s="4">
        <v>1142</v>
      </c>
      <c r="AF136" s="5">
        <v>5.625</v>
      </c>
      <c r="AI136" s="1">
        <v>2</v>
      </c>
      <c r="AJ136" t="s">
        <v>81</v>
      </c>
      <c r="AK136" t="s">
        <v>82</v>
      </c>
      <c r="AL136" t="s">
        <v>83</v>
      </c>
      <c r="AM136" s="3">
        <v>1.28</v>
      </c>
      <c r="AN136" s="4">
        <v>1245</v>
      </c>
      <c r="AO136" s="1">
        <v>975</v>
      </c>
      <c r="AS136" s="3">
        <v>250972.77</v>
      </c>
      <c r="AW136" t="s">
        <v>84</v>
      </c>
      <c r="AY136" s="3">
        <v>1.42</v>
      </c>
      <c r="AZ136" s="4">
        <v>1038</v>
      </c>
      <c r="BA136" s="1">
        <v>729</v>
      </c>
      <c r="BB136" s="1">
        <v>80</v>
      </c>
      <c r="BC136" s="1">
        <v>80</v>
      </c>
    </row>
    <row r="137" spans="1:59" x14ac:dyDescent="0.25">
      <c r="A137" t="s">
        <v>952</v>
      </c>
      <c r="B137" t="s">
        <v>953</v>
      </c>
      <c r="C137" s="1">
        <v>200</v>
      </c>
      <c r="D137" s="1">
        <v>1988</v>
      </c>
      <c r="E137" t="s">
        <v>64</v>
      </c>
      <c r="F137" t="s">
        <v>943</v>
      </c>
      <c r="G137" t="s">
        <v>954</v>
      </c>
      <c r="H137" t="s">
        <v>953</v>
      </c>
      <c r="I137" t="s">
        <v>955</v>
      </c>
      <c r="J137" t="s">
        <v>954</v>
      </c>
      <c r="K137" s="1">
        <v>3</v>
      </c>
      <c r="L137" t="s">
        <v>69</v>
      </c>
      <c r="M137" t="s">
        <v>70</v>
      </c>
      <c r="N137" t="s">
        <v>71</v>
      </c>
      <c r="P137" t="s">
        <v>72</v>
      </c>
      <c r="Q137" t="s">
        <v>945</v>
      </c>
      <c r="R137" t="s">
        <v>74</v>
      </c>
      <c r="S137" t="s">
        <v>946</v>
      </c>
      <c r="T137" s="2">
        <v>777</v>
      </c>
      <c r="U137" s="3">
        <v>1.21</v>
      </c>
      <c r="V137" s="4">
        <v>944</v>
      </c>
      <c r="AF137" s="5">
        <v>4</v>
      </c>
      <c r="AH137" s="1">
        <v>2005</v>
      </c>
      <c r="AI137" s="1">
        <v>2</v>
      </c>
      <c r="AJ137" t="s">
        <v>81</v>
      </c>
      <c r="AK137" t="s">
        <v>82</v>
      </c>
      <c r="AL137" t="s">
        <v>83</v>
      </c>
      <c r="AM137" s="3">
        <v>1.18</v>
      </c>
      <c r="AN137" s="4">
        <v>944</v>
      </c>
      <c r="AO137" s="1">
        <v>800</v>
      </c>
      <c r="AP137" s="3">
        <v>0.94</v>
      </c>
      <c r="AQ137" s="4">
        <v>944</v>
      </c>
      <c r="AR137" s="1">
        <v>1000</v>
      </c>
      <c r="AS137" s="3">
        <v>211345.03</v>
      </c>
      <c r="AW137" t="s">
        <v>84</v>
      </c>
      <c r="AY137" s="3">
        <v>1.59</v>
      </c>
      <c r="AZ137" s="4">
        <v>944</v>
      </c>
      <c r="BA137" s="1">
        <v>593</v>
      </c>
      <c r="BB137" s="1">
        <v>80</v>
      </c>
      <c r="BC137" s="1">
        <v>60</v>
      </c>
      <c r="BD137" s="1">
        <v>60</v>
      </c>
      <c r="BF137" t="s">
        <v>956</v>
      </c>
      <c r="BG137" t="s">
        <v>104</v>
      </c>
    </row>
    <row r="138" spans="1:59" x14ac:dyDescent="0.25">
      <c r="A138" t="s">
        <v>957</v>
      </c>
      <c r="B138" t="s">
        <v>958</v>
      </c>
      <c r="C138" s="1">
        <v>260</v>
      </c>
      <c r="D138" s="1">
        <v>1986</v>
      </c>
      <c r="E138" t="s">
        <v>64</v>
      </c>
      <c r="F138" t="s">
        <v>97</v>
      </c>
      <c r="G138" t="s">
        <v>929</v>
      </c>
      <c r="H138" t="s">
        <v>959</v>
      </c>
      <c r="I138" t="s">
        <v>960</v>
      </c>
      <c r="J138" t="s">
        <v>929</v>
      </c>
      <c r="K138" s="1">
        <v>3</v>
      </c>
      <c r="L138" t="s">
        <v>91</v>
      </c>
      <c r="M138" t="s">
        <v>70</v>
      </c>
      <c r="N138" t="s">
        <v>71</v>
      </c>
      <c r="P138" t="s">
        <v>72</v>
      </c>
      <c r="Q138" t="s">
        <v>961</v>
      </c>
      <c r="R138" t="s">
        <v>74</v>
      </c>
      <c r="S138" t="s">
        <v>962</v>
      </c>
      <c r="T138" s="2">
        <v>828</v>
      </c>
      <c r="U138" s="3">
        <v>1.77</v>
      </c>
      <c r="V138" s="4">
        <v>1471</v>
      </c>
      <c r="AF138" s="5">
        <v>6.9230999999999998</v>
      </c>
      <c r="AI138" s="1">
        <v>2</v>
      </c>
      <c r="AJ138" t="s">
        <v>81</v>
      </c>
      <c r="AK138" t="s">
        <v>82</v>
      </c>
      <c r="AL138" t="s">
        <v>83</v>
      </c>
      <c r="AM138" s="3">
        <v>1.64</v>
      </c>
      <c r="AN138" s="4">
        <v>1543</v>
      </c>
      <c r="AO138" s="1">
        <v>941</v>
      </c>
      <c r="AS138" s="3">
        <v>735184</v>
      </c>
      <c r="AW138" t="s">
        <v>84</v>
      </c>
      <c r="AY138" s="3">
        <v>2.06</v>
      </c>
      <c r="AZ138" s="4">
        <v>1362</v>
      </c>
      <c r="BA138" s="1">
        <v>660</v>
      </c>
      <c r="BB138" s="1">
        <v>104</v>
      </c>
      <c r="BC138" s="1">
        <v>156</v>
      </c>
      <c r="BF138" t="s">
        <v>919</v>
      </c>
      <c r="BG138" t="s">
        <v>104</v>
      </c>
    </row>
    <row r="139" spans="1:59" x14ac:dyDescent="0.25">
      <c r="A139" t="s">
        <v>963</v>
      </c>
      <c r="B139" t="s">
        <v>964</v>
      </c>
      <c r="C139" s="1">
        <v>386</v>
      </c>
      <c r="D139" s="1">
        <v>1985</v>
      </c>
      <c r="E139" t="s">
        <v>64</v>
      </c>
      <c r="F139" t="s">
        <v>653</v>
      </c>
      <c r="G139" t="s">
        <v>965</v>
      </c>
      <c r="H139" t="s">
        <v>966</v>
      </c>
      <c r="I139" t="s">
        <v>779</v>
      </c>
      <c r="J139" t="s">
        <v>965</v>
      </c>
      <c r="K139" s="1">
        <v>2</v>
      </c>
      <c r="L139" t="s">
        <v>69</v>
      </c>
      <c r="M139" t="s">
        <v>70</v>
      </c>
      <c r="N139" t="s">
        <v>71</v>
      </c>
      <c r="P139" t="s">
        <v>72</v>
      </c>
      <c r="Q139" t="s">
        <v>152</v>
      </c>
      <c r="R139" t="s">
        <v>74</v>
      </c>
      <c r="S139" t="s">
        <v>967</v>
      </c>
      <c r="T139" s="2">
        <v>752</v>
      </c>
      <c r="U139" s="3">
        <v>1.3</v>
      </c>
      <c r="V139" s="4">
        <v>975</v>
      </c>
      <c r="AF139" s="5">
        <v>27.202100000000002</v>
      </c>
      <c r="AI139" s="1">
        <v>2</v>
      </c>
      <c r="AJ139" t="s">
        <v>81</v>
      </c>
      <c r="AK139" t="s">
        <v>82</v>
      </c>
      <c r="AL139" t="s">
        <v>83</v>
      </c>
      <c r="AM139" s="3">
        <v>1.32</v>
      </c>
      <c r="AN139" s="4">
        <v>1308</v>
      </c>
      <c r="AO139" s="1">
        <v>987</v>
      </c>
      <c r="AS139" s="3">
        <v>0</v>
      </c>
      <c r="AW139" t="s">
        <v>84</v>
      </c>
      <c r="AY139" s="3">
        <v>1.28</v>
      </c>
      <c r="AZ139" s="4">
        <v>859</v>
      </c>
      <c r="BA139" s="1">
        <v>671</v>
      </c>
      <c r="BB139" s="1">
        <v>286</v>
      </c>
      <c r="BC139" s="1">
        <v>100</v>
      </c>
      <c r="BF139" t="s">
        <v>968</v>
      </c>
      <c r="BG139" t="s">
        <v>131</v>
      </c>
    </row>
    <row r="140" spans="1:59" x14ac:dyDescent="0.25">
      <c r="A140" t="s">
        <v>969</v>
      </c>
      <c r="B140" t="s">
        <v>970</v>
      </c>
      <c r="C140" s="1">
        <v>76</v>
      </c>
      <c r="D140" s="1">
        <v>1985</v>
      </c>
      <c r="E140" t="s">
        <v>64</v>
      </c>
      <c r="F140" t="s">
        <v>653</v>
      </c>
      <c r="G140" t="s">
        <v>971</v>
      </c>
      <c r="H140" t="s">
        <v>972</v>
      </c>
      <c r="I140" t="s">
        <v>973</v>
      </c>
      <c r="J140" t="s">
        <v>971</v>
      </c>
      <c r="K140" s="1">
        <v>3</v>
      </c>
      <c r="L140" t="s">
        <v>69</v>
      </c>
      <c r="M140" t="s">
        <v>70</v>
      </c>
      <c r="N140" t="s">
        <v>71</v>
      </c>
      <c r="P140" t="s">
        <v>72</v>
      </c>
      <c r="Q140" t="s">
        <v>152</v>
      </c>
      <c r="R140" t="s">
        <v>74</v>
      </c>
      <c r="S140" t="s">
        <v>974</v>
      </c>
      <c r="T140" s="2">
        <v>1026</v>
      </c>
      <c r="U140" s="3">
        <v>1.19</v>
      </c>
      <c r="V140" s="4">
        <v>1218</v>
      </c>
      <c r="AF140" s="5">
        <v>1.3158000000000001</v>
      </c>
      <c r="AI140" s="1">
        <v>2</v>
      </c>
      <c r="AJ140" t="s">
        <v>81</v>
      </c>
      <c r="AK140" t="s">
        <v>82</v>
      </c>
      <c r="AL140" t="s">
        <v>83</v>
      </c>
      <c r="AM140" s="3">
        <v>1.19</v>
      </c>
      <c r="AN140" s="4">
        <v>1218</v>
      </c>
      <c r="AO140" s="1">
        <v>1026</v>
      </c>
      <c r="AS140" s="3">
        <v>172778.76</v>
      </c>
      <c r="AW140" t="s">
        <v>84</v>
      </c>
      <c r="BC140" s="1">
        <v>76</v>
      </c>
    </row>
    <row r="141" spans="1:59" x14ac:dyDescent="0.25">
      <c r="A141" t="s">
        <v>975</v>
      </c>
      <c r="B141" t="s">
        <v>976</v>
      </c>
      <c r="C141" s="1">
        <v>341</v>
      </c>
      <c r="D141" s="1">
        <v>1987</v>
      </c>
      <c r="E141" t="s">
        <v>64</v>
      </c>
      <c r="F141" t="s">
        <v>156</v>
      </c>
      <c r="G141" t="s">
        <v>977</v>
      </c>
      <c r="H141" t="s">
        <v>978</v>
      </c>
      <c r="I141" t="s">
        <v>979</v>
      </c>
      <c r="J141" t="s">
        <v>977</v>
      </c>
      <c r="K141" s="1">
        <v>3</v>
      </c>
      <c r="L141" t="s">
        <v>91</v>
      </c>
      <c r="M141" t="s">
        <v>70</v>
      </c>
      <c r="N141" t="s">
        <v>71</v>
      </c>
      <c r="P141" t="s">
        <v>72</v>
      </c>
      <c r="Q141" t="s">
        <v>73</v>
      </c>
      <c r="R141" t="s">
        <v>74</v>
      </c>
      <c r="S141" t="s">
        <v>461</v>
      </c>
      <c r="T141" s="2">
        <v>703</v>
      </c>
      <c r="U141" s="3">
        <v>1.55</v>
      </c>
      <c r="V141" s="4">
        <v>1092</v>
      </c>
      <c r="AF141" s="5">
        <v>10.8504</v>
      </c>
      <c r="AH141" s="1">
        <v>2019</v>
      </c>
      <c r="AI141" s="1">
        <v>3</v>
      </c>
      <c r="AJ141" t="s">
        <v>81</v>
      </c>
      <c r="AK141" t="s">
        <v>82</v>
      </c>
      <c r="AL141" t="s">
        <v>83</v>
      </c>
      <c r="AM141" s="3">
        <v>1.56</v>
      </c>
      <c r="AN141" s="4">
        <v>1480</v>
      </c>
      <c r="AO141" s="1">
        <v>946</v>
      </c>
      <c r="AS141" s="3">
        <v>838136.26</v>
      </c>
      <c r="AW141" t="s">
        <v>84</v>
      </c>
      <c r="AY141" s="3">
        <v>1.55</v>
      </c>
      <c r="AZ141" s="4">
        <v>963</v>
      </c>
      <c r="BA141" s="1">
        <v>622</v>
      </c>
      <c r="BB141" s="1">
        <v>256</v>
      </c>
      <c r="BC141" s="1">
        <v>85</v>
      </c>
      <c r="BF141" t="s">
        <v>980</v>
      </c>
      <c r="BG141" t="s">
        <v>104</v>
      </c>
    </row>
    <row r="142" spans="1:59" x14ac:dyDescent="0.25">
      <c r="A142" t="s">
        <v>981</v>
      </c>
      <c r="B142" t="s">
        <v>982</v>
      </c>
      <c r="C142" s="1">
        <v>690</v>
      </c>
      <c r="D142" s="1">
        <v>1988</v>
      </c>
      <c r="E142" t="s">
        <v>64</v>
      </c>
      <c r="F142" t="s">
        <v>551</v>
      </c>
      <c r="G142" t="s">
        <v>983</v>
      </c>
      <c r="H142" t="s">
        <v>984</v>
      </c>
      <c r="I142" t="s">
        <v>985</v>
      </c>
      <c r="J142" t="s">
        <v>983</v>
      </c>
      <c r="K142" s="1">
        <v>3</v>
      </c>
      <c r="L142" t="s">
        <v>91</v>
      </c>
      <c r="M142" t="s">
        <v>70</v>
      </c>
      <c r="N142" t="s">
        <v>71</v>
      </c>
      <c r="P142" t="s">
        <v>72</v>
      </c>
      <c r="Q142" t="s">
        <v>551</v>
      </c>
      <c r="R142" t="s">
        <v>74</v>
      </c>
      <c r="S142" t="s">
        <v>986</v>
      </c>
      <c r="T142" s="2">
        <v>868</v>
      </c>
      <c r="U142" s="3">
        <v>1.81</v>
      </c>
      <c r="V142" s="4">
        <v>1568</v>
      </c>
      <c r="AF142" s="5">
        <v>5.0724999999999998</v>
      </c>
      <c r="AH142" s="1">
        <v>2003</v>
      </c>
      <c r="AI142" s="1">
        <v>2</v>
      </c>
      <c r="AJ142" t="s">
        <v>81</v>
      </c>
      <c r="AK142" t="s">
        <v>82</v>
      </c>
      <c r="AL142" t="s">
        <v>83</v>
      </c>
      <c r="AM142" s="3">
        <v>1.65</v>
      </c>
      <c r="AN142" s="4">
        <v>1715</v>
      </c>
      <c r="AO142" s="1">
        <v>1040</v>
      </c>
      <c r="AP142" s="3">
        <v>1.48</v>
      </c>
      <c r="AQ142" s="4">
        <v>2052</v>
      </c>
      <c r="AR142" s="1">
        <v>1390</v>
      </c>
      <c r="AS142" s="3">
        <v>2154996.35</v>
      </c>
      <c r="AW142" t="s">
        <v>84</v>
      </c>
      <c r="AY142" s="3">
        <v>2</v>
      </c>
      <c r="AZ142" s="4">
        <v>1439</v>
      </c>
      <c r="BA142" s="1">
        <v>719</v>
      </c>
      <c r="BB142" s="1">
        <v>387</v>
      </c>
      <c r="BC142" s="1">
        <v>287</v>
      </c>
      <c r="BD142" s="1">
        <v>16</v>
      </c>
      <c r="BF142" t="s">
        <v>987</v>
      </c>
      <c r="BG142" t="s">
        <v>131</v>
      </c>
    </row>
    <row r="143" spans="1:59" x14ac:dyDescent="0.25">
      <c r="A143" t="s">
        <v>988</v>
      </c>
      <c r="B143" t="s">
        <v>989</v>
      </c>
      <c r="C143" s="1">
        <v>180</v>
      </c>
      <c r="D143" s="1">
        <v>1985</v>
      </c>
      <c r="E143" t="s">
        <v>64</v>
      </c>
      <c r="F143" t="s">
        <v>551</v>
      </c>
      <c r="G143" t="s">
        <v>990</v>
      </c>
      <c r="H143" t="s">
        <v>991</v>
      </c>
      <c r="I143" t="s">
        <v>992</v>
      </c>
      <c r="J143" t="s">
        <v>990</v>
      </c>
      <c r="K143" s="1">
        <v>3</v>
      </c>
      <c r="L143" t="s">
        <v>91</v>
      </c>
      <c r="M143" t="s">
        <v>70</v>
      </c>
      <c r="N143" t="s">
        <v>71</v>
      </c>
      <c r="P143" t="s">
        <v>72</v>
      </c>
      <c r="Q143" t="s">
        <v>551</v>
      </c>
      <c r="R143" t="s">
        <v>74</v>
      </c>
      <c r="S143" t="s">
        <v>986</v>
      </c>
      <c r="T143" s="2">
        <v>800</v>
      </c>
      <c r="U143" s="3">
        <v>1.79</v>
      </c>
      <c r="V143" s="4">
        <v>1435</v>
      </c>
      <c r="AF143" s="5">
        <v>4.4443999999999999</v>
      </c>
      <c r="AI143" s="1">
        <v>2</v>
      </c>
      <c r="AJ143" t="s">
        <v>81</v>
      </c>
      <c r="AK143" t="s">
        <v>82</v>
      </c>
      <c r="AL143" t="s">
        <v>83</v>
      </c>
      <c r="AM143" s="3">
        <v>1.76</v>
      </c>
      <c r="AN143" s="4">
        <v>1685</v>
      </c>
      <c r="AO143" s="1">
        <v>957</v>
      </c>
      <c r="AS143" s="3">
        <v>455386.84</v>
      </c>
      <c r="AW143" t="s">
        <v>84</v>
      </c>
      <c r="AY143" s="3">
        <v>1.83</v>
      </c>
      <c r="AZ143" s="4">
        <v>1216</v>
      </c>
      <c r="BA143" s="1">
        <v>664</v>
      </c>
      <c r="BB143" s="1">
        <v>96</v>
      </c>
      <c r="BC143" s="1">
        <v>84</v>
      </c>
      <c r="BG143" t="s">
        <v>131</v>
      </c>
    </row>
    <row r="144" spans="1:59" x14ac:dyDescent="0.25">
      <c r="A144" t="s">
        <v>993</v>
      </c>
      <c r="B144" t="s">
        <v>994</v>
      </c>
      <c r="C144" s="1">
        <v>402</v>
      </c>
      <c r="D144" s="1">
        <v>1986</v>
      </c>
      <c r="E144" t="s">
        <v>64</v>
      </c>
      <c r="F144" t="s">
        <v>995</v>
      </c>
      <c r="G144" t="s">
        <v>687</v>
      </c>
      <c r="H144" t="s">
        <v>996</v>
      </c>
      <c r="J144" t="s">
        <v>687</v>
      </c>
      <c r="K144" s="1">
        <v>3</v>
      </c>
      <c r="L144" t="s">
        <v>69</v>
      </c>
      <c r="M144" t="s">
        <v>70</v>
      </c>
      <c r="N144" t="s">
        <v>71</v>
      </c>
      <c r="P144" t="s">
        <v>72</v>
      </c>
      <c r="Q144" t="s">
        <v>73</v>
      </c>
      <c r="R144" t="s">
        <v>74</v>
      </c>
      <c r="S144" t="s">
        <v>997</v>
      </c>
      <c r="T144" s="2">
        <v>721</v>
      </c>
      <c r="U144" s="3">
        <v>1.47</v>
      </c>
      <c r="V144" s="4">
        <v>1057</v>
      </c>
      <c r="AF144" s="5">
        <v>10.447800000000001</v>
      </c>
      <c r="AI144" s="1">
        <v>3</v>
      </c>
      <c r="AJ144" t="s">
        <v>81</v>
      </c>
      <c r="AK144" t="s">
        <v>82</v>
      </c>
      <c r="AL144" t="s">
        <v>83</v>
      </c>
      <c r="AM144" s="3">
        <v>1.4</v>
      </c>
      <c r="AN144" s="4">
        <v>1412</v>
      </c>
      <c r="AO144" s="1">
        <v>1006</v>
      </c>
      <c r="AS144" s="3">
        <v>0</v>
      </c>
      <c r="AW144" t="s">
        <v>84</v>
      </c>
      <c r="AY144" s="3">
        <v>1.49</v>
      </c>
      <c r="AZ144" s="4">
        <v>967</v>
      </c>
      <c r="BA144" s="1">
        <v>649</v>
      </c>
      <c r="BB144" s="1">
        <v>320</v>
      </c>
      <c r="BC144" s="1">
        <v>82</v>
      </c>
      <c r="BG144" t="s">
        <v>131</v>
      </c>
    </row>
    <row r="145" spans="1:59" x14ac:dyDescent="0.25">
      <c r="A145" t="s">
        <v>998</v>
      </c>
      <c r="B145" t="s">
        <v>999</v>
      </c>
      <c r="C145" s="1">
        <v>108</v>
      </c>
      <c r="D145" s="1">
        <v>1986</v>
      </c>
      <c r="E145" t="s">
        <v>64</v>
      </c>
      <c r="F145" t="s">
        <v>995</v>
      </c>
      <c r="G145" t="s">
        <v>1000</v>
      </c>
      <c r="H145" t="s">
        <v>1001</v>
      </c>
      <c r="I145" t="s">
        <v>1002</v>
      </c>
      <c r="J145" t="s">
        <v>1000</v>
      </c>
      <c r="K145" s="1">
        <v>2</v>
      </c>
      <c r="L145" t="s">
        <v>69</v>
      </c>
      <c r="M145" t="s">
        <v>70</v>
      </c>
      <c r="N145" t="s">
        <v>71</v>
      </c>
      <c r="P145" t="s">
        <v>72</v>
      </c>
      <c r="Q145" t="s">
        <v>73</v>
      </c>
      <c r="R145" t="s">
        <v>74</v>
      </c>
      <c r="S145" t="s">
        <v>997</v>
      </c>
      <c r="T145" s="2">
        <v>502</v>
      </c>
      <c r="U145" s="3">
        <v>2.0099999999999998</v>
      </c>
      <c r="V145" s="4">
        <v>1010</v>
      </c>
      <c r="AF145" s="5">
        <v>12.037000000000001</v>
      </c>
      <c r="AH145" s="1">
        <v>2006</v>
      </c>
      <c r="AI145" s="1">
        <v>3</v>
      </c>
      <c r="AJ145" t="s">
        <v>81</v>
      </c>
      <c r="AK145" t="s">
        <v>82</v>
      </c>
      <c r="AL145" t="s">
        <v>83</v>
      </c>
      <c r="AM145" s="3">
        <v>1.69</v>
      </c>
      <c r="AN145" s="4">
        <v>1475</v>
      </c>
      <c r="AO145" s="1">
        <v>875</v>
      </c>
      <c r="AS145" s="3">
        <v>241383.24</v>
      </c>
      <c r="AW145" t="s">
        <v>84</v>
      </c>
      <c r="AY145" s="3">
        <v>2.02</v>
      </c>
      <c r="AZ145" s="4">
        <v>1006</v>
      </c>
      <c r="BA145" s="1">
        <v>499</v>
      </c>
      <c r="BB145" s="1">
        <v>107</v>
      </c>
      <c r="BC145" s="1">
        <v>1</v>
      </c>
      <c r="BG145" t="s">
        <v>131</v>
      </c>
    </row>
    <row r="146" spans="1:59" x14ac:dyDescent="0.25">
      <c r="A146" t="s">
        <v>1003</v>
      </c>
      <c r="B146" t="s">
        <v>1004</v>
      </c>
      <c r="C146" s="1">
        <v>208</v>
      </c>
      <c r="D146" s="1">
        <v>1985</v>
      </c>
      <c r="E146" t="s">
        <v>64</v>
      </c>
      <c r="F146" t="s">
        <v>140</v>
      </c>
      <c r="G146" t="s">
        <v>1005</v>
      </c>
      <c r="H146" t="s">
        <v>1006</v>
      </c>
      <c r="J146" t="s">
        <v>1005</v>
      </c>
      <c r="K146" s="1">
        <v>3</v>
      </c>
      <c r="L146" t="s">
        <v>91</v>
      </c>
      <c r="M146" t="s">
        <v>70</v>
      </c>
      <c r="N146" t="s">
        <v>71</v>
      </c>
      <c r="P146" t="s">
        <v>72</v>
      </c>
      <c r="Q146" t="s">
        <v>134</v>
      </c>
      <c r="R146" t="s">
        <v>74</v>
      </c>
      <c r="S146" t="s">
        <v>1007</v>
      </c>
      <c r="T146" s="2">
        <v>855</v>
      </c>
      <c r="U146" s="3">
        <v>1.64</v>
      </c>
      <c r="V146" s="4">
        <v>1407</v>
      </c>
      <c r="AF146" s="5">
        <v>7.2115</v>
      </c>
      <c r="AI146" s="1">
        <v>2</v>
      </c>
      <c r="AJ146" t="s">
        <v>81</v>
      </c>
      <c r="AK146" t="s">
        <v>82</v>
      </c>
      <c r="AL146" t="s">
        <v>83</v>
      </c>
      <c r="AM146" s="3">
        <v>1.61</v>
      </c>
      <c r="AN146" s="4">
        <v>1494</v>
      </c>
      <c r="AO146" s="1">
        <v>926</v>
      </c>
      <c r="AS146" s="3">
        <v>0</v>
      </c>
      <c r="AW146" t="s">
        <v>84</v>
      </c>
      <c r="AY146" s="3">
        <v>1.71</v>
      </c>
      <c r="AZ146" s="4">
        <v>1267</v>
      </c>
      <c r="BA146" s="1">
        <v>743</v>
      </c>
      <c r="BB146" s="1">
        <v>80</v>
      </c>
      <c r="BC146" s="1">
        <v>128</v>
      </c>
    </row>
    <row r="147" spans="1:59" x14ac:dyDescent="0.25">
      <c r="A147" t="s">
        <v>1008</v>
      </c>
      <c r="B147" t="s">
        <v>1009</v>
      </c>
      <c r="C147" s="1">
        <v>202</v>
      </c>
      <c r="D147" s="1">
        <v>1986</v>
      </c>
      <c r="E147" t="s">
        <v>64</v>
      </c>
      <c r="F147" t="s">
        <v>660</v>
      </c>
      <c r="G147" t="s">
        <v>790</v>
      </c>
      <c r="H147" t="s">
        <v>1010</v>
      </c>
      <c r="I147" t="s">
        <v>1011</v>
      </c>
      <c r="J147" t="s">
        <v>790</v>
      </c>
      <c r="K147" s="1">
        <v>3</v>
      </c>
      <c r="L147" t="s">
        <v>69</v>
      </c>
      <c r="M147" t="s">
        <v>70</v>
      </c>
      <c r="N147" t="s">
        <v>71</v>
      </c>
      <c r="P147" t="s">
        <v>72</v>
      </c>
      <c r="Q147" t="s">
        <v>1012</v>
      </c>
      <c r="R147" t="s">
        <v>74</v>
      </c>
      <c r="S147" t="s">
        <v>1013</v>
      </c>
      <c r="T147" s="2">
        <v>1000</v>
      </c>
      <c r="U147" s="3">
        <v>1.56</v>
      </c>
      <c r="V147" s="4">
        <v>1559</v>
      </c>
      <c r="AF147" s="5">
        <v>18.316800000000001</v>
      </c>
      <c r="AH147" s="1">
        <v>2016</v>
      </c>
      <c r="AI147" s="1">
        <v>2</v>
      </c>
      <c r="AJ147" t="s">
        <v>81</v>
      </c>
      <c r="AK147" t="s">
        <v>82</v>
      </c>
      <c r="AL147" t="s">
        <v>83</v>
      </c>
      <c r="AM147" s="3">
        <v>1.58</v>
      </c>
      <c r="AN147" s="4">
        <v>1633</v>
      </c>
      <c r="AO147" s="1">
        <v>1035</v>
      </c>
      <c r="AS147" s="3">
        <v>416645.88</v>
      </c>
      <c r="AW147" t="s">
        <v>84</v>
      </c>
      <c r="AY147" s="3">
        <v>1.48</v>
      </c>
      <c r="AZ147" s="4">
        <v>1322</v>
      </c>
      <c r="BA147" s="1">
        <v>892</v>
      </c>
      <c r="BB147" s="1">
        <v>48</v>
      </c>
      <c r="BC147" s="1">
        <v>154</v>
      </c>
      <c r="BG147" t="s">
        <v>94</v>
      </c>
    </row>
    <row r="148" spans="1:59" x14ac:dyDescent="0.25">
      <c r="A148" t="s">
        <v>1014</v>
      </c>
      <c r="B148" t="s">
        <v>1015</v>
      </c>
      <c r="C148" s="1">
        <v>160</v>
      </c>
      <c r="D148" s="1">
        <v>1986</v>
      </c>
      <c r="E148" t="s">
        <v>64</v>
      </c>
      <c r="F148" t="s">
        <v>943</v>
      </c>
      <c r="G148" t="s">
        <v>1016</v>
      </c>
      <c r="H148" t="s">
        <v>1017</v>
      </c>
      <c r="I148" t="s">
        <v>1018</v>
      </c>
      <c r="J148" t="s">
        <v>1016</v>
      </c>
      <c r="K148" s="1">
        <v>3</v>
      </c>
      <c r="L148" t="s">
        <v>91</v>
      </c>
      <c r="M148" t="s">
        <v>70</v>
      </c>
      <c r="N148" t="s">
        <v>71</v>
      </c>
      <c r="P148" t="s">
        <v>72</v>
      </c>
      <c r="Q148" t="s">
        <v>945</v>
      </c>
      <c r="R148" t="s">
        <v>74</v>
      </c>
      <c r="S148" t="s">
        <v>1019</v>
      </c>
      <c r="T148" s="2">
        <v>854</v>
      </c>
      <c r="U148" s="3">
        <v>1.23</v>
      </c>
      <c r="V148" s="4">
        <v>1050</v>
      </c>
      <c r="AF148" s="5">
        <v>12.5</v>
      </c>
      <c r="AI148" s="1">
        <v>2</v>
      </c>
      <c r="AJ148" t="s">
        <v>81</v>
      </c>
      <c r="AK148" t="s">
        <v>82</v>
      </c>
      <c r="AL148" t="s">
        <v>83</v>
      </c>
      <c r="AM148" s="3">
        <v>1.1299999999999999</v>
      </c>
      <c r="AN148" s="4">
        <v>1165</v>
      </c>
      <c r="AO148" s="1">
        <v>1030</v>
      </c>
      <c r="AS148" s="3">
        <v>297045.56</v>
      </c>
      <c r="AW148" t="s">
        <v>84</v>
      </c>
      <c r="AY148" s="3">
        <v>1.42</v>
      </c>
      <c r="AZ148" s="4">
        <v>910</v>
      </c>
      <c r="BA148" s="1">
        <v>641</v>
      </c>
      <c r="BB148" s="1">
        <v>72</v>
      </c>
      <c r="BC148" s="1">
        <v>88</v>
      </c>
      <c r="BG148" t="s">
        <v>131</v>
      </c>
    </row>
    <row r="149" spans="1:59" x14ac:dyDescent="0.25">
      <c r="A149" t="s">
        <v>1020</v>
      </c>
      <c r="B149" t="s">
        <v>1021</v>
      </c>
      <c r="C149" s="1">
        <v>198</v>
      </c>
      <c r="D149" s="1">
        <v>1985</v>
      </c>
      <c r="E149" t="s">
        <v>64</v>
      </c>
      <c r="F149" t="s">
        <v>551</v>
      </c>
      <c r="G149" t="s">
        <v>1022</v>
      </c>
      <c r="H149" t="s">
        <v>1023</v>
      </c>
      <c r="I149" t="s">
        <v>1024</v>
      </c>
      <c r="J149" t="s">
        <v>1022</v>
      </c>
      <c r="K149" s="1">
        <v>3</v>
      </c>
      <c r="L149" t="s">
        <v>91</v>
      </c>
      <c r="M149" t="s">
        <v>70</v>
      </c>
      <c r="N149" t="s">
        <v>71</v>
      </c>
      <c r="P149" t="s">
        <v>72</v>
      </c>
      <c r="Q149" t="s">
        <v>551</v>
      </c>
      <c r="R149" t="s">
        <v>74</v>
      </c>
      <c r="S149" t="s">
        <v>554</v>
      </c>
      <c r="T149" s="2">
        <v>844</v>
      </c>
      <c r="U149" s="3">
        <v>1.72</v>
      </c>
      <c r="V149" s="4">
        <v>1450</v>
      </c>
      <c r="AF149" s="5">
        <v>2.0202</v>
      </c>
      <c r="AI149" s="1">
        <v>2</v>
      </c>
      <c r="AJ149" t="s">
        <v>81</v>
      </c>
      <c r="AK149" t="s">
        <v>82</v>
      </c>
      <c r="AL149" t="s">
        <v>83</v>
      </c>
      <c r="AM149" s="3">
        <v>1.71</v>
      </c>
      <c r="AN149" s="4">
        <v>1732</v>
      </c>
      <c r="AO149" s="1">
        <v>1014</v>
      </c>
      <c r="AS149" s="3">
        <v>595051.32999999996</v>
      </c>
      <c r="AW149" t="s">
        <v>84</v>
      </c>
      <c r="AY149" s="3">
        <v>1.72</v>
      </c>
      <c r="AZ149" s="4">
        <v>1274</v>
      </c>
      <c r="BA149" s="1">
        <v>740</v>
      </c>
      <c r="BB149" s="1">
        <v>122</v>
      </c>
      <c r="BC149" s="1">
        <v>76</v>
      </c>
      <c r="BF149" t="s">
        <v>1025</v>
      </c>
      <c r="BG149" t="s">
        <v>104</v>
      </c>
    </row>
    <row r="150" spans="1:59" x14ac:dyDescent="0.25">
      <c r="A150" t="s">
        <v>1026</v>
      </c>
      <c r="B150" t="s">
        <v>1027</v>
      </c>
      <c r="C150" s="1">
        <v>192</v>
      </c>
      <c r="D150" s="1">
        <v>1986</v>
      </c>
      <c r="E150" t="s">
        <v>64</v>
      </c>
      <c r="F150" t="s">
        <v>725</v>
      </c>
      <c r="G150" t="s">
        <v>1028</v>
      </c>
      <c r="H150" t="s">
        <v>1029</v>
      </c>
      <c r="I150" t="s">
        <v>1030</v>
      </c>
      <c r="J150" t="s">
        <v>1028</v>
      </c>
      <c r="K150" s="1">
        <v>3</v>
      </c>
      <c r="L150" t="s">
        <v>91</v>
      </c>
      <c r="M150" t="s">
        <v>70</v>
      </c>
      <c r="N150" t="s">
        <v>71</v>
      </c>
      <c r="P150" t="s">
        <v>72</v>
      </c>
      <c r="Q150" t="s">
        <v>73</v>
      </c>
      <c r="R150" t="s">
        <v>74</v>
      </c>
      <c r="S150" t="s">
        <v>730</v>
      </c>
      <c r="T150" s="2">
        <v>600</v>
      </c>
      <c r="U150" s="3">
        <v>1.61</v>
      </c>
      <c r="V150" s="4">
        <v>967</v>
      </c>
      <c r="AF150" s="5">
        <v>15.625</v>
      </c>
      <c r="AI150" s="1">
        <v>2</v>
      </c>
      <c r="AJ150" t="s">
        <v>81</v>
      </c>
      <c r="AK150" t="s">
        <v>82</v>
      </c>
      <c r="AL150" t="s">
        <v>83</v>
      </c>
      <c r="AS150" s="3">
        <v>337710.42</v>
      </c>
      <c r="AW150" t="s">
        <v>84</v>
      </c>
      <c r="AY150" s="3">
        <v>1.61</v>
      </c>
      <c r="AZ150" s="4">
        <v>967</v>
      </c>
      <c r="BA150" s="1">
        <v>601</v>
      </c>
      <c r="BB150" s="1">
        <v>192</v>
      </c>
      <c r="BG150" t="s">
        <v>131</v>
      </c>
    </row>
    <row r="151" spans="1:59" x14ac:dyDescent="0.25">
      <c r="A151" t="s">
        <v>1031</v>
      </c>
      <c r="B151" t="s">
        <v>1032</v>
      </c>
      <c r="C151" s="1">
        <v>188</v>
      </c>
      <c r="D151" s="1">
        <v>1985</v>
      </c>
      <c r="E151" t="s">
        <v>64</v>
      </c>
      <c r="F151" t="s">
        <v>725</v>
      </c>
      <c r="G151" t="s">
        <v>1033</v>
      </c>
      <c r="H151" t="s">
        <v>1034</v>
      </c>
      <c r="I151" t="s">
        <v>1035</v>
      </c>
      <c r="J151" t="s">
        <v>1033</v>
      </c>
      <c r="K151" s="1">
        <v>3</v>
      </c>
      <c r="L151" t="s">
        <v>69</v>
      </c>
      <c r="M151" t="s">
        <v>70</v>
      </c>
      <c r="N151" t="s">
        <v>71</v>
      </c>
      <c r="P151" t="s">
        <v>72</v>
      </c>
      <c r="Q151" t="s">
        <v>73</v>
      </c>
      <c r="R151" t="s">
        <v>74</v>
      </c>
      <c r="S151" t="s">
        <v>730</v>
      </c>
      <c r="T151" s="2">
        <v>812</v>
      </c>
      <c r="U151" s="3">
        <v>1.63</v>
      </c>
      <c r="V151" s="4">
        <v>1328</v>
      </c>
      <c r="AF151" s="5">
        <v>12.766</v>
      </c>
      <c r="AI151" s="1">
        <v>2</v>
      </c>
      <c r="AJ151" t="s">
        <v>81</v>
      </c>
      <c r="AK151" t="s">
        <v>82</v>
      </c>
      <c r="AL151" t="s">
        <v>83</v>
      </c>
      <c r="AM151" s="3">
        <v>1.54</v>
      </c>
      <c r="AN151" s="4">
        <v>1641</v>
      </c>
      <c r="AO151" s="1">
        <v>1066</v>
      </c>
      <c r="AS151" s="3">
        <v>470918.42</v>
      </c>
      <c r="AW151" t="s">
        <v>84</v>
      </c>
      <c r="AY151" s="3">
        <v>1.69</v>
      </c>
      <c r="AZ151" s="4">
        <v>1208</v>
      </c>
      <c r="BA151" s="1">
        <v>716</v>
      </c>
      <c r="BB151" s="1">
        <v>136</v>
      </c>
      <c r="BC151" s="1">
        <v>52</v>
      </c>
      <c r="BG151" t="s">
        <v>131</v>
      </c>
    </row>
    <row r="152" spans="1:59" x14ac:dyDescent="0.25">
      <c r="A152" t="s">
        <v>1036</v>
      </c>
      <c r="B152" t="s">
        <v>1037</v>
      </c>
      <c r="C152" s="1">
        <v>460</v>
      </c>
      <c r="D152" s="1">
        <v>1987</v>
      </c>
      <c r="E152" t="s">
        <v>64</v>
      </c>
      <c r="F152" t="s">
        <v>725</v>
      </c>
      <c r="G152" t="s">
        <v>1038</v>
      </c>
      <c r="H152" t="s">
        <v>1039</v>
      </c>
      <c r="I152" t="s">
        <v>1038</v>
      </c>
      <c r="J152" t="s">
        <v>1038</v>
      </c>
      <c r="K152" s="1">
        <v>3</v>
      </c>
      <c r="L152" t="s">
        <v>69</v>
      </c>
      <c r="M152" t="s">
        <v>70</v>
      </c>
      <c r="N152" t="s">
        <v>71</v>
      </c>
      <c r="P152" t="s">
        <v>72</v>
      </c>
      <c r="Q152" t="s">
        <v>73</v>
      </c>
      <c r="R152" t="s">
        <v>74</v>
      </c>
      <c r="S152" t="s">
        <v>730</v>
      </c>
      <c r="T152" s="2">
        <v>1003</v>
      </c>
      <c r="U152" s="3">
        <v>1.42</v>
      </c>
      <c r="V152" s="4">
        <v>1421</v>
      </c>
      <c r="AF152" s="5">
        <v>6.0869999999999997</v>
      </c>
      <c r="AI152" s="1">
        <v>3</v>
      </c>
      <c r="AJ152" t="s">
        <v>81</v>
      </c>
      <c r="AK152" t="s">
        <v>82</v>
      </c>
      <c r="AL152" t="s">
        <v>83</v>
      </c>
      <c r="AM152" s="3">
        <v>1.39</v>
      </c>
      <c r="AN152" s="4">
        <v>1370</v>
      </c>
      <c r="AO152" s="1">
        <v>982</v>
      </c>
      <c r="AP152" s="3">
        <v>1.43</v>
      </c>
      <c r="AQ152" s="4">
        <v>1899</v>
      </c>
      <c r="AR152" s="1">
        <v>1329</v>
      </c>
      <c r="AS152" s="3">
        <v>1106939.71</v>
      </c>
      <c r="AW152" t="s">
        <v>84</v>
      </c>
      <c r="AY152" s="3">
        <v>1.51</v>
      </c>
      <c r="AZ152" s="4">
        <v>1175</v>
      </c>
      <c r="BA152" s="1">
        <v>778</v>
      </c>
      <c r="BB152" s="1">
        <v>74</v>
      </c>
      <c r="BC152" s="1">
        <v>314</v>
      </c>
      <c r="BD152" s="1">
        <v>72</v>
      </c>
    </row>
    <row r="153" spans="1:59" x14ac:dyDescent="0.25">
      <c r="A153" t="s">
        <v>1040</v>
      </c>
      <c r="B153" t="s">
        <v>1041</v>
      </c>
      <c r="C153" s="1">
        <v>168</v>
      </c>
      <c r="D153" s="1">
        <v>1990</v>
      </c>
      <c r="E153" t="s">
        <v>64</v>
      </c>
      <c r="F153" t="s">
        <v>269</v>
      </c>
      <c r="G153" t="s">
        <v>1042</v>
      </c>
      <c r="H153" t="s">
        <v>1043</v>
      </c>
      <c r="I153" t="s">
        <v>1044</v>
      </c>
      <c r="J153" t="s">
        <v>1042</v>
      </c>
      <c r="K153" s="1">
        <v>4</v>
      </c>
      <c r="L153" t="s">
        <v>729</v>
      </c>
      <c r="M153" t="s">
        <v>70</v>
      </c>
      <c r="N153" t="s">
        <v>71</v>
      </c>
      <c r="P153" t="s">
        <v>72</v>
      </c>
      <c r="Q153" t="s">
        <v>73</v>
      </c>
      <c r="R153" t="s">
        <v>74</v>
      </c>
      <c r="S153" t="s">
        <v>1045</v>
      </c>
      <c r="T153" s="2">
        <v>1211</v>
      </c>
      <c r="U153" s="3">
        <v>1.9</v>
      </c>
      <c r="V153" s="4">
        <v>2299</v>
      </c>
      <c r="AF153" s="5">
        <v>10.119</v>
      </c>
      <c r="AI153" s="1">
        <v>2</v>
      </c>
      <c r="AJ153" t="s">
        <v>81</v>
      </c>
      <c r="AK153" t="s">
        <v>82</v>
      </c>
      <c r="AL153" t="s">
        <v>83</v>
      </c>
      <c r="AM153" s="3">
        <v>1.9</v>
      </c>
      <c r="AN153" s="4">
        <v>2291</v>
      </c>
      <c r="AO153" s="1">
        <v>1204</v>
      </c>
      <c r="AP153" s="3">
        <v>1.83</v>
      </c>
      <c r="AQ153" s="4">
        <v>2600</v>
      </c>
      <c r="AR153" s="1">
        <v>1424</v>
      </c>
      <c r="AS153" s="3">
        <v>989000.78</v>
      </c>
      <c r="AW153" t="s">
        <v>84</v>
      </c>
      <c r="AY153" s="3">
        <v>1.95</v>
      </c>
      <c r="AZ153" s="4">
        <v>2043</v>
      </c>
      <c r="BA153" s="1">
        <v>1048</v>
      </c>
      <c r="BB153" s="1">
        <v>21</v>
      </c>
      <c r="BC153" s="1">
        <v>126</v>
      </c>
      <c r="BD153" s="1">
        <v>21</v>
      </c>
    </row>
    <row r="154" spans="1:59" x14ac:dyDescent="0.25">
      <c r="A154" t="s">
        <v>1046</v>
      </c>
      <c r="B154" t="s">
        <v>1047</v>
      </c>
      <c r="C154" s="1">
        <v>120</v>
      </c>
      <c r="D154" s="1">
        <v>1986</v>
      </c>
      <c r="E154" t="s">
        <v>64</v>
      </c>
      <c r="F154" t="s">
        <v>1048</v>
      </c>
      <c r="G154" t="s">
        <v>1047</v>
      </c>
      <c r="H154" t="s">
        <v>1047</v>
      </c>
      <c r="I154" t="s">
        <v>1049</v>
      </c>
      <c r="J154" t="s">
        <v>1047</v>
      </c>
      <c r="K154" s="1">
        <v>2</v>
      </c>
      <c r="L154" t="s">
        <v>69</v>
      </c>
      <c r="M154" t="s">
        <v>70</v>
      </c>
      <c r="N154" t="s">
        <v>71</v>
      </c>
      <c r="O154" t="s">
        <v>426</v>
      </c>
      <c r="P154" t="s">
        <v>72</v>
      </c>
      <c r="Q154" t="s">
        <v>140</v>
      </c>
      <c r="R154" t="s">
        <v>74</v>
      </c>
      <c r="S154" t="s">
        <v>1050</v>
      </c>
      <c r="T154" s="2">
        <v>512</v>
      </c>
      <c r="AF154" s="5">
        <v>6.6666999999999996</v>
      </c>
      <c r="AI154" s="1">
        <v>3</v>
      </c>
      <c r="AJ154" t="s">
        <v>81</v>
      </c>
      <c r="AK154" t="s">
        <v>82</v>
      </c>
      <c r="AL154" t="s">
        <v>83</v>
      </c>
      <c r="AV154" s="6">
        <v>480</v>
      </c>
      <c r="AW154" t="s">
        <v>84</v>
      </c>
      <c r="BA154" s="1">
        <v>529</v>
      </c>
      <c r="BB154" s="1">
        <v>80</v>
      </c>
      <c r="BF154" t="s">
        <v>1051</v>
      </c>
      <c r="BG154" t="s">
        <v>104</v>
      </c>
    </row>
    <row r="155" spans="1:59" x14ac:dyDescent="0.25">
      <c r="A155" t="s">
        <v>1052</v>
      </c>
      <c r="B155" t="s">
        <v>1053</v>
      </c>
      <c r="C155" s="1">
        <v>252</v>
      </c>
      <c r="D155" s="1">
        <v>1985</v>
      </c>
      <c r="E155" t="s">
        <v>64</v>
      </c>
      <c r="F155" t="s">
        <v>156</v>
      </c>
      <c r="G155" t="s">
        <v>552</v>
      </c>
      <c r="H155" t="s">
        <v>1054</v>
      </c>
      <c r="I155" t="s">
        <v>1055</v>
      </c>
      <c r="J155" t="s">
        <v>552</v>
      </c>
      <c r="K155" s="1">
        <v>3</v>
      </c>
      <c r="L155" t="s">
        <v>69</v>
      </c>
      <c r="M155" t="s">
        <v>70</v>
      </c>
      <c r="N155" t="s">
        <v>71</v>
      </c>
      <c r="P155" t="s">
        <v>72</v>
      </c>
      <c r="Q155" t="s">
        <v>73</v>
      </c>
      <c r="R155" t="s">
        <v>74</v>
      </c>
      <c r="S155" t="s">
        <v>342</v>
      </c>
      <c r="T155" s="2">
        <v>695</v>
      </c>
      <c r="U155" s="3">
        <v>1.82</v>
      </c>
      <c r="V155" s="4">
        <v>1268</v>
      </c>
      <c r="AF155" s="5">
        <v>9.1270000000000007</v>
      </c>
      <c r="AI155" s="1">
        <v>3</v>
      </c>
      <c r="AJ155" t="s">
        <v>81</v>
      </c>
      <c r="AK155" t="s">
        <v>82</v>
      </c>
      <c r="AL155" t="s">
        <v>83</v>
      </c>
      <c r="AM155" s="3">
        <v>1.7</v>
      </c>
      <c r="AN155" s="4">
        <v>1653</v>
      </c>
      <c r="AO155" s="1">
        <v>973</v>
      </c>
      <c r="AS155" s="3">
        <v>714650.85</v>
      </c>
      <c r="AW155" t="s">
        <v>84</v>
      </c>
      <c r="AY155" s="3">
        <v>1.88</v>
      </c>
      <c r="AZ155" s="4">
        <v>1161</v>
      </c>
      <c r="BA155" s="1">
        <v>619</v>
      </c>
      <c r="BB155" s="1">
        <v>197</v>
      </c>
      <c r="BC155" s="1">
        <v>55</v>
      </c>
    </row>
    <row r="156" spans="1:59" x14ac:dyDescent="0.25">
      <c r="A156" t="s">
        <v>1056</v>
      </c>
      <c r="B156" t="s">
        <v>1057</v>
      </c>
      <c r="C156" s="1">
        <v>232</v>
      </c>
      <c r="D156" s="1">
        <v>1986</v>
      </c>
      <c r="E156" t="s">
        <v>64</v>
      </c>
      <c r="F156" t="s">
        <v>269</v>
      </c>
      <c r="G156" t="s">
        <v>801</v>
      </c>
      <c r="H156" t="s">
        <v>1058</v>
      </c>
      <c r="I156" t="s">
        <v>1059</v>
      </c>
      <c r="J156" t="s">
        <v>801</v>
      </c>
      <c r="K156" s="1">
        <v>2</v>
      </c>
      <c r="L156" t="s">
        <v>69</v>
      </c>
      <c r="M156" t="s">
        <v>70</v>
      </c>
      <c r="N156" t="s">
        <v>71</v>
      </c>
      <c r="P156" t="s">
        <v>72</v>
      </c>
      <c r="Q156" t="s">
        <v>73</v>
      </c>
      <c r="R156" t="s">
        <v>74</v>
      </c>
      <c r="S156" t="s">
        <v>272</v>
      </c>
      <c r="T156" s="2">
        <v>724</v>
      </c>
      <c r="U156" s="3">
        <v>1.71</v>
      </c>
      <c r="V156" s="4">
        <v>1241</v>
      </c>
      <c r="AF156" s="5">
        <v>6.8966000000000003</v>
      </c>
      <c r="AI156" s="1">
        <v>2</v>
      </c>
      <c r="AJ156" t="s">
        <v>81</v>
      </c>
      <c r="AK156" t="s">
        <v>82</v>
      </c>
      <c r="AL156" t="s">
        <v>83</v>
      </c>
      <c r="AM156" s="3">
        <v>1.59</v>
      </c>
      <c r="AN156" s="4">
        <v>1597</v>
      </c>
      <c r="AO156" s="1">
        <v>1007</v>
      </c>
      <c r="AS156" s="3">
        <v>902053.08</v>
      </c>
      <c r="AW156" t="s">
        <v>84</v>
      </c>
      <c r="AY156" s="3">
        <v>1.8</v>
      </c>
      <c r="AZ156" s="4">
        <v>1099</v>
      </c>
      <c r="BA156" s="1">
        <v>612</v>
      </c>
      <c r="BB156" s="1">
        <v>166</v>
      </c>
      <c r="BC156" s="1">
        <v>66</v>
      </c>
      <c r="BF156" t="s">
        <v>1060</v>
      </c>
      <c r="BG156" t="s">
        <v>744</v>
      </c>
    </row>
    <row r="157" spans="1:59" x14ac:dyDescent="0.25">
      <c r="A157" t="s">
        <v>1061</v>
      </c>
      <c r="B157" t="s">
        <v>1062</v>
      </c>
      <c r="C157" s="1">
        <v>250</v>
      </c>
      <c r="D157" s="1">
        <v>1986</v>
      </c>
      <c r="E157" t="s">
        <v>64</v>
      </c>
      <c r="F157" t="s">
        <v>140</v>
      </c>
      <c r="G157" t="s">
        <v>540</v>
      </c>
      <c r="H157" t="s">
        <v>1063</v>
      </c>
      <c r="I157" t="s">
        <v>1064</v>
      </c>
      <c r="J157" t="s">
        <v>540</v>
      </c>
      <c r="K157" s="1">
        <v>3</v>
      </c>
      <c r="L157" t="s">
        <v>91</v>
      </c>
      <c r="M157" t="s">
        <v>70</v>
      </c>
      <c r="N157" t="s">
        <v>71</v>
      </c>
      <c r="P157" t="s">
        <v>72</v>
      </c>
      <c r="Q157" t="s">
        <v>140</v>
      </c>
      <c r="R157" t="s">
        <v>74</v>
      </c>
      <c r="S157" t="s">
        <v>1065</v>
      </c>
      <c r="T157" s="2">
        <v>810</v>
      </c>
      <c r="U157" s="3">
        <v>1.84</v>
      </c>
      <c r="V157" s="4">
        <v>1507</v>
      </c>
      <c r="AF157" s="5">
        <v>10</v>
      </c>
      <c r="AI157" s="1">
        <v>2</v>
      </c>
      <c r="AJ157" t="s">
        <v>81</v>
      </c>
      <c r="AK157" t="s">
        <v>82</v>
      </c>
      <c r="AL157" t="s">
        <v>83</v>
      </c>
      <c r="AM157" s="3">
        <v>1.83</v>
      </c>
      <c r="AN157" s="4">
        <v>1896</v>
      </c>
      <c r="AO157" s="1">
        <v>1038</v>
      </c>
      <c r="AP157" s="3">
        <v>1.72</v>
      </c>
      <c r="AQ157" s="4">
        <v>2325</v>
      </c>
      <c r="AR157" s="1">
        <v>1290</v>
      </c>
      <c r="AS157" s="3">
        <v>611225.18000000005</v>
      </c>
      <c r="AW157" t="s">
        <v>84</v>
      </c>
      <c r="AY157" s="3">
        <v>1.86</v>
      </c>
      <c r="AZ157" s="4">
        <v>1302</v>
      </c>
      <c r="BA157" s="1">
        <v>702</v>
      </c>
      <c r="BB157" s="1">
        <v>168</v>
      </c>
      <c r="BC157" s="1">
        <v>76</v>
      </c>
      <c r="BD157" s="1">
        <v>6</v>
      </c>
      <c r="BF157" t="s">
        <v>1066</v>
      </c>
      <c r="BG157" t="s">
        <v>104</v>
      </c>
    </row>
    <row r="158" spans="1:59" x14ac:dyDescent="0.25">
      <c r="A158" t="s">
        <v>1067</v>
      </c>
      <c r="B158" t="s">
        <v>1068</v>
      </c>
      <c r="C158" s="1">
        <v>124</v>
      </c>
      <c r="D158" s="1">
        <v>1985</v>
      </c>
      <c r="E158" t="s">
        <v>64</v>
      </c>
      <c r="F158" t="s">
        <v>653</v>
      </c>
      <c r="G158" t="s">
        <v>1069</v>
      </c>
      <c r="I158" t="s">
        <v>1069</v>
      </c>
      <c r="K158" s="1">
        <v>2</v>
      </c>
      <c r="L158" t="s">
        <v>69</v>
      </c>
      <c r="M158" t="s">
        <v>70</v>
      </c>
      <c r="N158" t="s">
        <v>127</v>
      </c>
      <c r="P158" t="s">
        <v>72</v>
      </c>
      <c r="Q158" t="s">
        <v>152</v>
      </c>
      <c r="R158" t="s">
        <v>74</v>
      </c>
      <c r="S158" t="s">
        <v>1070</v>
      </c>
      <c r="AF158" s="5">
        <v>15.3226</v>
      </c>
      <c r="AI158" s="1">
        <v>1</v>
      </c>
      <c r="AJ158" t="s">
        <v>81</v>
      </c>
      <c r="AK158" t="s">
        <v>82</v>
      </c>
      <c r="AL158" t="s">
        <v>83</v>
      </c>
      <c r="AS158" s="3">
        <v>118252.48</v>
      </c>
      <c r="AW158" t="s">
        <v>84</v>
      </c>
      <c r="BB158" s="1">
        <v>124</v>
      </c>
      <c r="BF158" t="s">
        <v>1071</v>
      </c>
      <c r="BG158" t="s">
        <v>104</v>
      </c>
    </row>
    <row r="159" spans="1:59" x14ac:dyDescent="0.25">
      <c r="A159" t="s">
        <v>1072</v>
      </c>
      <c r="B159" t="s">
        <v>1073</v>
      </c>
      <c r="C159" s="1">
        <v>264</v>
      </c>
      <c r="D159" s="1">
        <v>1985</v>
      </c>
      <c r="E159" t="s">
        <v>64</v>
      </c>
      <c r="F159" t="s">
        <v>725</v>
      </c>
      <c r="G159" t="s">
        <v>199</v>
      </c>
      <c r="H159" t="s">
        <v>1074</v>
      </c>
      <c r="I159" t="s">
        <v>1075</v>
      </c>
      <c r="J159" t="s">
        <v>199</v>
      </c>
      <c r="K159" s="1">
        <v>3</v>
      </c>
      <c r="L159" t="s">
        <v>91</v>
      </c>
      <c r="M159" t="s">
        <v>70</v>
      </c>
      <c r="N159" t="s">
        <v>71</v>
      </c>
      <c r="P159" t="s">
        <v>72</v>
      </c>
      <c r="Q159" t="s">
        <v>73</v>
      </c>
      <c r="R159" t="s">
        <v>74</v>
      </c>
      <c r="S159" t="s">
        <v>730</v>
      </c>
      <c r="T159" s="2">
        <v>781</v>
      </c>
      <c r="U159" s="3">
        <v>1.6</v>
      </c>
      <c r="V159" s="4">
        <v>1250</v>
      </c>
      <c r="AF159" s="5">
        <v>9.8484999999999996</v>
      </c>
      <c r="AH159" s="1">
        <v>2018</v>
      </c>
      <c r="AI159" s="1">
        <v>2</v>
      </c>
      <c r="AJ159" t="s">
        <v>81</v>
      </c>
      <c r="AK159" t="s">
        <v>82</v>
      </c>
      <c r="AL159" t="s">
        <v>83</v>
      </c>
      <c r="AM159" s="3">
        <v>1.53</v>
      </c>
      <c r="AN159" s="4">
        <v>1475</v>
      </c>
      <c r="AO159" s="1">
        <v>962</v>
      </c>
      <c r="AS159" s="3">
        <v>656659.15</v>
      </c>
      <c r="AW159" t="s">
        <v>84</v>
      </c>
      <c r="AY159" s="3">
        <v>1.65</v>
      </c>
      <c r="AZ159" s="4">
        <v>1138</v>
      </c>
      <c r="BA159" s="1">
        <v>691</v>
      </c>
      <c r="BB159" s="1">
        <v>176</v>
      </c>
      <c r="BC159" s="1">
        <v>88</v>
      </c>
      <c r="BF159" t="s">
        <v>1076</v>
      </c>
      <c r="BG159" t="s">
        <v>131</v>
      </c>
    </row>
    <row r="160" spans="1:59" x14ac:dyDescent="0.25">
      <c r="A160" t="s">
        <v>1077</v>
      </c>
      <c r="B160" t="s">
        <v>1078</v>
      </c>
      <c r="C160" s="1">
        <v>406</v>
      </c>
      <c r="D160" s="1">
        <v>1985</v>
      </c>
      <c r="E160" t="s">
        <v>64</v>
      </c>
      <c r="F160" t="s">
        <v>725</v>
      </c>
      <c r="G160" t="s">
        <v>1079</v>
      </c>
      <c r="H160" t="s">
        <v>1080</v>
      </c>
      <c r="I160" t="s">
        <v>1081</v>
      </c>
      <c r="J160" t="s">
        <v>1079</v>
      </c>
      <c r="K160" s="1">
        <v>3</v>
      </c>
      <c r="L160" t="s">
        <v>69</v>
      </c>
      <c r="M160" t="s">
        <v>70</v>
      </c>
      <c r="N160" t="s">
        <v>71</v>
      </c>
      <c r="P160" t="s">
        <v>72</v>
      </c>
      <c r="Q160" t="s">
        <v>73</v>
      </c>
      <c r="R160" t="s">
        <v>74</v>
      </c>
      <c r="S160" t="s">
        <v>1082</v>
      </c>
      <c r="T160" s="2">
        <v>600</v>
      </c>
      <c r="U160" s="3">
        <v>1.67</v>
      </c>
      <c r="V160" s="4">
        <v>1002</v>
      </c>
      <c r="AF160" s="5">
        <v>3.9409000000000001</v>
      </c>
      <c r="AI160" s="1">
        <v>3</v>
      </c>
      <c r="AJ160" t="s">
        <v>81</v>
      </c>
      <c r="AK160" t="s">
        <v>82</v>
      </c>
      <c r="AL160" t="s">
        <v>83</v>
      </c>
      <c r="AM160" s="3">
        <v>1.67</v>
      </c>
      <c r="AN160" s="4">
        <v>1349</v>
      </c>
      <c r="AO160" s="1">
        <v>810</v>
      </c>
      <c r="AS160" s="3">
        <v>671668.5</v>
      </c>
      <c r="AW160" t="s">
        <v>84</v>
      </c>
      <c r="AY160" s="3">
        <v>1.67</v>
      </c>
      <c r="AZ160" s="4">
        <v>929</v>
      </c>
      <c r="BA160" s="1">
        <v>557</v>
      </c>
      <c r="BB160" s="1">
        <v>336</v>
      </c>
      <c r="BC160" s="1">
        <v>70</v>
      </c>
    </row>
    <row r="161" spans="1:59" x14ac:dyDescent="0.25">
      <c r="A161" t="s">
        <v>1083</v>
      </c>
      <c r="B161" t="s">
        <v>1084</v>
      </c>
      <c r="C161" s="1">
        <v>264</v>
      </c>
      <c r="D161" s="1">
        <v>1985</v>
      </c>
      <c r="E161" t="s">
        <v>64</v>
      </c>
      <c r="F161" t="s">
        <v>725</v>
      </c>
      <c r="G161" t="s">
        <v>1079</v>
      </c>
      <c r="H161" t="s">
        <v>1085</v>
      </c>
      <c r="I161" t="s">
        <v>1086</v>
      </c>
      <c r="J161" t="s">
        <v>1079</v>
      </c>
      <c r="K161" s="1">
        <v>3</v>
      </c>
      <c r="L161" t="s">
        <v>69</v>
      </c>
      <c r="M161" t="s">
        <v>70</v>
      </c>
      <c r="N161" t="s">
        <v>71</v>
      </c>
      <c r="P161" t="s">
        <v>72</v>
      </c>
      <c r="Q161" t="s">
        <v>73</v>
      </c>
      <c r="R161" t="s">
        <v>74</v>
      </c>
      <c r="S161" t="s">
        <v>1087</v>
      </c>
      <c r="T161" s="2">
        <v>698</v>
      </c>
      <c r="U161" s="3">
        <v>1.52</v>
      </c>
      <c r="V161" s="4">
        <v>1059</v>
      </c>
      <c r="AF161" s="5">
        <v>4.9241999999999999</v>
      </c>
      <c r="AI161" s="1">
        <v>3</v>
      </c>
      <c r="AJ161" t="s">
        <v>81</v>
      </c>
      <c r="AK161" t="s">
        <v>82</v>
      </c>
      <c r="AL161" t="s">
        <v>83</v>
      </c>
      <c r="AM161" s="3">
        <v>1.52</v>
      </c>
      <c r="AN161" s="4">
        <v>1381</v>
      </c>
      <c r="AO161" s="1">
        <v>910</v>
      </c>
      <c r="AS161" s="3">
        <v>418385.69</v>
      </c>
      <c r="AT161" s="3">
        <v>1.98</v>
      </c>
      <c r="AU161" s="4">
        <v>1000</v>
      </c>
      <c r="AV161" s="6">
        <v>505</v>
      </c>
      <c r="AW161" t="s">
        <v>84</v>
      </c>
      <c r="AY161" s="3">
        <v>1.49</v>
      </c>
      <c r="AZ161" s="4">
        <v>954</v>
      </c>
      <c r="BA161" s="1">
        <v>638</v>
      </c>
      <c r="BB161" s="1">
        <v>188</v>
      </c>
      <c r="BC161" s="1">
        <v>64</v>
      </c>
    </row>
    <row r="162" spans="1:59" x14ac:dyDescent="0.25">
      <c r="A162" t="s">
        <v>1088</v>
      </c>
      <c r="B162" t="s">
        <v>1089</v>
      </c>
      <c r="C162" s="1">
        <v>56</v>
      </c>
      <c r="D162" s="1">
        <v>1989</v>
      </c>
      <c r="E162" t="s">
        <v>64</v>
      </c>
      <c r="F162" t="s">
        <v>439</v>
      </c>
      <c r="G162" t="s">
        <v>432</v>
      </c>
      <c r="H162" t="s">
        <v>1090</v>
      </c>
      <c r="I162" t="s">
        <v>1091</v>
      </c>
      <c r="J162" t="s">
        <v>432</v>
      </c>
      <c r="K162" s="1">
        <v>3</v>
      </c>
      <c r="L162" t="s">
        <v>91</v>
      </c>
      <c r="M162" t="s">
        <v>70</v>
      </c>
      <c r="N162" t="s">
        <v>71</v>
      </c>
      <c r="O162" t="s">
        <v>426</v>
      </c>
      <c r="P162" t="s">
        <v>72</v>
      </c>
      <c r="Q162" t="s">
        <v>1092</v>
      </c>
      <c r="R162" t="s">
        <v>74</v>
      </c>
      <c r="S162" t="s">
        <v>1093</v>
      </c>
      <c r="T162" s="2">
        <v>742</v>
      </c>
      <c r="U162" s="3">
        <v>1.04</v>
      </c>
      <c r="V162" s="4">
        <v>771</v>
      </c>
      <c r="AF162" s="5">
        <v>16.071400000000001</v>
      </c>
      <c r="AI162" s="1">
        <v>2</v>
      </c>
      <c r="AJ162" t="s">
        <v>81</v>
      </c>
      <c r="AK162" t="s">
        <v>82</v>
      </c>
      <c r="AL162" t="s">
        <v>83</v>
      </c>
      <c r="AM162" s="3">
        <v>1</v>
      </c>
      <c r="AN162" s="4">
        <v>804</v>
      </c>
      <c r="AO162" s="1">
        <v>800</v>
      </c>
      <c r="AS162" s="3">
        <v>19465.509999999998</v>
      </c>
      <c r="AW162" t="s">
        <v>84</v>
      </c>
      <c r="AY162" s="3">
        <v>1.1499999999999999</v>
      </c>
      <c r="AZ162" s="4">
        <v>687</v>
      </c>
      <c r="BA162" s="1">
        <v>600</v>
      </c>
      <c r="BB162" s="1">
        <v>16</v>
      </c>
      <c r="BC162" s="1">
        <v>40</v>
      </c>
    </row>
    <row r="163" spans="1:59" x14ac:dyDescent="0.25">
      <c r="A163" t="s">
        <v>1094</v>
      </c>
      <c r="B163" t="s">
        <v>1095</v>
      </c>
      <c r="C163" s="1">
        <v>66</v>
      </c>
      <c r="D163" s="1">
        <v>1986</v>
      </c>
      <c r="E163" t="s">
        <v>64</v>
      </c>
      <c r="F163" t="s">
        <v>97</v>
      </c>
      <c r="G163" t="s">
        <v>1096</v>
      </c>
      <c r="H163" t="s">
        <v>1097</v>
      </c>
      <c r="I163" t="s">
        <v>1098</v>
      </c>
      <c r="J163" t="s">
        <v>1096</v>
      </c>
      <c r="K163" s="1">
        <v>3</v>
      </c>
      <c r="L163" t="s">
        <v>91</v>
      </c>
      <c r="M163" t="s">
        <v>70</v>
      </c>
      <c r="N163" t="s">
        <v>71</v>
      </c>
      <c r="P163" t="s">
        <v>72</v>
      </c>
      <c r="Q163" t="s">
        <v>961</v>
      </c>
      <c r="R163" t="s">
        <v>74</v>
      </c>
      <c r="S163" t="s">
        <v>1099</v>
      </c>
      <c r="T163" s="2">
        <v>945</v>
      </c>
      <c r="U163" s="3">
        <v>1.52</v>
      </c>
      <c r="V163" s="4">
        <v>1437</v>
      </c>
      <c r="AF163" s="5">
        <v>10.6061</v>
      </c>
      <c r="AH163" s="1">
        <v>2005</v>
      </c>
      <c r="AI163" s="1">
        <v>2</v>
      </c>
      <c r="AJ163" t="s">
        <v>81</v>
      </c>
      <c r="AK163" t="s">
        <v>82</v>
      </c>
      <c r="AL163" t="s">
        <v>83</v>
      </c>
      <c r="AM163" s="3">
        <v>1.42</v>
      </c>
      <c r="AN163" s="4">
        <v>1500</v>
      </c>
      <c r="AO163" s="1">
        <v>1053</v>
      </c>
      <c r="AP163" s="3">
        <v>1.43</v>
      </c>
      <c r="AQ163" s="4">
        <v>1601</v>
      </c>
      <c r="AR163" s="1">
        <v>1123</v>
      </c>
      <c r="AS163" s="3">
        <v>209067.95</v>
      </c>
      <c r="AW163" t="s">
        <v>84</v>
      </c>
      <c r="AY163" s="3">
        <v>2.14</v>
      </c>
      <c r="AZ163" s="4">
        <v>1115</v>
      </c>
      <c r="BA163" s="1">
        <v>520</v>
      </c>
      <c r="BB163" s="1">
        <v>16</v>
      </c>
      <c r="BC163" s="1">
        <v>30</v>
      </c>
      <c r="BD163" s="1">
        <v>20</v>
      </c>
      <c r="BG163" t="s">
        <v>131</v>
      </c>
    </row>
    <row r="164" spans="1:59" x14ac:dyDescent="0.25">
      <c r="A164" t="s">
        <v>1100</v>
      </c>
      <c r="B164" t="s">
        <v>1101</v>
      </c>
      <c r="C164" s="1">
        <v>326</v>
      </c>
      <c r="D164" s="1">
        <v>1986</v>
      </c>
      <c r="E164" t="s">
        <v>64</v>
      </c>
      <c r="F164" t="s">
        <v>734</v>
      </c>
      <c r="G164" t="s">
        <v>1102</v>
      </c>
      <c r="H164" t="s">
        <v>1103</v>
      </c>
      <c r="I164" t="s">
        <v>1104</v>
      </c>
      <c r="J164" t="s">
        <v>1102</v>
      </c>
      <c r="K164" s="1">
        <v>3</v>
      </c>
      <c r="L164" t="s">
        <v>91</v>
      </c>
      <c r="M164" t="s">
        <v>70</v>
      </c>
      <c r="N164" t="s">
        <v>71</v>
      </c>
      <c r="P164" t="s">
        <v>72</v>
      </c>
      <c r="Q164" t="s">
        <v>73</v>
      </c>
      <c r="R164" t="s">
        <v>74</v>
      </c>
      <c r="S164" t="s">
        <v>738</v>
      </c>
      <c r="T164" s="2">
        <v>887</v>
      </c>
      <c r="U164" s="3">
        <v>1.51</v>
      </c>
      <c r="V164" s="4">
        <v>1336</v>
      </c>
      <c r="AF164" s="5">
        <v>4.9080000000000004</v>
      </c>
      <c r="AI164" s="1">
        <v>3</v>
      </c>
      <c r="AJ164" t="s">
        <v>81</v>
      </c>
      <c r="AK164" t="s">
        <v>82</v>
      </c>
      <c r="AL164" t="s">
        <v>83</v>
      </c>
      <c r="AM164" s="3">
        <v>1.44</v>
      </c>
      <c r="AN164" s="4">
        <v>1584</v>
      </c>
      <c r="AO164" s="1">
        <v>1102</v>
      </c>
      <c r="AS164" s="3">
        <v>612258.23</v>
      </c>
      <c r="AW164" t="s">
        <v>84</v>
      </c>
      <c r="AY164" s="3">
        <v>1.61</v>
      </c>
      <c r="AZ164" s="4">
        <v>1092</v>
      </c>
      <c r="BA164" s="1">
        <v>676</v>
      </c>
      <c r="BB164" s="1">
        <v>164</v>
      </c>
      <c r="BC164" s="1">
        <v>162</v>
      </c>
    </row>
    <row r="165" spans="1:59" x14ac:dyDescent="0.25">
      <c r="A165" t="s">
        <v>1105</v>
      </c>
      <c r="B165" t="s">
        <v>1106</v>
      </c>
      <c r="C165" s="1">
        <v>255</v>
      </c>
      <c r="D165" s="1">
        <v>1985</v>
      </c>
      <c r="E165" t="s">
        <v>64</v>
      </c>
      <c r="F165" t="s">
        <v>734</v>
      </c>
      <c r="G165" t="s">
        <v>1107</v>
      </c>
      <c r="H165" t="s">
        <v>1108</v>
      </c>
      <c r="I165" t="s">
        <v>1109</v>
      </c>
      <c r="J165" t="s">
        <v>1107</v>
      </c>
      <c r="K165" s="1">
        <v>3</v>
      </c>
      <c r="L165" t="s">
        <v>91</v>
      </c>
      <c r="M165" t="s">
        <v>70</v>
      </c>
      <c r="N165" t="s">
        <v>71</v>
      </c>
      <c r="P165" t="s">
        <v>72</v>
      </c>
      <c r="Q165" t="s">
        <v>73</v>
      </c>
      <c r="R165" t="s">
        <v>74</v>
      </c>
      <c r="S165" t="s">
        <v>1110</v>
      </c>
      <c r="T165" s="2">
        <v>726</v>
      </c>
      <c r="U165" s="3">
        <v>1.68</v>
      </c>
      <c r="V165" s="4">
        <v>1224</v>
      </c>
      <c r="AF165" s="5">
        <v>5.4901999999999997</v>
      </c>
      <c r="AI165" s="1">
        <v>3</v>
      </c>
      <c r="AJ165" t="s">
        <v>81</v>
      </c>
      <c r="AK165" t="s">
        <v>82</v>
      </c>
      <c r="AL165" t="s">
        <v>83</v>
      </c>
      <c r="AM165" s="3">
        <v>1.62</v>
      </c>
      <c r="AN165" s="4">
        <v>1646</v>
      </c>
      <c r="AO165" s="1">
        <v>1016</v>
      </c>
      <c r="AS165" s="3">
        <v>537492.73</v>
      </c>
      <c r="AW165" t="s">
        <v>84</v>
      </c>
      <c r="AY165" s="3">
        <v>1.72</v>
      </c>
      <c r="AZ165" s="4">
        <v>1091</v>
      </c>
      <c r="BA165" s="1">
        <v>636</v>
      </c>
      <c r="BB165" s="1">
        <v>194</v>
      </c>
      <c r="BC165" s="1">
        <v>61</v>
      </c>
    </row>
    <row r="166" spans="1:59" x14ac:dyDescent="0.25">
      <c r="A166" t="s">
        <v>1111</v>
      </c>
      <c r="B166" t="s">
        <v>1112</v>
      </c>
      <c r="C166" s="1">
        <v>52</v>
      </c>
      <c r="D166" s="1">
        <v>1985</v>
      </c>
      <c r="E166" t="s">
        <v>64</v>
      </c>
      <c r="F166" t="s">
        <v>148</v>
      </c>
      <c r="G166" t="s">
        <v>432</v>
      </c>
      <c r="H166" t="s">
        <v>1113</v>
      </c>
      <c r="I166" t="s">
        <v>1114</v>
      </c>
      <c r="J166" t="s">
        <v>432</v>
      </c>
      <c r="K166" s="1">
        <v>3</v>
      </c>
      <c r="L166" t="s">
        <v>91</v>
      </c>
      <c r="M166" t="s">
        <v>70</v>
      </c>
      <c r="N166" t="s">
        <v>71</v>
      </c>
      <c r="O166" t="s">
        <v>118</v>
      </c>
      <c r="P166" t="s">
        <v>72</v>
      </c>
      <c r="Q166" t="s">
        <v>1115</v>
      </c>
      <c r="R166" t="s">
        <v>74</v>
      </c>
      <c r="S166" t="s">
        <v>1116</v>
      </c>
      <c r="T166" s="2">
        <v>772</v>
      </c>
      <c r="U166" s="3">
        <v>0.87</v>
      </c>
      <c r="V166" s="4">
        <v>673</v>
      </c>
      <c r="AF166" s="5">
        <v>11.538500000000001</v>
      </c>
      <c r="AH166" s="1">
        <v>2011</v>
      </c>
      <c r="AI166" s="1">
        <v>2</v>
      </c>
      <c r="AJ166" t="s">
        <v>81</v>
      </c>
      <c r="AK166" t="s">
        <v>82</v>
      </c>
      <c r="AL166" t="s">
        <v>83</v>
      </c>
      <c r="AM166" s="3">
        <v>0.87</v>
      </c>
      <c r="AN166" s="4">
        <v>700</v>
      </c>
      <c r="AO166" s="1">
        <v>803</v>
      </c>
      <c r="AS166" s="3">
        <v>29322.25</v>
      </c>
      <c r="AW166" t="s">
        <v>84</v>
      </c>
      <c r="AY166" s="3">
        <v>0.87</v>
      </c>
      <c r="AZ166" s="4">
        <v>585</v>
      </c>
      <c r="BA166" s="1">
        <v>671</v>
      </c>
      <c r="BB166" s="1">
        <v>12</v>
      </c>
      <c r="BC166" s="1">
        <v>40</v>
      </c>
    </row>
    <row r="167" spans="1:59" x14ac:dyDescent="0.25">
      <c r="A167" t="s">
        <v>1117</v>
      </c>
      <c r="B167" t="s">
        <v>1118</v>
      </c>
      <c r="C167" s="1">
        <v>171</v>
      </c>
      <c r="D167" s="1">
        <v>1987</v>
      </c>
      <c r="E167" t="s">
        <v>64</v>
      </c>
      <c r="F167" t="s">
        <v>501</v>
      </c>
      <c r="G167" t="s">
        <v>1119</v>
      </c>
      <c r="I167" t="s">
        <v>1120</v>
      </c>
      <c r="J167" t="s">
        <v>1119</v>
      </c>
      <c r="K167" s="1">
        <v>2</v>
      </c>
      <c r="L167" t="s">
        <v>69</v>
      </c>
      <c r="M167" t="s">
        <v>70</v>
      </c>
      <c r="N167" t="s">
        <v>127</v>
      </c>
      <c r="P167" t="s">
        <v>72</v>
      </c>
      <c r="Q167" t="s">
        <v>152</v>
      </c>
      <c r="R167" t="s">
        <v>74</v>
      </c>
      <c r="S167" t="s">
        <v>504</v>
      </c>
      <c r="AF167" s="5">
        <v>9.3567</v>
      </c>
      <c r="AI167" s="1">
        <v>1</v>
      </c>
      <c r="AJ167" t="s">
        <v>81</v>
      </c>
      <c r="AK167" t="s">
        <v>82</v>
      </c>
      <c r="AL167" t="s">
        <v>83</v>
      </c>
      <c r="AS167" s="3">
        <v>148096.07999999999</v>
      </c>
      <c r="AW167" t="s">
        <v>84</v>
      </c>
    </row>
    <row r="168" spans="1:59" x14ac:dyDescent="0.25">
      <c r="A168" t="s">
        <v>1121</v>
      </c>
      <c r="B168" t="s">
        <v>1122</v>
      </c>
      <c r="C168" s="1">
        <v>410</v>
      </c>
      <c r="D168" s="1">
        <v>1987</v>
      </c>
      <c r="E168" t="s">
        <v>64</v>
      </c>
      <c r="F168" t="s">
        <v>514</v>
      </c>
      <c r="G168" t="s">
        <v>848</v>
      </c>
      <c r="H168" t="s">
        <v>1123</v>
      </c>
      <c r="I168" t="s">
        <v>850</v>
      </c>
      <c r="J168" t="s">
        <v>848</v>
      </c>
      <c r="K168" s="1">
        <v>3</v>
      </c>
      <c r="L168" t="s">
        <v>91</v>
      </c>
      <c r="M168" t="s">
        <v>70</v>
      </c>
      <c r="N168" t="s">
        <v>71</v>
      </c>
      <c r="P168" t="s">
        <v>72</v>
      </c>
      <c r="Q168" t="s">
        <v>264</v>
      </c>
      <c r="R168" t="s">
        <v>74</v>
      </c>
      <c r="S168" t="s">
        <v>851</v>
      </c>
      <c r="T168" s="2">
        <v>853</v>
      </c>
      <c r="U168" s="3">
        <v>1.74</v>
      </c>
      <c r="V168" s="4">
        <v>1484</v>
      </c>
      <c r="AF168" s="5">
        <v>5.3658999999999999</v>
      </c>
      <c r="AI168" s="1">
        <v>3</v>
      </c>
      <c r="AJ168" t="s">
        <v>81</v>
      </c>
      <c r="AK168" t="s">
        <v>82</v>
      </c>
      <c r="AL168" t="s">
        <v>83</v>
      </c>
      <c r="AM168" s="3">
        <v>1.63</v>
      </c>
      <c r="AN168" s="4">
        <v>1802</v>
      </c>
      <c r="AO168" s="1">
        <v>1106</v>
      </c>
      <c r="AS168" s="3">
        <v>1477508.11</v>
      </c>
      <c r="AW168" t="s">
        <v>84</v>
      </c>
      <c r="AY168" s="3">
        <v>1.81</v>
      </c>
      <c r="AZ168" s="4">
        <v>1349</v>
      </c>
      <c r="BA168" s="1">
        <v>746</v>
      </c>
      <c r="BB168" s="1">
        <v>288</v>
      </c>
      <c r="BC168" s="1">
        <v>122</v>
      </c>
      <c r="BF168" t="s">
        <v>1124</v>
      </c>
      <c r="BG168" t="s">
        <v>104</v>
      </c>
    </row>
    <row r="169" spans="1:59" x14ac:dyDescent="0.25">
      <c r="A169" t="s">
        <v>1125</v>
      </c>
      <c r="B169" t="s">
        <v>1126</v>
      </c>
      <c r="C169" s="1">
        <v>424</v>
      </c>
      <c r="D169" s="1">
        <v>1990</v>
      </c>
      <c r="E169" t="s">
        <v>64</v>
      </c>
      <c r="F169" t="s">
        <v>514</v>
      </c>
      <c r="G169" t="s">
        <v>575</v>
      </c>
      <c r="H169" t="s">
        <v>1127</v>
      </c>
      <c r="I169" t="s">
        <v>1128</v>
      </c>
      <c r="J169" t="s">
        <v>575</v>
      </c>
      <c r="K169" s="1">
        <v>4</v>
      </c>
      <c r="L169" t="s">
        <v>91</v>
      </c>
      <c r="M169" t="s">
        <v>70</v>
      </c>
      <c r="N169" t="s">
        <v>71</v>
      </c>
      <c r="P169" t="s">
        <v>72</v>
      </c>
      <c r="Q169" t="s">
        <v>264</v>
      </c>
      <c r="R169" t="s">
        <v>74</v>
      </c>
      <c r="S169" t="s">
        <v>1129</v>
      </c>
      <c r="T169" s="2">
        <v>815</v>
      </c>
      <c r="U169" s="3">
        <v>1.69</v>
      </c>
      <c r="V169" s="4">
        <v>1378</v>
      </c>
      <c r="AF169" s="5">
        <v>7.7830000000000004</v>
      </c>
      <c r="AH169" s="1">
        <v>2016</v>
      </c>
      <c r="AI169" s="1">
        <v>3</v>
      </c>
      <c r="AJ169" t="s">
        <v>81</v>
      </c>
      <c r="AK169" t="s">
        <v>82</v>
      </c>
      <c r="AL169" t="s">
        <v>83</v>
      </c>
      <c r="AM169" s="3">
        <v>1.62</v>
      </c>
      <c r="AN169" s="4">
        <v>1543</v>
      </c>
      <c r="AO169" s="1">
        <v>953</v>
      </c>
      <c r="AS169" s="3">
        <v>1994395.81</v>
      </c>
      <c r="AW169" t="s">
        <v>84</v>
      </c>
      <c r="AY169" s="3">
        <v>1.8</v>
      </c>
      <c r="AZ169" s="4">
        <v>1193</v>
      </c>
      <c r="BA169" s="1">
        <v>662</v>
      </c>
      <c r="BB169" s="1">
        <v>200</v>
      </c>
      <c r="BC169" s="1">
        <v>224</v>
      </c>
      <c r="BF169" t="s">
        <v>1130</v>
      </c>
      <c r="BG169" t="s">
        <v>104</v>
      </c>
    </row>
    <row r="170" spans="1:59" x14ac:dyDescent="0.25">
      <c r="A170" t="s">
        <v>1131</v>
      </c>
      <c r="B170" t="s">
        <v>1132</v>
      </c>
      <c r="C170" s="1">
        <v>525</v>
      </c>
      <c r="D170" s="1">
        <v>1985</v>
      </c>
      <c r="E170" t="s">
        <v>64</v>
      </c>
      <c r="F170" t="s">
        <v>1133</v>
      </c>
      <c r="G170" t="s">
        <v>478</v>
      </c>
      <c r="H170" t="s">
        <v>1134</v>
      </c>
      <c r="I170" t="s">
        <v>1135</v>
      </c>
      <c r="J170" t="s">
        <v>478</v>
      </c>
      <c r="K170" s="1">
        <v>3</v>
      </c>
      <c r="L170" t="s">
        <v>91</v>
      </c>
      <c r="M170" t="s">
        <v>70</v>
      </c>
      <c r="N170" t="s">
        <v>71</v>
      </c>
      <c r="P170" t="s">
        <v>72</v>
      </c>
      <c r="Q170" t="s">
        <v>264</v>
      </c>
      <c r="R170" t="s">
        <v>74</v>
      </c>
      <c r="S170" t="s">
        <v>1136</v>
      </c>
      <c r="T170" s="2">
        <v>735</v>
      </c>
      <c r="U170" s="3">
        <v>1.59</v>
      </c>
      <c r="V170" s="4">
        <v>1172</v>
      </c>
      <c r="AF170" s="5">
        <v>8</v>
      </c>
      <c r="AI170" s="1">
        <v>3</v>
      </c>
      <c r="AJ170" t="s">
        <v>81</v>
      </c>
      <c r="AK170" t="s">
        <v>82</v>
      </c>
      <c r="AL170" t="s">
        <v>83</v>
      </c>
      <c r="AM170" s="3">
        <v>1.55</v>
      </c>
      <c r="AN170" s="4">
        <v>1457</v>
      </c>
      <c r="AO170" s="1">
        <v>940</v>
      </c>
      <c r="AS170" s="3">
        <v>1935379.6</v>
      </c>
      <c r="AW170" t="s">
        <v>84</v>
      </c>
      <c r="AY170" s="3">
        <v>1.61</v>
      </c>
      <c r="AZ170" s="4">
        <v>1084</v>
      </c>
      <c r="BA170" s="1">
        <v>672</v>
      </c>
      <c r="BB170" s="1">
        <v>401</v>
      </c>
      <c r="BC170" s="1">
        <v>124</v>
      </c>
      <c r="BF170" t="s">
        <v>1137</v>
      </c>
      <c r="BG170" t="s">
        <v>104</v>
      </c>
    </row>
    <row r="171" spans="1:59" x14ac:dyDescent="0.25">
      <c r="A171" t="s">
        <v>1138</v>
      </c>
      <c r="B171" t="s">
        <v>1139</v>
      </c>
      <c r="C171" s="1">
        <v>240</v>
      </c>
      <c r="D171" s="1">
        <v>1986</v>
      </c>
      <c r="E171" t="s">
        <v>64</v>
      </c>
      <c r="F171" t="s">
        <v>814</v>
      </c>
      <c r="G171" t="s">
        <v>1140</v>
      </c>
      <c r="H171" t="s">
        <v>1141</v>
      </c>
      <c r="I171" t="s">
        <v>1142</v>
      </c>
      <c r="J171" t="s">
        <v>1140</v>
      </c>
      <c r="K171" s="1">
        <v>3</v>
      </c>
      <c r="L171" t="s">
        <v>69</v>
      </c>
      <c r="M171" t="s">
        <v>70</v>
      </c>
      <c r="N171" t="s">
        <v>71</v>
      </c>
      <c r="O171" t="s">
        <v>118</v>
      </c>
      <c r="P171" t="s">
        <v>72</v>
      </c>
      <c r="Q171" t="s">
        <v>814</v>
      </c>
      <c r="R171" t="s">
        <v>74</v>
      </c>
      <c r="S171" t="s">
        <v>1143</v>
      </c>
      <c r="T171" s="2">
        <v>722</v>
      </c>
      <c r="U171" s="3">
        <v>1.83</v>
      </c>
      <c r="V171" s="4">
        <v>1323</v>
      </c>
      <c r="AF171" s="5">
        <v>0.41670000000000001</v>
      </c>
      <c r="AI171" s="1">
        <v>1</v>
      </c>
      <c r="AJ171" t="s">
        <v>81</v>
      </c>
      <c r="AK171" t="s">
        <v>82</v>
      </c>
      <c r="AL171" t="s">
        <v>83</v>
      </c>
      <c r="AM171" s="3">
        <v>1.73</v>
      </c>
      <c r="AN171" s="4">
        <v>1413</v>
      </c>
      <c r="AO171" s="1">
        <v>815</v>
      </c>
      <c r="AP171" s="3">
        <v>1.69</v>
      </c>
      <c r="AQ171" s="4">
        <v>1691</v>
      </c>
      <c r="AR171" s="1">
        <v>1000</v>
      </c>
      <c r="AS171" s="3">
        <v>289084.17</v>
      </c>
      <c r="AW171" t="s">
        <v>84</v>
      </c>
      <c r="AY171" s="3">
        <v>1.99</v>
      </c>
      <c r="AZ171" s="4">
        <v>1175</v>
      </c>
      <c r="BA171" s="1">
        <v>589</v>
      </c>
      <c r="BB171" s="1">
        <v>115</v>
      </c>
      <c r="BC171" s="1">
        <v>104</v>
      </c>
      <c r="BD171" s="1">
        <v>21</v>
      </c>
      <c r="BF171" t="s">
        <v>1144</v>
      </c>
      <c r="BG171" t="s">
        <v>104</v>
      </c>
    </row>
    <row r="172" spans="1:59" x14ac:dyDescent="0.25">
      <c r="A172" t="s">
        <v>1145</v>
      </c>
      <c r="B172" t="s">
        <v>1146</v>
      </c>
      <c r="C172" s="1">
        <v>174</v>
      </c>
      <c r="D172" s="1">
        <v>1986</v>
      </c>
      <c r="E172" t="s">
        <v>64</v>
      </c>
      <c r="F172" t="s">
        <v>1147</v>
      </c>
      <c r="G172" t="s">
        <v>1148</v>
      </c>
      <c r="H172" t="s">
        <v>1149</v>
      </c>
      <c r="I172" t="s">
        <v>1150</v>
      </c>
      <c r="J172" t="s">
        <v>1148</v>
      </c>
      <c r="K172" s="1">
        <v>3</v>
      </c>
      <c r="L172" t="s">
        <v>69</v>
      </c>
      <c r="M172" t="s">
        <v>70</v>
      </c>
      <c r="N172" t="s">
        <v>71</v>
      </c>
      <c r="P172" t="s">
        <v>72</v>
      </c>
      <c r="Q172" t="s">
        <v>73</v>
      </c>
      <c r="R172" t="s">
        <v>74</v>
      </c>
      <c r="S172" t="s">
        <v>1151</v>
      </c>
      <c r="T172" s="2">
        <v>603</v>
      </c>
      <c r="U172" s="3">
        <v>1.89</v>
      </c>
      <c r="V172" s="4">
        <v>1141</v>
      </c>
      <c r="AF172" s="5">
        <v>20.114899999999999</v>
      </c>
      <c r="AI172" s="1">
        <v>3</v>
      </c>
      <c r="AJ172" t="s">
        <v>81</v>
      </c>
      <c r="AK172" t="s">
        <v>82</v>
      </c>
      <c r="AL172" t="s">
        <v>83</v>
      </c>
      <c r="AS172" s="3">
        <v>419068.12</v>
      </c>
      <c r="AW172" t="s">
        <v>84</v>
      </c>
      <c r="AY172" s="3">
        <v>1.89</v>
      </c>
      <c r="AZ172" s="4">
        <v>1141</v>
      </c>
      <c r="BA172" s="1">
        <v>603</v>
      </c>
      <c r="BB172" s="1">
        <v>174</v>
      </c>
    </row>
    <row r="173" spans="1:59" x14ac:dyDescent="0.25">
      <c r="A173" t="s">
        <v>1152</v>
      </c>
      <c r="B173" t="s">
        <v>1153</v>
      </c>
      <c r="C173" s="1">
        <v>145</v>
      </c>
      <c r="D173" s="1">
        <v>1985</v>
      </c>
      <c r="E173" t="s">
        <v>64</v>
      </c>
      <c r="F173" t="s">
        <v>1154</v>
      </c>
      <c r="G173" t="s">
        <v>1155</v>
      </c>
      <c r="H173" t="s">
        <v>1156</v>
      </c>
      <c r="I173" t="s">
        <v>1157</v>
      </c>
      <c r="J173" t="s">
        <v>1155</v>
      </c>
      <c r="K173" s="1">
        <v>2</v>
      </c>
      <c r="L173" t="s">
        <v>69</v>
      </c>
      <c r="M173" t="s">
        <v>70</v>
      </c>
      <c r="N173" t="s">
        <v>127</v>
      </c>
      <c r="P173" t="s">
        <v>72</v>
      </c>
      <c r="Q173" t="s">
        <v>1158</v>
      </c>
      <c r="R173" t="s">
        <v>74</v>
      </c>
      <c r="S173" t="s">
        <v>1159</v>
      </c>
      <c r="AF173" s="5">
        <v>9.6552000000000007</v>
      </c>
      <c r="AI173" s="1">
        <v>1</v>
      </c>
      <c r="AJ173" t="s">
        <v>81</v>
      </c>
      <c r="AK173" t="s">
        <v>82</v>
      </c>
      <c r="AL173" t="s">
        <v>83</v>
      </c>
      <c r="AS173" s="3">
        <v>167444.42000000001</v>
      </c>
      <c r="AW173" t="s">
        <v>84</v>
      </c>
    </row>
    <row r="174" spans="1:59" x14ac:dyDescent="0.25">
      <c r="A174" t="s">
        <v>1160</v>
      </c>
      <c r="B174" t="s">
        <v>1161</v>
      </c>
      <c r="C174" s="1">
        <v>52</v>
      </c>
      <c r="D174" s="1">
        <v>1989</v>
      </c>
      <c r="E174" t="s">
        <v>64</v>
      </c>
      <c r="F174" t="s">
        <v>1154</v>
      </c>
      <c r="G174" t="s">
        <v>1162</v>
      </c>
      <c r="H174" t="s">
        <v>1163</v>
      </c>
      <c r="I174" t="s">
        <v>1164</v>
      </c>
      <c r="J174" t="s">
        <v>1162</v>
      </c>
      <c r="K174" s="1">
        <v>3</v>
      </c>
      <c r="L174" t="s">
        <v>91</v>
      </c>
      <c r="M174" t="s">
        <v>70</v>
      </c>
      <c r="N174" t="s">
        <v>71</v>
      </c>
      <c r="O174" t="s">
        <v>426</v>
      </c>
      <c r="P174" t="s">
        <v>72</v>
      </c>
      <c r="Q174" t="s">
        <v>1158</v>
      </c>
      <c r="R174" t="s">
        <v>74</v>
      </c>
      <c r="S174" t="s">
        <v>1165</v>
      </c>
      <c r="T174" s="2">
        <v>753</v>
      </c>
      <c r="U174" s="3">
        <v>0.78</v>
      </c>
      <c r="V174" s="4">
        <v>584</v>
      </c>
      <c r="AI174" s="1">
        <v>2</v>
      </c>
      <c r="AJ174" t="s">
        <v>81</v>
      </c>
      <c r="AK174" t="s">
        <v>82</v>
      </c>
      <c r="AL174" t="s">
        <v>83</v>
      </c>
      <c r="AM174" s="3">
        <v>0.76</v>
      </c>
      <c r="AN174" s="4">
        <v>600</v>
      </c>
      <c r="AO174" s="1">
        <v>791</v>
      </c>
      <c r="AS174" s="3">
        <v>22582.62</v>
      </c>
      <c r="AW174" t="s">
        <v>84</v>
      </c>
      <c r="AY174" s="3">
        <v>0.82</v>
      </c>
      <c r="AZ174" s="4">
        <v>548</v>
      </c>
      <c r="BA174" s="1">
        <v>669</v>
      </c>
      <c r="BB174" s="1">
        <v>16</v>
      </c>
      <c r="BC174" s="1">
        <v>36</v>
      </c>
    </row>
    <row r="175" spans="1:59" x14ac:dyDescent="0.25">
      <c r="A175" t="s">
        <v>1166</v>
      </c>
      <c r="B175" t="s">
        <v>1167</v>
      </c>
      <c r="C175" s="1">
        <v>248</v>
      </c>
      <c r="D175" s="1">
        <v>1985</v>
      </c>
      <c r="E175" t="s">
        <v>64</v>
      </c>
      <c r="F175" t="s">
        <v>1168</v>
      </c>
      <c r="G175" t="s">
        <v>1169</v>
      </c>
      <c r="H175" t="s">
        <v>1170</v>
      </c>
      <c r="I175" t="s">
        <v>1171</v>
      </c>
      <c r="J175" t="s">
        <v>1169</v>
      </c>
      <c r="K175" s="1">
        <v>3</v>
      </c>
      <c r="L175" t="s">
        <v>91</v>
      </c>
      <c r="M175" t="s">
        <v>70</v>
      </c>
      <c r="N175" t="s">
        <v>71</v>
      </c>
      <c r="P175" t="s">
        <v>72</v>
      </c>
      <c r="Q175" t="s">
        <v>152</v>
      </c>
      <c r="R175" t="s">
        <v>74</v>
      </c>
      <c r="S175" t="s">
        <v>1172</v>
      </c>
      <c r="T175" s="2">
        <v>841</v>
      </c>
      <c r="U175" s="3">
        <v>1.47</v>
      </c>
      <c r="V175" s="4">
        <v>1237</v>
      </c>
      <c r="AF175" s="5">
        <v>18.145199999999999</v>
      </c>
      <c r="AI175" s="1">
        <v>2</v>
      </c>
      <c r="AJ175" t="s">
        <v>81</v>
      </c>
      <c r="AK175" t="s">
        <v>82</v>
      </c>
      <c r="AL175" t="s">
        <v>83</v>
      </c>
      <c r="AM175" s="3">
        <v>1.33</v>
      </c>
      <c r="AN175" s="4">
        <v>1303</v>
      </c>
      <c r="AO175" s="1">
        <v>979</v>
      </c>
      <c r="AP175" s="3">
        <v>1.43</v>
      </c>
      <c r="AQ175" s="4">
        <v>1715</v>
      </c>
      <c r="AR175" s="1">
        <v>1197</v>
      </c>
      <c r="AS175" s="3">
        <v>777300.92</v>
      </c>
      <c r="AW175" t="s">
        <v>84</v>
      </c>
      <c r="AY175" s="3">
        <v>1.72</v>
      </c>
      <c r="AZ175" s="4">
        <v>1059</v>
      </c>
      <c r="BA175" s="1">
        <v>614</v>
      </c>
      <c r="BB175" s="1">
        <v>108</v>
      </c>
      <c r="BC175" s="1">
        <v>116</v>
      </c>
      <c r="BD175" s="1">
        <v>24</v>
      </c>
      <c r="BF175" t="s">
        <v>314</v>
      </c>
      <c r="BG175" t="s">
        <v>104</v>
      </c>
    </row>
    <row r="176" spans="1:59" x14ac:dyDescent="0.25">
      <c r="A176" t="s">
        <v>1173</v>
      </c>
      <c r="B176" t="s">
        <v>1174</v>
      </c>
      <c r="C176" s="1">
        <v>373</v>
      </c>
      <c r="D176" s="1">
        <v>1986</v>
      </c>
      <c r="E176" t="s">
        <v>64</v>
      </c>
      <c r="F176" t="s">
        <v>995</v>
      </c>
      <c r="G176" t="s">
        <v>1028</v>
      </c>
      <c r="H176" t="s">
        <v>1175</v>
      </c>
      <c r="I176" t="s">
        <v>1176</v>
      </c>
      <c r="J176" t="s">
        <v>1028</v>
      </c>
      <c r="K176" s="1">
        <v>4</v>
      </c>
      <c r="L176" t="s">
        <v>91</v>
      </c>
      <c r="M176" t="s">
        <v>70</v>
      </c>
      <c r="N176" t="s">
        <v>71</v>
      </c>
      <c r="P176" t="s">
        <v>72</v>
      </c>
      <c r="Q176" t="s">
        <v>73</v>
      </c>
      <c r="R176" t="s">
        <v>74</v>
      </c>
      <c r="S176" t="s">
        <v>137</v>
      </c>
      <c r="T176" s="2">
        <v>760</v>
      </c>
      <c r="U176" s="3">
        <v>1.64</v>
      </c>
      <c r="V176" s="4">
        <v>1250</v>
      </c>
      <c r="AF176" s="5">
        <v>19.302900000000001</v>
      </c>
      <c r="AH176" s="1">
        <v>2007</v>
      </c>
      <c r="AI176" s="1">
        <v>3</v>
      </c>
      <c r="AJ176" t="s">
        <v>81</v>
      </c>
      <c r="AK176" t="s">
        <v>82</v>
      </c>
      <c r="AL176" t="s">
        <v>83</v>
      </c>
      <c r="AM176" s="3">
        <v>1.56</v>
      </c>
      <c r="AN176" s="4">
        <v>1533</v>
      </c>
      <c r="AO176" s="1">
        <v>982</v>
      </c>
      <c r="AP176" s="3">
        <v>1.1000000000000001</v>
      </c>
      <c r="AQ176" s="4">
        <v>1706</v>
      </c>
      <c r="AR176" s="1">
        <v>1548</v>
      </c>
      <c r="AS176" s="3">
        <v>1144553.06</v>
      </c>
      <c r="AW176" t="s">
        <v>84</v>
      </c>
      <c r="AY176" s="3">
        <v>1.69</v>
      </c>
      <c r="AZ176" s="4">
        <v>1150</v>
      </c>
      <c r="BA176" s="1">
        <v>680</v>
      </c>
      <c r="BB176" s="1">
        <v>276</v>
      </c>
      <c r="BC176" s="1">
        <v>96</v>
      </c>
      <c r="BD176" s="1">
        <v>1</v>
      </c>
      <c r="BG176" t="s">
        <v>131</v>
      </c>
    </row>
    <row r="177" spans="1:59" x14ac:dyDescent="0.25">
      <c r="A177" t="s">
        <v>1177</v>
      </c>
      <c r="B177" t="s">
        <v>1178</v>
      </c>
      <c r="C177" s="1">
        <v>115</v>
      </c>
      <c r="D177" s="1">
        <v>1990</v>
      </c>
      <c r="E177" t="s">
        <v>64</v>
      </c>
      <c r="F177" t="s">
        <v>1179</v>
      </c>
      <c r="G177" t="s">
        <v>1180</v>
      </c>
      <c r="I177" t="s">
        <v>1181</v>
      </c>
      <c r="J177" t="s">
        <v>1180</v>
      </c>
      <c r="K177" s="1">
        <v>2</v>
      </c>
      <c r="L177" t="s">
        <v>69</v>
      </c>
      <c r="M177" t="s">
        <v>70</v>
      </c>
      <c r="N177" t="s">
        <v>71</v>
      </c>
      <c r="P177" t="s">
        <v>72</v>
      </c>
      <c r="Q177" t="s">
        <v>73</v>
      </c>
      <c r="R177" t="s">
        <v>74</v>
      </c>
      <c r="S177" t="s">
        <v>1182</v>
      </c>
      <c r="AF177" s="5">
        <v>9.5652000000000008</v>
      </c>
      <c r="AI177" s="1">
        <v>2</v>
      </c>
      <c r="AJ177" t="s">
        <v>81</v>
      </c>
      <c r="AK177" t="s">
        <v>82</v>
      </c>
      <c r="AL177" t="s">
        <v>83</v>
      </c>
      <c r="AS177" s="3">
        <v>164753.22</v>
      </c>
      <c r="AW177" t="s">
        <v>84</v>
      </c>
    </row>
    <row r="178" spans="1:59" x14ac:dyDescent="0.25">
      <c r="A178" t="s">
        <v>1183</v>
      </c>
      <c r="B178" t="s">
        <v>1184</v>
      </c>
      <c r="C178" s="1">
        <v>288</v>
      </c>
      <c r="D178" s="1">
        <v>1986</v>
      </c>
      <c r="E178" t="s">
        <v>64</v>
      </c>
      <c r="F178" t="s">
        <v>725</v>
      </c>
      <c r="G178" t="s">
        <v>1185</v>
      </c>
      <c r="H178" t="s">
        <v>1186</v>
      </c>
      <c r="I178" t="s">
        <v>1187</v>
      </c>
      <c r="J178" t="s">
        <v>1185</v>
      </c>
      <c r="K178" s="1">
        <v>3</v>
      </c>
      <c r="L178" t="s">
        <v>91</v>
      </c>
      <c r="M178" t="s">
        <v>70</v>
      </c>
      <c r="N178" t="s">
        <v>71</v>
      </c>
      <c r="P178" t="s">
        <v>72</v>
      </c>
      <c r="Q178" t="s">
        <v>73</v>
      </c>
      <c r="R178" t="s">
        <v>74</v>
      </c>
      <c r="S178" t="s">
        <v>730</v>
      </c>
      <c r="T178" s="2">
        <v>826</v>
      </c>
      <c r="U178" s="3">
        <v>1.5</v>
      </c>
      <c r="V178" s="4">
        <v>1242</v>
      </c>
      <c r="AF178" s="5">
        <v>5.9028</v>
      </c>
      <c r="AI178" s="1">
        <v>3</v>
      </c>
      <c r="AJ178" t="s">
        <v>81</v>
      </c>
      <c r="AK178" t="s">
        <v>82</v>
      </c>
      <c r="AL178" t="s">
        <v>83</v>
      </c>
      <c r="AM178" s="3">
        <v>1.49</v>
      </c>
      <c r="AN178" s="4">
        <v>1471</v>
      </c>
      <c r="AO178" s="1">
        <v>987</v>
      </c>
      <c r="AS178" s="3">
        <v>634145.12</v>
      </c>
      <c r="AW178" t="s">
        <v>84</v>
      </c>
      <c r="AY178" s="3">
        <v>1.51</v>
      </c>
      <c r="AZ178" s="4">
        <v>1096</v>
      </c>
      <c r="BA178" s="1">
        <v>724</v>
      </c>
      <c r="BB178" s="1">
        <v>176</v>
      </c>
      <c r="BC178" s="1">
        <v>112</v>
      </c>
      <c r="BF178" t="s">
        <v>980</v>
      </c>
      <c r="BG178" t="s">
        <v>104</v>
      </c>
    </row>
    <row r="179" spans="1:59" x14ac:dyDescent="0.25">
      <c r="A179" t="s">
        <v>1188</v>
      </c>
      <c r="B179" t="s">
        <v>1189</v>
      </c>
      <c r="C179" s="1">
        <v>312</v>
      </c>
      <c r="D179" s="1">
        <v>1986</v>
      </c>
      <c r="E179" t="s">
        <v>64</v>
      </c>
      <c r="F179" t="s">
        <v>725</v>
      </c>
      <c r="G179" t="s">
        <v>1190</v>
      </c>
      <c r="H179" t="s">
        <v>1191</v>
      </c>
      <c r="I179" t="s">
        <v>1192</v>
      </c>
      <c r="J179" t="s">
        <v>1190</v>
      </c>
      <c r="K179" s="1">
        <v>3</v>
      </c>
      <c r="L179" t="s">
        <v>69</v>
      </c>
      <c r="M179" t="s">
        <v>70</v>
      </c>
      <c r="N179" t="s">
        <v>71</v>
      </c>
      <c r="P179" t="s">
        <v>72</v>
      </c>
      <c r="Q179" t="s">
        <v>73</v>
      </c>
      <c r="R179" t="s">
        <v>74</v>
      </c>
      <c r="S179" t="s">
        <v>730</v>
      </c>
      <c r="T179" s="2">
        <v>716</v>
      </c>
      <c r="U179" s="3">
        <v>1.66</v>
      </c>
      <c r="V179" s="4">
        <v>1188</v>
      </c>
      <c r="AF179" s="5">
        <v>14.102600000000001</v>
      </c>
      <c r="AH179" s="1">
        <v>2016</v>
      </c>
      <c r="AI179" s="1">
        <v>3</v>
      </c>
      <c r="AJ179" t="s">
        <v>81</v>
      </c>
      <c r="AK179" t="s">
        <v>82</v>
      </c>
      <c r="AL179" t="s">
        <v>83</v>
      </c>
      <c r="AM179" s="3">
        <v>1.65</v>
      </c>
      <c r="AN179" s="4">
        <v>1520</v>
      </c>
      <c r="AO179" s="1">
        <v>923</v>
      </c>
      <c r="AS179" s="3">
        <v>731705.91</v>
      </c>
      <c r="AW179" t="s">
        <v>84</v>
      </c>
      <c r="AY179" s="3">
        <v>1.66</v>
      </c>
      <c r="AZ179" s="4">
        <v>1040</v>
      </c>
      <c r="BA179" s="1">
        <v>625</v>
      </c>
      <c r="BB179" s="1">
        <v>216</v>
      </c>
      <c r="BC179" s="1">
        <v>96</v>
      </c>
      <c r="BG179" t="s">
        <v>131</v>
      </c>
    </row>
    <row r="180" spans="1:59" x14ac:dyDescent="0.25">
      <c r="A180" t="s">
        <v>1193</v>
      </c>
      <c r="B180" t="s">
        <v>1194</v>
      </c>
      <c r="C180" s="1">
        <v>152</v>
      </c>
      <c r="D180" s="1">
        <v>1986</v>
      </c>
      <c r="E180" t="s">
        <v>64</v>
      </c>
      <c r="F180" t="s">
        <v>725</v>
      </c>
      <c r="G180" t="s">
        <v>199</v>
      </c>
      <c r="H180" t="s">
        <v>1195</v>
      </c>
      <c r="I180" t="s">
        <v>1196</v>
      </c>
      <c r="J180" t="s">
        <v>199</v>
      </c>
      <c r="K180" s="1">
        <v>3</v>
      </c>
      <c r="L180" t="s">
        <v>91</v>
      </c>
      <c r="M180" t="s">
        <v>70</v>
      </c>
      <c r="N180" t="s">
        <v>71</v>
      </c>
      <c r="P180" t="s">
        <v>72</v>
      </c>
      <c r="Q180" t="s">
        <v>73</v>
      </c>
      <c r="R180" t="s">
        <v>74</v>
      </c>
      <c r="S180" t="s">
        <v>730</v>
      </c>
      <c r="T180" s="2">
        <v>762</v>
      </c>
      <c r="U180" s="3">
        <v>1.76</v>
      </c>
      <c r="V180" s="4">
        <v>1339</v>
      </c>
      <c r="AF180" s="5">
        <v>11.8421</v>
      </c>
      <c r="AH180" s="1">
        <v>2015</v>
      </c>
      <c r="AI180" s="1">
        <v>2</v>
      </c>
      <c r="AJ180" t="s">
        <v>81</v>
      </c>
      <c r="AK180" t="s">
        <v>82</v>
      </c>
      <c r="AL180" t="s">
        <v>83</v>
      </c>
      <c r="AM180" s="3">
        <v>1.69</v>
      </c>
      <c r="AN180" s="4">
        <v>1617</v>
      </c>
      <c r="AO180" s="1">
        <v>958</v>
      </c>
      <c r="AS180" s="3">
        <v>317072.56</v>
      </c>
      <c r="AW180" t="s">
        <v>84</v>
      </c>
      <c r="AY180" s="3">
        <v>1.8</v>
      </c>
      <c r="AZ180" s="4">
        <v>1210</v>
      </c>
      <c r="BA180" s="1">
        <v>673</v>
      </c>
      <c r="BB180" s="1">
        <v>104</v>
      </c>
      <c r="BC180" s="1">
        <v>48</v>
      </c>
      <c r="BF180" t="s">
        <v>1076</v>
      </c>
      <c r="BG180" t="s">
        <v>131</v>
      </c>
    </row>
    <row r="181" spans="1:59" x14ac:dyDescent="0.25">
      <c r="A181" t="s">
        <v>1197</v>
      </c>
      <c r="B181" t="s">
        <v>1198</v>
      </c>
      <c r="C181" s="1">
        <v>304</v>
      </c>
      <c r="D181" s="1">
        <v>1986</v>
      </c>
      <c r="E181" t="s">
        <v>64</v>
      </c>
      <c r="F181" t="s">
        <v>725</v>
      </c>
      <c r="G181" t="s">
        <v>1199</v>
      </c>
      <c r="H181" t="s">
        <v>1200</v>
      </c>
      <c r="I181" t="s">
        <v>1201</v>
      </c>
      <c r="J181" t="s">
        <v>1199</v>
      </c>
      <c r="K181" s="1">
        <v>3</v>
      </c>
      <c r="L181" t="s">
        <v>91</v>
      </c>
      <c r="M181" t="s">
        <v>70</v>
      </c>
      <c r="N181" t="s">
        <v>71</v>
      </c>
      <c r="P181" t="s">
        <v>72</v>
      </c>
      <c r="Q181" t="s">
        <v>73</v>
      </c>
      <c r="R181" t="s">
        <v>74</v>
      </c>
      <c r="S181" t="s">
        <v>730</v>
      </c>
      <c r="T181" s="2">
        <v>713</v>
      </c>
      <c r="U181" s="3">
        <v>1.48</v>
      </c>
      <c r="V181" s="4">
        <v>1058</v>
      </c>
      <c r="AF181" s="5">
        <v>13.486800000000001</v>
      </c>
      <c r="AI181" s="1">
        <v>3</v>
      </c>
      <c r="AJ181" t="s">
        <v>81</v>
      </c>
      <c r="AK181" t="s">
        <v>82</v>
      </c>
      <c r="AL181" t="s">
        <v>83</v>
      </c>
      <c r="AM181" s="3">
        <v>1.36</v>
      </c>
      <c r="AN181" s="4">
        <v>1420</v>
      </c>
      <c r="AO181" s="1">
        <v>1044</v>
      </c>
      <c r="AS181" s="3">
        <v>645664.80000000005</v>
      </c>
      <c r="AW181" t="s">
        <v>84</v>
      </c>
      <c r="AY181" s="3">
        <v>1.54</v>
      </c>
      <c r="AZ181" s="4">
        <v>954</v>
      </c>
      <c r="BA181" s="1">
        <v>618</v>
      </c>
      <c r="BB181" s="1">
        <v>236</v>
      </c>
      <c r="BC181" s="1">
        <v>68</v>
      </c>
      <c r="BF181" t="s">
        <v>1202</v>
      </c>
      <c r="BG181" t="s">
        <v>104</v>
      </c>
    </row>
    <row r="182" spans="1:59" x14ac:dyDescent="0.25">
      <c r="A182" t="s">
        <v>1203</v>
      </c>
      <c r="B182" t="s">
        <v>1204</v>
      </c>
      <c r="C182" s="1">
        <v>436</v>
      </c>
      <c r="D182" s="1">
        <v>1988</v>
      </c>
      <c r="E182" t="s">
        <v>64</v>
      </c>
      <c r="F182" t="s">
        <v>470</v>
      </c>
      <c r="G182" t="s">
        <v>1205</v>
      </c>
      <c r="H182" t="s">
        <v>1206</v>
      </c>
      <c r="I182" t="s">
        <v>1207</v>
      </c>
      <c r="J182" t="s">
        <v>1205</v>
      </c>
      <c r="K182" s="1">
        <v>3</v>
      </c>
      <c r="L182" t="s">
        <v>69</v>
      </c>
      <c r="M182" t="s">
        <v>70</v>
      </c>
      <c r="N182" t="s">
        <v>71</v>
      </c>
      <c r="P182" t="s">
        <v>72</v>
      </c>
      <c r="Q182" t="s">
        <v>73</v>
      </c>
      <c r="R182" t="s">
        <v>74</v>
      </c>
      <c r="S182" t="s">
        <v>1208</v>
      </c>
      <c r="T182" s="2">
        <v>784</v>
      </c>
      <c r="U182" s="3">
        <v>1.4</v>
      </c>
      <c r="V182" s="4">
        <v>1095</v>
      </c>
      <c r="AF182" s="5">
        <v>6.4219999999999997</v>
      </c>
      <c r="AI182" s="1">
        <v>3</v>
      </c>
      <c r="AJ182" t="s">
        <v>81</v>
      </c>
      <c r="AK182" t="s">
        <v>82</v>
      </c>
      <c r="AL182" t="s">
        <v>83</v>
      </c>
      <c r="AM182" s="3">
        <v>1.31</v>
      </c>
      <c r="AN182" s="4">
        <v>1235</v>
      </c>
      <c r="AO182" s="1">
        <v>941</v>
      </c>
      <c r="AP182" s="3">
        <v>1.35</v>
      </c>
      <c r="AQ182" s="4">
        <v>1503</v>
      </c>
      <c r="AR182" s="1">
        <v>1116</v>
      </c>
      <c r="AS182" s="3">
        <v>877249.28</v>
      </c>
      <c r="AW182" t="s">
        <v>84</v>
      </c>
      <c r="AY182" s="3">
        <v>1.45</v>
      </c>
      <c r="AZ182" s="4">
        <v>958</v>
      </c>
      <c r="BA182" s="1">
        <v>663</v>
      </c>
      <c r="BB182" s="1">
        <v>291</v>
      </c>
      <c r="BC182" s="1">
        <v>73</v>
      </c>
      <c r="BD182" s="1">
        <v>72</v>
      </c>
      <c r="BF182" t="s">
        <v>145</v>
      </c>
      <c r="BG182" t="s">
        <v>104</v>
      </c>
    </row>
    <row r="183" spans="1:59" x14ac:dyDescent="0.25">
      <c r="A183" t="s">
        <v>1209</v>
      </c>
      <c r="B183" t="s">
        <v>1210</v>
      </c>
      <c r="C183" s="1">
        <v>242</v>
      </c>
      <c r="D183" s="1">
        <v>1986</v>
      </c>
      <c r="E183" t="s">
        <v>64</v>
      </c>
      <c r="F183" t="s">
        <v>97</v>
      </c>
      <c r="G183" t="s">
        <v>135</v>
      </c>
      <c r="H183" t="s">
        <v>1211</v>
      </c>
      <c r="I183" t="s">
        <v>1212</v>
      </c>
      <c r="J183" t="s">
        <v>135</v>
      </c>
      <c r="K183" s="1">
        <v>2</v>
      </c>
      <c r="L183" t="s">
        <v>69</v>
      </c>
      <c r="M183" t="s">
        <v>70</v>
      </c>
      <c r="N183" t="s">
        <v>71</v>
      </c>
      <c r="P183" t="s">
        <v>72</v>
      </c>
      <c r="Q183" t="s">
        <v>73</v>
      </c>
      <c r="R183" t="s">
        <v>74</v>
      </c>
      <c r="S183" t="s">
        <v>1213</v>
      </c>
      <c r="V183" s="4">
        <v>946</v>
      </c>
      <c r="AF183" s="5">
        <v>16.5289</v>
      </c>
      <c r="AH183" s="1">
        <v>1997</v>
      </c>
      <c r="AI183" s="1">
        <v>3</v>
      </c>
      <c r="AJ183" t="s">
        <v>81</v>
      </c>
      <c r="AK183" t="s">
        <v>82</v>
      </c>
      <c r="AL183" t="s">
        <v>83</v>
      </c>
      <c r="AN183" s="4">
        <v>1437</v>
      </c>
      <c r="AS183" s="3">
        <v>503851.43</v>
      </c>
      <c r="AU183" s="4">
        <v>848</v>
      </c>
      <c r="AW183" t="s">
        <v>84</v>
      </c>
      <c r="AZ183" s="4">
        <v>961</v>
      </c>
      <c r="BB183" s="1">
        <v>148</v>
      </c>
      <c r="BC183" s="1">
        <v>12</v>
      </c>
      <c r="BF183" t="s">
        <v>1214</v>
      </c>
      <c r="BG183" t="s">
        <v>104</v>
      </c>
    </row>
    <row r="184" spans="1:59" x14ac:dyDescent="0.25">
      <c r="A184" t="s">
        <v>1215</v>
      </c>
      <c r="B184" t="s">
        <v>1216</v>
      </c>
      <c r="C184" s="1">
        <v>192</v>
      </c>
      <c r="D184" s="1">
        <v>1985</v>
      </c>
      <c r="E184" t="s">
        <v>64</v>
      </c>
      <c r="F184" t="s">
        <v>97</v>
      </c>
      <c r="G184" t="s">
        <v>747</v>
      </c>
      <c r="H184" t="s">
        <v>1217</v>
      </c>
      <c r="I184" t="s">
        <v>1218</v>
      </c>
      <c r="J184" t="s">
        <v>747</v>
      </c>
      <c r="K184" s="1">
        <v>4</v>
      </c>
      <c r="L184" t="s">
        <v>91</v>
      </c>
      <c r="M184" t="s">
        <v>70</v>
      </c>
      <c r="N184" t="s">
        <v>71</v>
      </c>
      <c r="O184" t="s">
        <v>118</v>
      </c>
      <c r="P184" t="s">
        <v>72</v>
      </c>
      <c r="Q184" t="s">
        <v>73</v>
      </c>
      <c r="R184" t="s">
        <v>74</v>
      </c>
      <c r="S184" t="s">
        <v>1219</v>
      </c>
      <c r="T184" s="2">
        <v>814</v>
      </c>
      <c r="U184" s="3">
        <v>1.55</v>
      </c>
      <c r="V184" s="4">
        <v>1261</v>
      </c>
      <c r="AF184" s="5">
        <v>7.2916999999999996</v>
      </c>
      <c r="AH184" s="1">
        <v>2012</v>
      </c>
      <c r="AI184" s="1">
        <v>2</v>
      </c>
      <c r="AJ184" t="s">
        <v>81</v>
      </c>
      <c r="AK184" t="s">
        <v>82</v>
      </c>
      <c r="AL184" t="s">
        <v>83</v>
      </c>
      <c r="AM184" s="3">
        <v>1.48</v>
      </c>
      <c r="AN184" s="4">
        <v>1344</v>
      </c>
      <c r="AO184" s="1">
        <v>906</v>
      </c>
      <c r="AS184" s="3">
        <v>0</v>
      </c>
      <c r="AW184" t="s">
        <v>84</v>
      </c>
      <c r="AY184" s="3">
        <v>1.74</v>
      </c>
      <c r="AZ184" s="4">
        <v>1097</v>
      </c>
      <c r="BA184" s="1">
        <v>631</v>
      </c>
      <c r="BB184" s="1">
        <v>64</v>
      </c>
      <c r="BC184" s="1">
        <v>128</v>
      </c>
    </row>
    <row r="185" spans="1:59" x14ac:dyDescent="0.25">
      <c r="A185" t="s">
        <v>1220</v>
      </c>
      <c r="B185" t="s">
        <v>1221</v>
      </c>
      <c r="C185" s="1">
        <v>300</v>
      </c>
      <c r="D185" s="1">
        <v>1985</v>
      </c>
      <c r="E185" t="s">
        <v>64</v>
      </c>
      <c r="F185" t="s">
        <v>97</v>
      </c>
      <c r="G185" t="s">
        <v>747</v>
      </c>
      <c r="H185" t="s">
        <v>1222</v>
      </c>
      <c r="I185" t="s">
        <v>1223</v>
      </c>
      <c r="J185" t="s">
        <v>747</v>
      </c>
      <c r="K185" s="1">
        <v>3</v>
      </c>
      <c r="L185" t="s">
        <v>91</v>
      </c>
      <c r="M185" t="s">
        <v>70</v>
      </c>
      <c r="N185" t="s">
        <v>71</v>
      </c>
      <c r="P185" t="s">
        <v>72</v>
      </c>
      <c r="Q185" t="s">
        <v>73</v>
      </c>
      <c r="R185" t="s">
        <v>74</v>
      </c>
      <c r="S185" t="s">
        <v>743</v>
      </c>
      <c r="T185" s="2">
        <v>559</v>
      </c>
      <c r="U185" s="3">
        <v>1.82</v>
      </c>
      <c r="V185" s="4">
        <v>1019</v>
      </c>
      <c r="AF185" s="5">
        <v>8.3332999999999995</v>
      </c>
      <c r="AI185" s="1">
        <v>3</v>
      </c>
      <c r="AJ185" t="s">
        <v>81</v>
      </c>
      <c r="AK185" t="s">
        <v>82</v>
      </c>
      <c r="AL185" t="s">
        <v>83</v>
      </c>
      <c r="AM185" s="3">
        <v>1.63</v>
      </c>
      <c r="AN185" s="4">
        <v>1171</v>
      </c>
      <c r="AO185" s="1">
        <v>719</v>
      </c>
      <c r="AS185" s="3">
        <v>603449.96</v>
      </c>
      <c r="AW185" t="s">
        <v>84</v>
      </c>
      <c r="AY185" s="3">
        <v>2.0099999999999998</v>
      </c>
      <c r="AZ185" s="4">
        <v>923</v>
      </c>
      <c r="BA185" s="1">
        <v>459</v>
      </c>
      <c r="BB185" s="1">
        <v>184</v>
      </c>
      <c r="BC185" s="1">
        <v>116</v>
      </c>
    </row>
    <row r="186" spans="1:59" x14ac:dyDescent="0.25">
      <c r="A186" t="s">
        <v>1224</v>
      </c>
      <c r="B186" t="s">
        <v>1225</v>
      </c>
      <c r="C186" s="1">
        <v>226</v>
      </c>
      <c r="D186" s="1">
        <v>1985</v>
      </c>
      <c r="E186" t="s">
        <v>64</v>
      </c>
      <c r="F186" t="s">
        <v>215</v>
      </c>
      <c r="G186" t="s">
        <v>124</v>
      </c>
      <c r="H186" t="s">
        <v>1226</v>
      </c>
      <c r="I186" t="s">
        <v>1227</v>
      </c>
      <c r="J186" t="s">
        <v>124</v>
      </c>
      <c r="K186" s="1">
        <v>2</v>
      </c>
      <c r="L186" t="s">
        <v>69</v>
      </c>
      <c r="M186" t="s">
        <v>70</v>
      </c>
      <c r="N186" t="s">
        <v>127</v>
      </c>
      <c r="P186" t="s">
        <v>72</v>
      </c>
      <c r="Q186" t="s">
        <v>215</v>
      </c>
      <c r="R186" t="s">
        <v>74</v>
      </c>
      <c r="S186" t="s">
        <v>1228</v>
      </c>
      <c r="AF186" s="5">
        <v>13.716799999999999</v>
      </c>
      <c r="AI186" s="1">
        <v>1</v>
      </c>
      <c r="AJ186" t="s">
        <v>81</v>
      </c>
      <c r="AK186" t="s">
        <v>82</v>
      </c>
      <c r="AL186" t="s">
        <v>83</v>
      </c>
      <c r="AS186" s="3">
        <v>220041.55</v>
      </c>
      <c r="AW186" t="s">
        <v>84</v>
      </c>
      <c r="BF186" t="s">
        <v>592</v>
      </c>
      <c r="BG186" t="s">
        <v>104</v>
      </c>
    </row>
    <row r="187" spans="1:59" x14ac:dyDescent="0.25">
      <c r="A187" t="s">
        <v>1229</v>
      </c>
      <c r="B187" t="s">
        <v>1230</v>
      </c>
      <c r="C187" s="1">
        <v>361</v>
      </c>
      <c r="D187" s="1">
        <v>1987</v>
      </c>
      <c r="E187" t="s">
        <v>64</v>
      </c>
      <c r="F187" t="s">
        <v>269</v>
      </c>
      <c r="G187" t="s">
        <v>1231</v>
      </c>
      <c r="H187" t="s">
        <v>1232</v>
      </c>
      <c r="I187" t="s">
        <v>1233</v>
      </c>
      <c r="J187" t="s">
        <v>1231</v>
      </c>
      <c r="K187" s="1">
        <v>3</v>
      </c>
      <c r="L187" t="s">
        <v>91</v>
      </c>
      <c r="M187" t="s">
        <v>70</v>
      </c>
      <c r="N187" t="s">
        <v>71</v>
      </c>
      <c r="P187" t="s">
        <v>72</v>
      </c>
      <c r="Q187" t="s">
        <v>73</v>
      </c>
      <c r="R187" t="s">
        <v>74</v>
      </c>
      <c r="S187" t="s">
        <v>1234</v>
      </c>
      <c r="T187" s="2">
        <v>651</v>
      </c>
      <c r="U187" s="3">
        <v>1.68</v>
      </c>
      <c r="V187" s="4">
        <v>1096</v>
      </c>
      <c r="AF187" s="5">
        <v>15.512499999999999</v>
      </c>
      <c r="AH187" s="1">
        <v>2003</v>
      </c>
      <c r="AI187" s="1">
        <v>3</v>
      </c>
      <c r="AJ187" t="s">
        <v>81</v>
      </c>
      <c r="AK187" t="s">
        <v>82</v>
      </c>
      <c r="AL187" t="s">
        <v>83</v>
      </c>
      <c r="AM187" s="3">
        <v>1.66</v>
      </c>
      <c r="AN187" s="4">
        <v>1602</v>
      </c>
      <c r="AO187" s="1">
        <v>967</v>
      </c>
      <c r="AS187" s="3">
        <v>198454.96</v>
      </c>
      <c r="AW187" t="s">
        <v>84</v>
      </c>
      <c r="AY187" s="3">
        <v>1.69</v>
      </c>
      <c r="AZ187" s="4">
        <v>942</v>
      </c>
      <c r="BA187" s="1">
        <v>556</v>
      </c>
      <c r="BB187" s="1">
        <v>277</v>
      </c>
      <c r="BC187" s="1">
        <v>84</v>
      </c>
      <c r="BF187" t="s">
        <v>1235</v>
      </c>
      <c r="BG187" t="s">
        <v>104</v>
      </c>
    </row>
    <row r="188" spans="1:59" x14ac:dyDescent="0.25">
      <c r="A188" t="s">
        <v>1236</v>
      </c>
      <c r="B188" t="s">
        <v>1237</v>
      </c>
      <c r="C188" s="1">
        <v>295</v>
      </c>
      <c r="D188" s="1">
        <v>1988</v>
      </c>
      <c r="E188" t="s">
        <v>64</v>
      </c>
      <c r="F188" t="s">
        <v>734</v>
      </c>
      <c r="G188" t="s">
        <v>1238</v>
      </c>
      <c r="H188" t="s">
        <v>1239</v>
      </c>
      <c r="I188" t="s">
        <v>1240</v>
      </c>
      <c r="J188" t="s">
        <v>1238</v>
      </c>
      <c r="K188" s="1">
        <v>3</v>
      </c>
      <c r="L188" t="s">
        <v>91</v>
      </c>
      <c r="M188" t="s">
        <v>70</v>
      </c>
      <c r="N188" t="s">
        <v>71</v>
      </c>
      <c r="P188" t="s">
        <v>72</v>
      </c>
      <c r="Q188" t="s">
        <v>73</v>
      </c>
      <c r="R188" t="s">
        <v>74</v>
      </c>
      <c r="S188" t="s">
        <v>1241</v>
      </c>
      <c r="T188" s="2">
        <v>519</v>
      </c>
      <c r="U188" s="3">
        <v>1.67</v>
      </c>
      <c r="V188" s="4">
        <v>867</v>
      </c>
      <c r="AF188" s="5">
        <v>41.355899999999998</v>
      </c>
      <c r="AI188" s="1">
        <v>3</v>
      </c>
      <c r="AJ188" t="s">
        <v>81</v>
      </c>
      <c r="AK188" t="s">
        <v>82</v>
      </c>
      <c r="AL188" t="s">
        <v>83</v>
      </c>
      <c r="AM188" s="3">
        <v>1.19</v>
      </c>
      <c r="AN188" s="4">
        <v>951</v>
      </c>
      <c r="AO188" s="1">
        <v>800</v>
      </c>
      <c r="AS188" s="3">
        <v>0</v>
      </c>
      <c r="AT188" s="3">
        <v>3.7</v>
      </c>
      <c r="AU188" s="4">
        <v>822</v>
      </c>
      <c r="AV188" s="6">
        <v>223</v>
      </c>
      <c r="AW188" t="s">
        <v>84</v>
      </c>
      <c r="AY188" s="3">
        <v>1.64</v>
      </c>
      <c r="AZ188" s="4">
        <v>868</v>
      </c>
      <c r="BA188" s="1">
        <v>528</v>
      </c>
      <c r="BB188" s="1">
        <v>283</v>
      </c>
      <c r="BC188" s="1">
        <v>2</v>
      </c>
    </row>
    <row r="189" spans="1:59" x14ac:dyDescent="0.25">
      <c r="A189" t="s">
        <v>1242</v>
      </c>
      <c r="B189" t="s">
        <v>1243</v>
      </c>
      <c r="C189" s="1">
        <v>294</v>
      </c>
      <c r="D189" s="1">
        <v>1990</v>
      </c>
      <c r="E189" t="s">
        <v>64</v>
      </c>
      <c r="F189" t="s">
        <v>734</v>
      </c>
      <c r="G189" t="s">
        <v>735</v>
      </c>
      <c r="H189" t="s">
        <v>1244</v>
      </c>
      <c r="J189" t="s">
        <v>735</v>
      </c>
      <c r="K189" s="1">
        <v>3</v>
      </c>
      <c r="L189" t="s">
        <v>91</v>
      </c>
      <c r="M189" t="s">
        <v>70</v>
      </c>
      <c r="N189" t="s">
        <v>71</v>
      </c>
      <c r="P189" t="s">
        <v>72</v>
      </c>
      <c r="Q189" t="s">
        <v>73</v>
      </c>
      <c r="R189" t="s">
        <v>74</v>
      </c>
      <c r="S189" t="s">
        <v>1245</v>
      </c>
      <c r="T189" s="2">
        <v>605</v>
      </c>
      <c r="U189" s="3">
        <v>1.46</v>
      </c>
      <c r="V189" s="4">
        <v>885</v>
      </c>
      <c r="AF189" s="5">
        <v>6.4626000000000001</v>
      </c>
      <c r="AI189" s="1">
        <v>3</v>
      </c>
      <c r="AJ189" t="s">
        <v>81</v>
      </c>
      <c r="AK189" t="s">
        <v>82</v>
      </c>
      <c r="AL189" t="s">
        <v>83</v>
      </c>
      <c r="AM189" s="3">
        <v>1.31</v>
      </c>
      <c r="AN189" s="4">
        <v>947</v>
      </c>
      <c r="AO189" s="1">
        <v>725</v>
      </c>
      <c r="AS189" s="3">
        <v>0</v>
      </c>
      <c r="AT189" s="3">
        <v>1.85</v>
      </c>
      <c r="AU189" s="4">
        <v>785</v>
      </c>
      <c r="AV189" s="6">
        <v>425</v>
      </c>
      <c r="AW189" t="s">
        <v>84</v>
      </c>
      <c r="AY189" s="3">
        <v>1.43</v>
      </c>
      <c r="AZ189" s="4">
        <v>901</v>
      </c>
      <c r="BA189" s="1">
        <v>632</v>
      </c>
      <c r="BB189" s="1">
        <v>164</v>
      </c>
      <c r="BC189" s="1">
        <v>64</v>
      </c>
    </row>
    <row r="190" spans="1:59" x14ac:dyDescent="0.25">
      <c r="A190" t="s">
        <v>1246</v>
      </c>
      <c r="B190" t="s">
        <v>1247</v>
      </c>
      <c r="C190" s="1">
        <v>55</v>
      </c>
      <c r="D190" s="1">
        <v>1985</v>
      </c>
      <c r="E190" t="s">
        <v>64</v>
      </c>
      <c r="F190" t="s">
        <v>734</v>
      </c>
      <c r="G190" t="s">
        <v>1248</v>
      </c>
      <c r="H190" t="s">
        <v>1247</v>
      </c>
      <c r="I190" t="s">
        <v>1249</v>
      </c>
      <c r="J190" t="s">
        <v>1248</v>
      </c>
      <c r="K190" s="1">
        <v>3</v>
      </c>
      <c r="L190" t="s">
        <v>91</v>
      </c>
      <c r="M190" t="s">
        <v>70</v>
      </c>
      <c r="N190" t="s">
        <v>71</v>
      </c>
      <c r="P190" t="s">
        <v>72</v>
      </c>
      <c r="Q190" t="s">
        <v>73</v>
      </c>
      <c r="R190" t="s">
        <v>74</v>
      </c>
      <c r="S190" t="s">
        <v>1250</v>
      </c>
      <c r="T190" s="2">
        <v>525</v>
      </c>
      <c r="U190" s="3">
        <v>1.73</v>
      </c>
      <c r="V190" s="4">
        <v>906</v>
      </c>
      <c r="AF190" s="5">
        <v>20</v>
      </c>
      <c r="AI190" s="1">
        <v>3</v>
      </c>
      <c r="AJ190" t="s">
        <v>81</v>
      </c>
      <c r="AK190" t="s">
        <v>82</v>
      </c>
      <c r="AL190" t="s">
        <v>83</v>
      </c>
      <c r="AS190" s="3">
        <v>93684.33</v>
      </c>
      <c r="AW190" t="s">
        <v>84</v>
      </c>
      <c r="AY190" s="3">
        <v>1.73</v>
      </c>
      <c r="AZ190" s="4">
        <v>906</v>
      </c>
      <c r="BA190" s="1">
        <v>525</v>
      </c>
      <c r="BB190" s="1">
        <v>55</v>
      </c>
      <c r="BF190" t="s">
        <v>1251</v>
      </c>
    </row>
    <row r="191" spans="1:59" x14ac:dyDescent="0.25">
      <c r="A191" t="s">
        <v>1252</v>
      </c>
      <c r="B191" t="s">
        <v>1253</v>
      </c>
      <c r="C191" s="1">
        <v>494</v>
      </c>
      <c r="D191" s="1">
        <v>1985</v>
      </c>
      <c r="E191" t="s">
        <v>64</v>
      </c>
      <c r="F191" t="s">
        <v>734</v>
      </c>
      <c r="G191" t="s">
        <v>1254</v>
      </c>
      <c r="H191" t="s">
        <v>1255</v>
      </c>
      <c r="I191" t="s">
        <v>1256</v>
      </c>
      <c r="J191" t="s">
        <v>1254</v>
      </c>
      <c r="K191" s="1">
        <v>3</v>
      </c>
      <c r="L191" t="s">
        <v>91</v>
      </c>
      <c r="M191" t="s">
        <v>70</v>
      </c>
      <c r="N191" t="s">
        <v>71</v>
      </c>
      <c r="P191" t="s">
        <v>72</v>
      </c>
      <c r="Q191" t="s">
        <v>73</v>
      </c>
      <c r="R191" t="s">
        <v>74</v>
      </c>
      <c r="S191" t="s">
        <v>1257</v>
      </c>
      <c r="T191" s="2">
        <v>763</v>
      </c>
      <c r="U191" s="3">
        <v>1.53</v>
      </c>
      <c r="V191" s="4">
        <v>1172</v>
      </c>
      <c r="AF191" s="5">
        <v>9.5142000000000007</v>
      </c>
      <c r="AI191" s="1">
        <v>3</v>
      </c>
      <c r="AJ191" t="s">
        <v>81</v>
      </c>
      <c r="AK191" t="s">
        <v>82</v>
      </c>
      <c r="AL191" t="s">
        <v>83</v>
      </c>
      <c r="AM191" s="3">
        <v>1.6</v>
      </c>
      <c r="AN191" s="4">
        <v>1465</v>
      </c>
      <c r="AO191" s="1">
        <v>915</v>
      </c>
      <c r="AS191" s="3">
        <v>430429.46</v>
      </c>
      <c r="AW191" t="s">
        <v>84</v>
      </c>
      <c r="AY191" s="3">
        <v>1.48</v>
      </c>
      <c r="AZ191" s="4">
        <v>985</v>
      </c>
      <c r="BA191" s="1">
        <v>667</v>
      </c>
      <c r="BB191" s="1">
        <v>302</v>
      </c>
      <c r="BC191" s="1">
        <v>192</v>
      </c>
      <c r="BF191" t="s">
        <v>1258</v>
      </c>
    </row>
    <row r="192" spans="1:59" x14ac:dyDescent="0.25">
      <c r="A192" t="s">
        <v>1259</v>
      </c>
      <c r="B192" t="s">
        <v>1260</v>
      </c>
      <c r="C192" s="1">
        <v>610</v>
      </c>
      <c r="D192" s="1">
        <v>1987</v>
      </c>
      <c r="E192" t="s">
        <v>64</v>
      </c>
      <c r="F192" t="s">
        <v>215</v>
      </c>
      <c r="G192" t="s">
        <v>1155</v>
      </c>
      <c r="H192" t="s">
        <v>1261</v>
      </c>
      <c r="I192" t="s">
        <v>1262</v>
      </c>
      <c r="J192" t="s">
        <v>1155</v>
      </c>
      <c r="K192" s="1">
        <v>2</v>
      </c>
      <c r="L192" t="s">
        <v>69</v>
      </c>
      <c r="M192" t="s">
        <v>70</v>
      </c>
      <c r="N192" t="s">
        <v>127</v>
      </c>
      <c r="P192" t="s">
        <v>72</v>
      </c>
      <c r="Q192" t="s">
        <v>215</v>
      </c>
      <c r="R192" t="s">
        <v>74</v>
      </c>
      <c r="S192" t="s">
        <v>1263</v>
      </c>
      <c r="AF192" s="5">
        <v>13.7705</v>
      </c>
      <c r="AI192" s="1">
        <v>1</v>
      </c>
      <c r="AJ192" t="s">
        <v>81</v>
      </c>
      <c r="AK192" t="s">
        <v>82</v>
      </c>
      <c r="AL192" t="s">
        <v>83</v>
      </c>
      <c r="AS192" s="3">
        <v>580371.03</v>
      </c>
      <c r="AW192" t="s">
        <v>84</v>
      </c>
    </row>
    <row r="193" spans="1:59" x14ac:dyDescent="0.25">
      <c r="A193" t="s">
        <v>1264</v>
      </c>
      <c r="B193" t="s">
        <v>1265</v>
      </c>
      <c r="C193" s="1">
        <v>140</v>
      </c>
      <c r="D193" s="1">
        <v>1985</v>
      </c>
      <c r="E193" t="s">
        <v>64</v>
      </c>
      <c r="F193" t="s">
        <v>140</v>
      </c>
      <c r="G193" t="s">
        <v>1266</v>
      </c>
      <c r="H193" t="s">
        <v>1267</v>
      </c>
      <c r="I193" t="s">
        <v>1268</v>
      </c>
      <c r="J193" t="s">
        <v>1266</v>
      </c>
      <c r="K193" s="1">
        <v>3</v>
      </c>
      <c r="L193" t="s">
        <v>91</v>
      </c>
      <c r="M193" t="s">
        <v>70</v>
      </c>
      <c r="N193" t="s">
        <v>71</v>
      </c>
      <c r="P193" t="s">
        <v>72</v>
      </c>
      <c r="Q193" t="s">
        <v>140</v>
      </c>
      <c r="R193" t="s">
        <v>74</v>
      </c>
      <c r="S193" t="s">
        <v>1269</v>
      </c>
      <c r="T193" s="2">
        <v>1066</v>
      </c>
      <c r="U193" s="3">
        <v>1.52</v>
      </c>
      <c r="V193" s="4">
        <v>1626</v>
      </c>
      <c r="AF193" s="5">
        <v>10</v>
      </c>
      <c r="AI193" s="1">
        <v>2</v>
      </c>
      <c r="AJ193" t="s">
        <v>81</v>
      </c>
      <c r="AK193" t="s">
        <v>82</v>
      </c>
      <c r="AL193" t="s">
        <v>83</v>
      </c>
      <c r="AM193" s="3">
        <v>1.54</v>
      </c>
      <c r="AN193" s="4">
        <v>1505</v>
      </c>
      <c r="AO193" s="1">
        <v>980</v>
      </c>
      <c r="AP193" s="3">
        <v>1.52</v>
      </c>
      <c r="AQ193" s="4">
        <v>1750</v>
      </c>
      <c r="AR193" s="1">
        <v>1155</v>
      </c>
      <c r="AW193" t="s">
        <v>84</v>
      </c>
      <c r="BC193" s="1">
        <v>71</v>
      </c>
      <c r="BD193" s="1">
        <v>69</v>
      </c>
      <c r="BF193" t="s">
        <v>566</v>
      </c>
      <c r="BG193" t="s">
        <v>104</v>
      </c>
    </row>
    <row r="194" spans="1:59" x14ac:dyDescent="0.25">
      <c r="A194" t="s">
        <v>1270</v>
      </c>
      <c r="B194" t="s">
        <v>1271</v>
      </c>
      <c r="C194" s="1">
        <v>148</v>
      </c>
      <c r="D194" s="1">
        <v>1986</v>
      </c>
      <c r="E194" t="s">
        <v>64</v>
      </c>
      <c r="F194" t="s">
        <v>140</v>
      </c>
      <c r="G194" t="s">
        <v>1272</v>
      </c>
      <c r="H194" t="s">
        <v>1273</v>
      </c>
      <c r="I194" t="s">
        <v>1274</v>
      </c>
      <c r="J194" t="s">
        <v>1272</v>
      </c>
      <c r="K194" s="1">
        <v>3</v>
      </c>
      <c r="L194" t="s">
        <v>69</v>
      </c>
      <c r="M194" t="s">
        <v>70</v>
      </c>
      <c r="N194" t="s">
        <v>71</v>
      </c>
      <c r="P194" t="s">
        <v>72</v>
      </c>
      <c r="Q194" t="s">
        <v>140</v>
      </c>
      <c r="R194" t="s">
        <v>74</v>
      </c>
      <c r="S194" t="s">
        <v>565</v>
      </c>
      <c r="T194" s="2">
        <v>1079</v>
      </c>
      <c r="U194" s="3">
        <v>1.53</v>
      </c>
      <c r="V194" s="4">
        <v>1654</v>
      </c>
      <c r="AF194" s="5">
        <v>7.4324000000000003</v>
      </c>
      <c r="AI194" s="1">
        <v>2</v>
      </c>
      <c r="AJ194" t="s">
        <v>81</v>
      </c>
      <c r="AK194" t="s">
        <v>82</v>
      </c>
      <c r="AL194" t="s">
        <v>83</v>
      </c>
      <c r="AM194" s="3">
        <v>1.57</v>
      </c>
      <c r="AN194" s="4">
        <v>1574</v>
      </c>
      <c r="AO194" s="1">
        <v>1005</v>
      </c>
      <c r="AP194" s="3">
        <v>1.5</v>
      </c>
      <c r="AQ194" s="4">
        <v>1749</v>
      </c>
      <c r="AR194" s="1">
        <v>1167</v>
      </c>
      <c r="AS194" s="3">
        <v>359391.62</v>
      </c>
      <c r="AW194" t="s">
        <v>84</v>
      </c>
      <c r="BC194" s="1">
        <v>80</v>
      </c>
      <c r="BD194" s="1">
        <v>68</v>
      </c>
    </row>
    <row r="195" spans="1:59" x14ac:dyDescent="0.25">
      <c r="A195" t="s">
        <v>1275</v>
      </c>
      <c r="B195" t="s">
        <v>1276</v>
      </c>
      <c r="C195" s="1">
        <v>288</v>
      </c>
      <c r="D195" s="1">
        <v>1986</v>
      </c>
      <c r="E195" t="s">
        <v>64</v>
      </c>
      <c r="F195" t="s">
        <v>177</v>
      </c>
      <c r="G195" t="s">
        <v>1277</v>
      </c>
      <c r="H195" t="s">
        <v>1278</v>
      </c>
      <c r="I195" t="s">
        <v>1279</v>
      </c>
      <c r="J195" t="s">
        <v>1277</v>
      </c>
      <c r="K195" s="1">
        <v>3</v>
      </c>
      <c r="L195" t="s">
        <v>91</v>
      </c>
      <c r="M195" t="s">
        <v>70</v>
      </c>
      <c r="N195" t="s">
        <v>71</v>
      </c>
      <c r="P195" t="s">
        <v>72</v>
      </c>
      <c r="Q195" t="s">
        <v>172</v>
      </c>
      <c r="R195" t="s">
        <v>74</v>
      </c>
      <c r="S195" t="s">
        <v>1280</v>
      </c>
      <c r="T195" s="2">
        <v>794</v>
      </c>
      <c r="U195" s="3">
        <v>1.73</v>
      </c>
      <c r="V195" s="4">
        <v>1373</v>
      </c>
      <c r="AF195" s="5">
        <v>5.9028</v>
      </c>
      <c r="AI195" s="1">
        <v>3</v>
      </c>
      <c r="AJ195" t="s">
        <v>81</v>
      </c>
      <c r="AK195" t="s">
        <v>82</v>
      </c>
      <c r="AL195" t="s">
        <v>83</v>
      </c>
      <c r="AM195" s="3">
        <v>1.6</v>
      </c>
      <c r="AN195" s="4">
        <v>1669</v>
      </c>
      <c r="AO195" s="1">
        <v>1040</v>
      </c>
      <c r="AS195" s="3">
        <v>404106.3</v>
      </c>
      <c r="AW195" t="s">
        <v>84</v>
      </c>
      <c r="AY195" s="3">
        <v>1.82</v>
      </c>
      <c r="AZ195" s="4">
        <v>1226</v>
      </c>
      <c r="BA195" s="1">
        <v>672</v>
      </c>
      <c r="BB195" s="1">
        <v>192</v>
      </c>
      <c r="BC195" s="1">
        <v>96</v>
      </c>
      <c r="BG195" t="s">
        <v>131</v>
      </c>
    </row>
    <row r="196" spans="1:59" x14ac:dyDescent="0.25">
      <c r="A196" t="s">
        <v>1281</v>
      </c>
      <c r="B196" t="s">
        <v>1282</v>
      </c>
      <c r="C196" s="1">
        <v>324</v>
      </c>
      <c r="D196" s="1">
        <v>1985</v>
      </c>
      <c r="E196" t="s">
        <v>64</v>
      </c>
      <c r="F196" t="s">
        <v>725</v>
      </c>
      <c r="G196" t="s">
        <v>1283</v>
      </c>
      <c r="H196" t="s">
        <v>1284</v>
      </c>
      <c r="I196" t="s">
        <v>1285</v>
      </c>
      <c r="J196" t="s">
        <v>1283</v>
      </c>
      <c r="K196" s="1">
        <v>3</v>
      </c>
      <c r="L196" t="s">
        <v>91</v>
      </c>
      <c r="M196" t="s">
        <v>70</v>
      </c>
      <c r="N196" t="s">
        <v>71</v>
      </c>
      <c r="P196" t="s">
        <v>72</v>
      </c>
      <c r="Q196" t="s">
        <v>73</v>
      </c>
      <c r="R196" t="s">
        <v>74</v>
      </c>
      <c r="S196" t="s">
        <v>1286</v>
      </c>
      <c r="T196" s="2">
        <v>639</v>
      </c>
      <c r="U196" s="3">
        <v>1.5</v>
      </c>
      <c r="V196" s="4">
        <v>960</v>
      </c>
      <c r="AF196" s="5">
        <v>13.271599999999999</v>
      </c>
      <c r="AI196" s="1">
        <v>3</v>
      </c>
      <c r="AJ196" t="s">
        <v>81</v>
      </c>
      <c r="AK196" t="s">
        <v>82</v>
      </c>
      <c r="AL196" t="s">
        <v>83</v>
      </c>
      <c r="AM196" s="3">
        <v>1.57</v>
      </c>
      <c r="AN196" s="4">
        <v>1238</v>
      </c>
      <c r="AO196" s="1">
        <v>789</v>
      </c>
      <c r="AS196" s="3">
        <v>622888.11</v>
      </c>
      <c r="AW196" t="s">
        <v>84</v>
      </c>
      <c r="AY196" s="3">
        <v>1.47</v>
      </c>
      <c r="AZ196" s="4">
        <v>863</v>
      </c>
      <c r="BA196" s="1">
        <v>587</v>
      </c>
      <c r="BB196" s="1">
        <v>240</v>
      </c>
      <c r="BC196" s="1">
        <v>84</v>
      </c>
      <c r="BF196" t="s">
        <v>1287</v>
      </c>
      <c r="BG196" t="s">
        <v>104</v>
      </c>
    </row>
    <row r="197" spans="1:59" x14ac:dyDescent="0.25">
      <c r="A197" t="s">
        <v>1288</v>
      </c>
      <c r="B197" t="s">
        <v>1289</v>
      </c>
      <c r="C197" s="1">
        <v>398</v>
      </c>
      <c r="D197" s="1">
        <v>1986</v>
      </c>
      <c r="E197" t="s">
        <v>64</v>
      </c>
      <c r="F197" t="s">
        <v>814</v>
      </c>
      <c r="G197" t="s">
        <v>1290</v>
      </c>
      <c r="H197" t="s">
        <v>1291</v>
      </c>
      <c r="I197" t="s">
        <v>1292</v>
      </c>
      <c r="J197" t="s">
        <v>1290</v>
      </c>
      <c r="K197" s="1">
        <v>3</v>
      </c>
      <c r="L197" t="s">
        <v>69</v>
      </c>
      <c r="M197" t="s">
        <v>70</v>
      </c>
      <c r="N197" t="s">
        <v>71</v>
      </c>
      <c r="P197" t="s">
        <v>72</v>
      </c>
      <c r="Q197" t="s">
        <v>814</v>
      </c>
      <c r="R197" t="s">
        <v>74</v>
      </c>
      <c r="S197" t="s">
        <v>816</v>
      </c>
      <c r="T197" s="2">
        <v>878</v>
      </c>
      <c r="U197" s="3">
        <v>1.79</v>
      </c>
      <c r="V197" s="4">
        <v>1576</v>
      </c>
      <c r="AF197" s="5">
        <v>5.2763999999999998</v>
      </c>
      <c r="AI197" s="1">
        <v>2</v>
      </c>
      <c r="AJ197" t="s">
        <v>81</v>
      </c>
      <c r="AK197" t="s">
        <v>82</v>
      </c>
      <c r="AL197" t="s">
        <v>83</v>
      </c>
      <c r="AM197" s="3">
        <v>1.77</v>
      </c>
      <c r="AN197" s="4">
        <v>1670</v>
      </c>
      <c r="AO197" s="1">
        <v>946</v>
      </c>
      <c r="AP197" s="3">
        <v>2.34</v>
      </c>
      <c r="AQ197" s="4">
        <v>2553</v>
      </c>
      <c r="AR197" s="1">
        <v>1093</v>
      </c>
      <c r="AS197" s="3">
        <v>1396028.9</v>
      </c>
      <c r="AW197" t="s">
        <v>84</v>
      </c>
      <c r="AY197" s="3">
        <v>1.77</v>
      </c>
      <c r="AZ197" s="4">
        <v>1314</v>
      </c>
      <c r="BA197" s="1">
        <v>744</v>
      </c>
      <c r="BB197" s="1">
        <v>144</v>
      </c>
      <c r="BC197" s="1">
        <v>238</v>
      </c>
      <c r="BD197" s="1">
        <v>16</v>
      </c>
      <c r="BF197" t="s">
        <v>1293</v>
      </c>
      <c r="BG197" t="s">
        <v>365</v>
      </c>
    </row>
    <row r="198" spans="1:59" x14ac:dyDescent="0.25">
      <c r="A198" t="s">
        <v>1294</v>
      </c>
      <c r="B198" t="s">
        <v>1295</v>
      </c>
      <c r="C198" s="1">
        <v>76</v>
      </c>
      <c r="D198" s="1">
        <v>1987</v>
      </c>
      <c r="E198" t="s">
        <v>64</v>
      </c>
      <c r="F198" t="s">
        <v>943</v>
      </c>
      <c r="G198" t="s">
        <v>1296</v>
      </c>
      <c r="H198" t="s">
        <v>1297</v>
      </c>
      <c r="I198" t="s">
        <v>1298</v>
      </c>
      <c r="J198" t="s">
        <v>1296</v>
      </c>
      <c r="K198" s="1">
        <v>3</v>
      </c>
      <c r="L198" t="s">
        <v>91</v>
      </c>
      <c r="M198" t="s">
        <v>70</v>
      </c>
      <c r="N198" t="s">
        <v>71</v>
      </c>
      <c r="O198" t="s">
        <v>426</v>
      </c>
      <c r="P198" t="s">
        <v>72</v>
      </c>
      <c r="Q198" t="s">
        <v>945</v>
      </c>
      <c r="R198" t="s">
        <v>74</v>
      </c>
      <c r="S198" t="s">
        <v>946</v>
      </c>
      <c r="T198" s="2">
        <v>804</v>
      </c>
      <c r="U198" s="3">
        <v>1.1599999999999999</v>
      </c>
      <c r="V198" s="4">
        <v>933</v>
      </c>
      <c r="AF198" s="5">
        <v>13.1579</v>
      </c>
      <c r="AH198" s="1">
        <v>2018</v>
      </c>
      <c r="AI198" s="1">
        <v>2</v>
      </c>
      <c r="AJ198" t="s">
        <v>81</v>
      </c>
      <c r="AK198" t="s">
        <v>82</v>
      </c>
      <c r="AL198" t="s">
        <v>83</v>
      </c>
      <c r="AM198" s="3">
        <v>1.01</v>
      </c>
      <c r="AN198" s="4">
        <v>948</v>
      </c>
      <c r="AO198" s="1">
        <v>935</v>
      </c>
      <c r="AS198" s="3">
        <v>85189.19</v>
      </c>
      <c r="AW198" t="s">
        <v>84</v>
      </c>
      <c r="AY198" s="3">
        <v>1.44</v>
      </c>
      <c r="AZ198" s="4">
        <v>913</v>
      </c>
      <c r="BA198" s="1">
        <v>635</v>
      </c>
      <c r="BB198" s="1">
        <v>33</v>
      </c>
      <c r="BC198" s="1">
        <v>43</v>
      </c>
      <c r="BF198" t="s">
        <v>1299</v>
      </c>
      <c r="BG198" t="s">
        <v>131</v>
      </c>
    </row>
    <row r="199" spans="1:59" x14ac:dyDescent="0.25">
      <c r="A199" t="s">
        <v>1300</v>
      </c>
      <c r="B199" t="s">
        <v>1301</v>
      </c>
      <c r="C199" s="1">
        <v>56</v>
      </c>
      <c r="D199" s="1">
        <v>1986</v>
      </c>
      <c r="E199" t="s">
        <v>64</v>
      </c>
      <c r="F199" t="s">
        <v>1302</v>
      </c>
      <c r="G199" t="s">
        <v>935</v>
      </c>
      <c r="I199" t="s">
        <v>1303</v>
      </c>
      <c r="J199" t="s">
        <v>935</v>
      </c>
      <c r="K199" s="1">
        <v>2</v>
      </c>
      <c r="L199" t="s">
        <v>69</v>
      </c>
      <c r="M199" t="s">
        <v>70</v>
      </c>
      <c r="N199" t="s">
        <v>127</v>
      </c>
      <c r="P199" t="s">
        <v>72</v>
      </c>
      <c r="Q199" t="s">
        <v>152</v>
      </c>
      <c r="R199" t="s">
        <v>74</v>
      </c>
      <c r="S199" t="s">
        <v>1304</v>
      </c>
      <c r="AF199" s="5">
        <v>8.9285999999999994</v>
      </c>
      <c r="AI199" s="1">
        <v>1</v>
      </c>
      <c r="AJ199" t="s">
        <v>81</v>
      </c>
      <c r="AK199" t="s">
        <v>82</v>
      </c>
      <c r="AL199" t="s">
        <v>83</v>
      </c>
      <c r="AS199" s="3">
        <v>37226.03</v>
      </c>
      <c r="AW199" t="s">
        <v>84</v>
      </c>
    </row>
    <row r="200" spans="1:59" x14ac:dyDescent="0.25">
      <c r="A200" t="s">
        <v>1305</v>
      </c>
      <c r="B200" t="s">
        <v>1306</v>
      </c>
      <c r="C200" s="1">
        <v>264</v>
      </c>
      <c r="D200" s="1">
        <v>1986</v>
      </c>
      <c r="E200" t="s">
        <v>64</v>
      </c>
      <c r="F200" t="s">
        <v>301</v>
      </c>
      <c r="G200" t="s">
        <v>135</v>
      </c>
      <c r="H200" t="s">
        <v>1307</v>
      </c>
      <c r="I200" t="s">
        <v>1308</v>
      </c>
      <c r="J200" t="s">
        <v>135</v>
      </c>
      <c r="K200" s="1">
        <v>3</v>
      </c>
      <c r="L200" t="s">
        <v>91</v>
      </c>
      <c r="M200" t="s">
        <v>70</v>
      </c>
      <c r="N200" t="s">
        <v>71</v>
      </c>
      <c r="P200" t="s">
        <v>72</v>
      </c>
      <c r="Q200" t="s">
        <v>152</v>
      </c>
      <c r="R200" t="s">
        <v>74</v>
      </c>
      <c r="S200" t="s">
        <v>1309</v>
      </c>
      <c r="T200" s="2">
        <v>822</v>
      </c>
      <c r="U200" s="3">
        <v>1.1000000000000001</v>
      </c>
      <c r="V200" s="4">
        <v>903</v>
      </c>
      <c r="AF200" s="5">
        <v>12.5</v>
      </c>
      <c r="AI200" s="1">
        <v>2</v>
      </c>
      <c r="AJ200" t="s">
        <v>81</v>
      </c>
      <c r="AK200" t="s">
        <v>82</v>
      </c>
      <c r="AL200" t="s">
        <v>83</v>
      </c>
      <c r="AM200" s="3">
        <v>1.06</v>
      </c>
      <c r="AN200" s="4">
        <v>953</v>
      </c>
      <c r="AO200" s="1">
        <v>895</v>
      </c>
      <c r="AS200" s="3">
        <v>482839.28</v>
      </c>
      <c r="AW200" t="s">
        <v>84</v>
      </c>
      <c r="AY200" s="3">
        <v>1.2</v>
      </c>
      <c r="AZ200" s="4">
        <v>788</v>
      </c>
      <c r="BA200" s="1">
        <v>655</v>
      </c>
      <c r="BB200" s="1">
        <v>80</v>
      </c>
      <c r="BC200" s="1">
        <v>184</v>
      </c>
      <c r="BF200" t="s">
        <v>1310</v>
      </c>
      <c r="BG200" t="s">
        <v>104</v>
      </c>
    </row>
    <row r="201" spans="1:59" x14ac:dyDescent="0.25">
      <c r="A201" t="s">
        <v>1311</v>
      </c>
      <c r="B201" t="s">
        <v>1312</v>
      </c>
      <c r="C201" s="1">
        <v>264</v>
      </c>
      <c r="D201" s="1">
        <v>1985</v>
      </c>
      <c r="E201" t="s">
        <v>64</v>
      </c>
      <c r="F201" t="s">
        <v>301</v>
      </c>
      <c r="G201" t="s">
        <v>135</v>
      </c>
      <c r="H201" t="s">
        <v>1313</v>
      </c>
      <c r="I201" t="s">
        <v>1314</v>
      </c>
      <c r="J201" t="s">
        <v>135</v>
      </c>
      <c r="K201" s="1">
        <v>3</v>
      </c>
      <c r="L201" t="s">
        <v>91</v>
      </c>
      <c r="M201" t="s">
        <v>70</v>
      </c>
      <c r="N201" t="s">
        <v>71</v>
      </c>
      <c r="P201" t="s">
        <v>72</v>
      </c>
      <c r="Q201" t="s">
        <v>152</v>
      </c>
      <c r="R201" t="s">
        <v>74</v>
      </c>
      <c r="S201" t="s">
        <v>406</v>
      </c>
      <c r="T201" s="2">
        <v>647</v>
      </c>
      <c r="U201" s="3">
        <v>1.4</v>
      </c>
      <c r="V201" s="4">
        <v>904</v>
      </c>
      <c r="AF201" s="5">
        <v>25</v>
      </c>
      <c r="AI201" s="1">
        <v>2</v>
      </c>
      <c r="AJ201" t="s">
        <v>81</v>
      </c>
      <c r="AK201" t="s">
        <v>82</v>
      </c>
      <c r="AL201" t="s">
        <v>83</v>
      </c>
      <c r="AM201" s="3">
        <v>1.4</v>
      </c>
      <c r="AN201" s="4">
        <v>1036</v>
      </c>
      <c r="AO201" s="1">
        <v>740</v>
      </c>
      <c r="AS201" s="3">
        <v>442993.32</v>
      </c>
      <c r="AW201" t="s">
        <v>84</v>
      </c>
      <c r="AY201" s="3">
        <v>1.39</v>
      </c>
      <c r="AZ201" s="4">
        <v>764</v>
      </c>
      <c r="BA201" s="1">
        <v>550</v>
      </c>
      <c r="BB201" s="1">
        <v>128</v>
      </c>
      <c r="BC201" s="1">
        <v>136</v>
      </c>
      <c r="BF201" t="s">
        <v>1310</v>
      </c>
      <c r="BG201" t="s">
        <v>104</v>
      </c>
    </row>
    <row r="202" spans="1:59" x14ac:dyDescent="0.25">
      <c r="A202" t="s">
        <v>1315</v>
      </c>
      <c r="B202" t="s">
        <v>1316</v>
      </c>
      <c r="C202" s="1">
        <v>192</v>
      </c>
      <c r="D202" s="1">
        <v>1985</v>
      </c>
      <c r="E202" t="s">
        <v>64</v>
      </c>
      <c r="F202" t="s">
        <v>301</v>
      </c>
      <c r="G202" t="s">
        <v>1317</v>
      </c>
      <c r="H202" t="s">
        <v>1318</v>
      </c>
      <c r="I202" t="s">
        <v>1319</v>
      </c>
      <c r="J202" t="s">
        <v>1317</v>
      </c>
      <c r="K202" s="1">
        <v>3</v>
      </c>
      <c r="L202" t="s">
        <v>69</v>
      </c>
      <c r="M202" t="s">
        <v>70</v>
      </c>
      <c r="N202" t="s">
        <v>71</v>
      </c>
      <c r="P202" t="s">
        <v>72</v>
      </c>
      <c r="Q202" t="s">
        <v>152</v>
      </c>
      <c r="R202" t="s">
        <v>74</v>
      </c>
      <c r="S202" t="s">
        <v>406</v>
      </c>
      <c r="T202" s="2">
        <v>775</v>
      </c>
      <c r="U202" s="3">
        <v>1.3</v>
      </c>
      <c r="V202" s="4">
        <v>1009</v>
      </c>
      <c r="AF202" s="5">
        <v>8.3332999999999995</v>
      </c>
      <c r="AH202" s="1">
        <v>2018</v>
      </c>
      <c r="AI202" s="1">
        <v>2</v>
      </c>
      <c r="AJ202" t="s">
        <v>81</v>
      </c>
      <c r="AK202" t="s">
        <v>82</v>
      </c>
      <c r="AL202" t="s">
        <v>83</v>
      </c>
      <c r="AM202" s="3">
        <v>1.19</v>
      </c>
      <c r="AN202" s="4">
        <v>1102</v>
      </c>
      <c r="AO202" s="1">
        <v>923</v>
      </c>
      <c r="AP202" s="3">
        <v>1.36</v>
      </c>
      <c r="AQ202" s="4">
        <v>1579</v>
      </c>
      <c r="AR202" s="1">
        <v>1159</v>
      </c>
      <c r="AS202" s="3">
        <v>455298.71</v>
      </c>
      <c r="AW202" t="s">
        <v>84</v>
      </c>
      <c r="AY202" s="3">
        <v>1.42</v>
      </c>
      <c r="AZ202" s="4">
        <v>837</v>
      </c>
      <c r="BA202" s="1">
        <v>589</v>
      </c>
      <c r="BB202" s="1">
        <v>96</v>
      </c>
      <c r="BC202" s="1">
        <v>80</v>
      </c>
      <c r="BD202" s="1">
        <v>16</v>
      </c>
      <c r="BF202" t="s">
        <v>1320</v>
      </c>
      <c r="BG202" t="s">
        <v>365</v>
      </c>
    </row>
    <row r="203" spans="1:59" x14ac:dyDescent="0.25">
      <c r="A203" t="s">
        <v>1321</v>
      </c>
      <c r="B203" t="s">
        <v>1322</v>
      </c>
      <c r="C203" s="1">
        <v>415</v>
      </c>
      <c r="D203" s="1">
        <v>1985</v>
      </c>
      <c r="E203" t="s">
        <v>64</v>
      </c>
      <c r="F203" t="s">
        <v>514</v>
      </c>
      <c r="G203" t="s">
        <v>1205</v>
      </c>
      <c r="H203" t="s">
        <v>1323</v>
      </c>
      <c r="I203" t="s">
        <v>1324</v>
      </c>
      <c r="J203" t="s">
        <v>1205</v>
      </c>
      <c r="K203" s="1">
        <v>3</v>
      </c>
      <c r="L203" t="s">
        <v>91</v>
      </c>
      <c r="M203" t="s">
        <v>70</v>
      </c>
      <c r="N203" t="s">
        <v>71</v>
      </c>
      <c r="P203" t="s">
        <v>72</v>
      </c>
      <c r="Q203" t="s">
        <v>264</v>
      </c>
      <c r="R203" t="s">
        <v>74</v>
      </c>
      <c r="S203" t="s">
        <v>1325</v>
      </c>
      <c r="T203" s="2">
        <v>916</v>
      </c>
      <c r="U203" s="3">
        <v>1.52</v>
      </c>
      <c r="V203" s="4">
        <v>1392</v>
      </c>
      <c r="AF203" s="5">
        <v>4.3372999999999999</v>
      </c>
      <c r="AI203" s="1">
        <v>3</v>
      </c>
      <c r="AJ203" t="s">
        <v>81</v>
      </c>
      <c r="AK203" t="s">
        <v>82</v>
      </c>
      <c r="AL203" t="s">
        <v>83</v>
      </c>
      <c r="AM203" s="3">
        <v>1.5</v>
      </c>
      <c r="AN203" s="4">
        <v>1510</v>
      </c>
      <c r="AO203" s="1">
        <v>1009</v>
      </c>
      <c r="AS203" s="3">
        <v>1411142.69</v>
      </c>
      <c r="AW203" t="s">
        <v>84</v>
      </c>
      <c r="AY203" s="3">
        <v>1.56</v>
      </c>
      <c r="AZ203" s="4">
        <v>1219</v>
      </c>
      <c r="BA203" s="1">
        <v>780</v>
      </c>
      <c r="BB203" s="1">
        <v>168</v>
      </c>
      <c r="BC203" s="1">
        <v>247</v>
      </c>
    </row>
    <row r="204" spans="1:59" x14ac:dyDescent="0.25">
      <c r="A204" t="s">
        <v>1326</v>
      </c>
      <c r="B204" t="s">
        <v>1327</v>
      </c>
      <c r="C204" s="1">
        <v>583</v>
      </c>
      <c r="D204" s="1">
        <v>1985</v>
      </c>
      <c r="E204" t="s">
        <v>64</v>
      </c>
      <c r="F204" t="s">
        <v>256</v>
      </c>
      <c r="G204" t="s">
        <v>1328</v>
      </c>
      <c r="H204" t="s">
        <v>1329</v>
      </c>
      <c r="I204" t="s">
        <v>1330</v>
      </c>
      <c r="J204" t="s">
        <v>1328</v>
      </c>
      <c r="K204" s="1">
        <v>3</v>
      </c>
      <c r="L204" t="s">
        <v>91</v>
      </c>
      <c r="M204" t="s">
        <v>70</v>
      </c>
      <c r="N204" t="s">
        <v>71</v>
      </c>
      <c r="O204" t="s">
        <v>118</v>
      </c>
      <c r="P204" t="s">
        <v>72</v>
      </c>
      <c r="Q204" t="s">
        <v>152</v>
      </c>
      <c r="R204" t="s">
        <v>74</v>
      </c>
      <c r="S204" t="s">
        <v>1331</v>
      </c>
      <c r="T204" s="2">
        <v>795</v>
      </c>
      <c r="U204" s="3">
        <v>1.74</v>
      </c>
      <c r="V204" s="4">
        <v>1384</v>
      </c>
      <c r="AF204" s="5">
        <v>11.4923</v>
      </c>
      <c r="AI204" s="1">
        <v>3</v>
      </c>
      <c r="AJ204" t="s">
        <v>81</v>
      </c>
      <c r="AK204" t="s">
        <v>82</v>
      </c>
      <c r="AL204" t="s">
        <v>83</v>
      </c>
      <c r="AM204" s="3">
        <v>1.6</v>
      </c>
      <c r="AN204" s="4">
        <v>1536</v>
      </c>
      <c r="AO204" s="1">
        <v>958</v>
      </c>
      <c r="AP204" s="3">
        <v>1.59</v>
      </c>
      <c r="AQ204" s="4">
        <v>2041</v>
      </c>
      <c r="AR204" s="1">
        <v>1280</v>
      </c>
      <c r="AS204" s="3">
        <v>1929736.8</v>
      </c>
      <c r="AW204" t="s">
        <v>84</v>
      </c>
      <c r="AY204" s="3">
        <v>1.92</v>
      </c>
      <c r="AZ204" s="4">
        <v>1221</v>
      </c>
      <c r="BA204" s="1">
        <v>637</v>
      </c>
      <c r="BB204" s="1">
        <v>316</v>
      </c>
      <c r="BC204" s="1">
        <v>245</v>
      </c>
      <c r="BD204" s="1">
        <v>22</v>
      </c>
      <c r="BF204" t="s">
        <v>174</v>
      </c>
      <c r="BG204" t="s">
        <v>131</v>
      </c>
    </row>
    <row r="205" spans="1:59" x14ac:dyDescent="0.25">
      <c r="A205" t="s">
        <v>1332</v>
      </c>
      <c r="B205" t="s">
        <v>1333</v>
      </c>
      <c r="C205" s="1">
        <v>64</v>
      </c>
      <c r="D205" s="1">
        <v>1985</v>
      </c>
      <c r="E205" t="s">
        <v>64</v>
      </c>
      <c r="F205" t="s">
        <v>288</v>
      </c>
      <c r="G205" t="s">
        <v>552</v>
      </c>
      <c r="I205" t="s">
        <v>1334</v>
      </c>
      <c r="J205" t="s">
        <v>552</v>
      </c>
      <c r="K205" s="1">
        <v>3</v>
      </c>
      <c r="L205" t="s">
        <v>91</v>
      </c>
      <c r="M205" t="s">
        <v>70</v>
      </c>
      <c r="N205" t="s">
        <v>71</v>
      </c>
      <c r="P205" t="s">
        <v>1335</v>
      </c>
      <c r="Q205" t="s">
        <v>152</v>
      </c>
      <c r="R205" t="s">
        <v>74</v>
      </c>
      <c r="S205" t="s">
        <v>1336</v>
      </c>
      <c r="AI205" s="1">
        <v>2</v>
      </c>
      <c r="AJ205" t="s">
        <v>81</v>
      </c>
      <c r="AK205" t="s">
        <v>82</v>
      </c>
      <c r="AL205" t="s">
        <v>83</v>
      </c>
      <c r="AS205" s="3">
        <v>145548.82999999999</v>
      </c>
      <c r="AW205" t="s">
        <v>84</v>
      </c>
      <c r="BB205" s="1">
        <v>48</v>
      </c>
      <c r="BC205" s="1">
        <v>16</v>
      </c>
    </row>
    <row r="206" spans="1:59" x14ac:dyDescent="0.25">
      <c r="A206" t="s">
        <v>1337</v>
      </c>
      <c r="B206" t="s">
        <v>1338</v>
      </c>
      <c r="C206" s="1">
        <v>274</v>
      </c>
      <c r="D206" s="1">
        <v>1986</v>
      </c>
      <c r="E206" t="s">
        <v>64</v>
      </c>
      <c r="F206" t="s">
        <v>288</v>
      </c>
      <c r="G206" t="s">
        <v>784</v>
      </c>
      <c r="H206" t="s">
        <v>1339</v>
      </c>
      <c r="I206" t="s">
        <v>1340</v>
      </c>
      <c r="J206" t="s">
        <v>784</v>
      </c>
      <c r="K206" s="1">
        <v>3</v>
      </c>
      <c r="L206" t="s">
        <v>91</v>
      </c>
      <c r="M206" t="s">
        <v>70</v>
      </c>
      <c r="N206" t="s">
        <v>71</v>
      </c>
      <c r="P206" t="s">
        <v>72</v>
      </c>
      <c r="Q206" t="s">
        <v>152</v>
      </c>
      <c r="R206" t="s">
        <v>74</v>
      </c>
      <c r="S206" t="s">
        <v>1336</v>
      </c>
      <c r="T206" s="2">
        <v>739</v>
      </c>
      <c r="U206" s="3">
        <v>1.43</v>
      </c>
      <c r="V206" s="4">
        <v>1059</v>
      </c>
      <c r="AF206" s="5">
        <v>18.248200000000001</v>
      </c>
      <c r="AH206" s="1">
        <v>2016</v>
      </c>
      <c r="AI206" s="1">
        <v>3</v>
      </c>
      <c r="AJ206" t="s">
        <v>81</v>
      </c>
      <c r="AK206" t="s">
        <v>82</v>
      </c>
      <c r="AL206" t="s">
        <v>83</v>
      </c>
      <c r="AM206" s="3">
        <v>1.39</v>
      </c>
      <c r="AN206" s="4">
        <v>1380</v>
      </c>
      <c r="AO206" s="1">
        <v>995</v>
      </c>
      <c r="AS206" s="3">
        <v>567701.64</v>
      </c>
      <c r="AW206" t="s">
        <v>84</v>
      </c>
      <c r="AY206" s="3">
        <v>1.45</v>
      </c>
      <c r="AZ206" s="4">
        <v>958</v>
      </c>
      <c r="BA206" s="1">
        <v>659</v>
      </c>
      <c r="BB206" s="1">
        <v>208</v>
      </c>
      <c r="BC206" s="1">
        <v>66</v>
      </c>
      <c r="BF206" t="s">
        <v>1341</v>
      </c>
      <c r="BG206" t="s">
        <v>643</v>
      </c>
    </row>
    <row r="207" spans="1:59" x14ac:dyDescent="0.25">
      <c r="A207" t="s">
        <v>1342</v>
      </c>
      <c r="B207" t="s">
        <v>1343</v>
      </c>
      <c r="C207" s="1">
        <v>256</v>
      </c>
      <c r="D207" s="1">
        <v>1985</v>
      </c>
      <c r="E207" t="s">
        <v>64</v>
      </c>
      <c r="F207" t="s">
        <v>148</v>
      </c>
      <c r="G207" t="s">
        <v>257</v>
      </c>
      <c r="H207" t="s">
        <v>1344</v>
      </c>
      <c r="I207" t="s">
        <v>1345</v>
      </c>
      <c r="J207" t="s">
        <v>257</v>
      </c>
      <c r="K207" s="1">
        <v>3</v>
      </c>
      <c r="L207" t="s">
        <v>91</v>
      </c>
      <c r="M207" t="s">
        <v>70</v>
      </c>
      <c r="N207" t="s">
        <v>71</v>
      </c>
      <c r="P207" t="s">
        <v>72</v>
      </c>
      <c r="Q207" t="s">
        <v>152</v>
      </c>
      <c r="R207" t="s">
        <v>74</v>
      </c>
      <c r="S207" t="s">
        <v>1346</v>
      </c>
      <c r="T207" s="2">
        <v>742</v>
      </c>
      <c r="U207" s="3">
        <v>1.57</v>
      </c>
      <c r="V207" s="4">
        <v>1167</v>
      </c>
      <c r="AF207" s="5">
        <v>10.546900000000001</v>
      </c>
      <c r="AI207" s="1">
        <v>3</v>
      </c>
      <c r="AJ207" t="s">
        <v>81</v>
      </c>
      <c r="AK207" t="s">
        <v>82</v>
      </c>
      <c r="AL207" t="s">
        <v>83</v>
      </c>
      <c r="AM207" s="3">
        <v>1.36</v>
      </c>
      <c r="AN207" s="4">
        <v>1428</v>
      </c>
      <c r="AO207" s="1">
        <v>1052</v>
      </c>
      <c r="AS207" s="3">
        <v>704200.52</v>
      </c>
      <c r="AW207" t="s">
        <v>84</v>
      </c>
      <c r="AY207" s="3">
        <v>1.69</v>
      </c>
      <c r="AZ207" s="4">
        <v>1080</v>
      </c>
      <c r="BA207" s="1">
        <v>639</v>
      </c>
      <c r="BB207" s="1">
        <v>192</v>
      </c>
      <c r="BC207" s="1">
        <v>64</v>
      </c>
      <c r="BF207" t="s">
        <v>203</v>
      </c>
      <c r="BG207" t="s">
        <v>104</v>
      </c>
    </row>
    <row r="208" spans="1:59" x14ac:dyDescent="0.25">
      <c r="A208" t="s">
        <v>1347</v>
      </c>
      <c r="B208" t="s">
        <v>1348</v>
      </c>
      <c r="C208" s="1">
        <v>389</v>
      </c>
      <c r="D208" s="1">
        <v>1986</v>
      </c>
      <c r="E208" t="s">
        <v>64</v>
      </c>
      <c r="F208" t="s">
        <v>140</v>
      </c>
      <c r="G208" t="s">
        <v>478</v>
      </c>
      <c r="H208" t="s">
        <v>1349</v>
      </c>
      <c r="I208" t="s">
        <v>1350</v>
      </c>
      <c r="J208" t="s">
        <v>478</v>
      </c>
      <c r="K208" s="1">
        <v>3</v>
      </c>
      <c r="L208" t="s">
        <v>69</v>
      </c>
      <c r="M208" t="s">
        <v>70</v>
      </c>
      <c r="N208" t="s">
        <v>71</v>
      </c>
      <c r="O208" t="s">
        <v>128</v>
      </c>
      <c r="P208" t="s">
        <v>72</v>
      </c>
      <c r="Q208" t="s">
        <v>140</v>
      </c>
      <c r="R208" t="s">
        <v>74</v>
      </c>
      <c r="S208" t="s">
        <v>1351</v>
      </c>
      <c r="T208" s="2">
        <v>833</v>
      </c>
      <c r="U208" s="3">
        <v>1.53</v>
      </c>
      <c r="V208" s="4">
        <v>1275</v>
      </c>
      <c r="AF208" s="5">
        <v>11.3111</v>
      </c>
      <c r="AI208" s="1">
        <v>2</v>
      </c>
      <c r="AJ208" t="s">
        <v>81</v>
      </c>
      <c r="AK208" t="s">
        <v>82</v>
      </c>
      <c r="AL208" t="s">
        <v>83</v>
      </c>
      <c r="AM208" s="3">
        <v>1.55</v>
      </c>
      <c r="AN208" s="4">
        <v>1620</v>
      </c>
      <c r="AO208" s="1">
        <v>1046</v>
      </c>
      <c r="AS208" s="3">
        <v>0</v>
      </c>
      <c r="AW208" t="s">
        <v>84</v>
      </c>
      <c r="AY208" s="3">
        <v>1.51</v>
      </c>
      <c r="AZ208" s="4">
        <v>1084</v>
      </c>
      <c r="BA208" s="1">
        <v>716</v>
      </c>
      <c r="BB208" s="1">
        <v>250</v>
      </c>
      <c r="BC208" s="1">
        <v>139</v>
      </c>
    </row>
    <row r="209" spans="1:59" x14ac:dyDescent="0.25">
      <c r="A209" t="s">
        <v>1352</v>
      </c>
      <c r="B209" t="s">
        <v>1353</v>
      </c>
      <c r="C209" s="1">
        <v>184</v>
      </c>
      <c r="D209" s="1">
        <v>1985</v>
      </c>
      <c r="E209" t="s">
        <v>64</v>
      </c>
      <c r="F209" t="s">
        <v>734</v>
      </c>
      <c r="K209" s="1">
        <v>3</v>
      </c>
      <c r="L209" t="s">
        <v>69</v>
      </c>
      <c r="M209" t="s">
        <v>70</v>
      </c>
      <c r="N209" t="s">
        <v>71</v>
      </c>
      <c r="P209" t="s">
        <v>72</v>
      </c>
      <c r="Q209" t="s">
        <v>73</v>
      </c>
      <c r="R209" t="s">
        <v>74</v>
      </c>
      <c r="S209" t="s">
        <v>730</v>
      </c>
      <c r="AI209" s="1">
        <v>2</v>
      </c>
      <c r="AJ209" t="s">
        <v>81</v>
      </c>
      <c r="AK209" t="s">
        <v>82</v>
      </c>
      <c r="AL209" t="s">
        <v>83</v>
      </c>
      <c r="AS209" s="3">
        <v>53999.51</v>
      </c>
      <c r="AW209" t="s">
        <v>84</v>
      </c>
      <c r="BC209" s="1">
        <v>184</v>
      </c>
    </row>
    <row r="210" spans="1:59" x14ac:dyDescent="0.25">
      <c r="A210" t="s">
        <v>1354</v>
      </c>
      <c r="B210" t="s">
        <v>1355</v>
      </c>
      <c r="C210" s="1">
        <v>168</v>
      </c>
      <c r="D210" s="1">
        <v>1985</v>
      </c>
      <c r="E210" t="s">
        <v>64</v>
      </c>
      <c r="F210" t="s">
        <v>734</v>
      </c>
      <c r="G210" t="s">
        <v>1356</v>
      </c>
      <c r="H210" t="s">
        <v>1357</v>
      </c>
      <c r="I210" t="s">
        <v>1358</v>
      </c>
      <c r="J210" t="s">
        <v>1356</v>
      </c>
      <c r="K210" s="1">
        <v>3</v>
      </c>
      <c r="L210" t="s">
        <v>91</v>
      </c>
      <c r="M210" t="s">
        <v>70</v>
      </c>
      <c r="N210" t="s">
        <v>71</v>
      </c>
      <c r="P210" t="s">
        <v>72</v>
      </c>
      <c r="Q210" t="s">
        <v>73</v>
      </c>
      <c r="R210" t="s">
        <v>74</v>
      </c>
      <c r="S210" t="s">
        <v>730</v>
      </c>
      <c r="T210" s="2">
        <v>761</v>
      </c>
      <c r="U210" s="3">
        <v>1.51</v>
      </c>
      <c r="V210" s="4">
        <v>1152</v>
      </c>
      <c r="AF210" s="5">
        <v>13.0952</v>
      </c>
      <c r="AI210" s="1">
        <v>2</v>
      </c>
      <c r="AJ210" t="s">
        <v>81</v>
      </c>
      <c r="AK210" t="s">
        <v>82</v>
      </c>
      <c r="AL210" t="s">
        <v>83</v>
      </c>
      <c r="AM210" s="3">
        <v>1.52</v>
      </c>
      <c r="AN210" s="4">
        <v>1523</v>
      </c>
      <c r="AO210" s="1">
        <v>1004</v>
      </c>
      <c r="AW210" t="s">
        <v>84</v>
      </c>
      <c r="AY210" s="3">
        <v>1.51</v>
      </c>
      <c r="AZ210" s="4">
        <v>1065</v>
      </c>
      <c r="BA210" s="1">
        <v>704</v>
      </c>
      <c r="BB210" s="1">
        <v>136</v>
      </c>
      <c r="BC210" s="1">
        <v>32</v>
      </c>
      <c r="BG210" t="s">
        <v>94</v>
      </c>
    </row>
    <row r="211" spans="1:59" x14ac:dyDescent="0.25">
      <c r="A211" t="s">
        <v>1359</v>
      </c>
      <c r="B211" t="s">
        <v>1360</v>
      </c>
      <c r="C211" s="1">
        <v>260</v>
      </c>
      <c r="D211" s="1">
        <v>1985</v>
      </c>
      <c r="E211" t="s">
        <v>64</v>
      </c>
      <c r="F211" t="s">
        <v>551</v>
      </c>
      <c r="G211" t="s">
        <v>757</v>
      </c>
      <c r="H211" t="s">
        <v>1361</v>
      </c>
      <c r="I211" t="s">
        <v>1362</v>
      </c>
      <c r="J211" t="s">
        <v>757</v>
      </c>
      <c r="K211" s="1">
        <v>3</v>
      </c>
      <c r="L211" t="s">
        <v>69</v>
      </c>
      <c r="M211" t="s">
        <v>70</v>
      </c>
      <c r="N211" t="s">
        <v>71</v>
      </c>
      <c r="P211" t="s">
        <v>72</v>
      </c>
      <c r="Q211" t="s">
        <v>551</v>
      </c>
      <c r="R211" t="s">
        <v>74</v>
      </c>
      <c r="S211" t="s">
        <v>1363</v>
      </c>
      <c r="T211" s="2">
        <v>1084</v>
      </c>
      <c r="U211" s="3">
        <v>1.86</v>
      </c>
      <c r="V211" s="4">
        <v>2020</v>
      </c>
      <c r="AF211" s="5">
        <v>9.2308000000000003</v>
      </c>
      <c r="AI211" s="1">
        <v>2</v>
      </c>
      <c r="AJ211" t="s">
        <v>81</v>
      </c>
      <c r="AK211" t="s">
        <v>82</v>
      </c>
      <c r="AL211" t="s">
        <v>83</v>
      </c>
      <c r="AM211" s="3">
        <v>1.88</v>
      </c>
      <c r="AN211" s="4">
        <v>1906</v>
      </c>
      <c r="AO211" s="1">
        <v>1014</v>
      </c>
      <c r="AP211" s="3">
        <v>1.85</v>
      </c>
      <c r="AQ211" s="4">
        <v>2135</v>
      </c>
      <c r="AR211" s="1">
        <v>1155</v>
      </c>
      <c r="AS211" s="3">
        <v>798998.8</v>
      </c>
      <c r="AW211" t="s">
        <v>84</v>
      </c>
      <c r="BC211" s="1">
        <v>130</v>
      </c>
      <c r="BD211" s="1">
        <v>130</v>
      </c>
    </row>
    <row r="212" spans="1:59" x14ac:dyDescent="0.25">
      <c r="A212" t="s">
        <v>1364</v>
      </c>
      <c r="B212" t="s">
        <v>1365</v>
      </c>
      <c r="C212" s="1">
        <v>328</v>
      </c>
      <c r="D212" s="1">
        <v>1985</v>
      </c>
      <c r="E212" t="s">
        <v>64</v>
      </c>
      <c r="F212" t="s">
        <v>551</v>
      </c>
      <c r="G212" t="s">
        <v>929</v>
      </c>
      <c r="H212" t="s">
        <v>1366</v>
      </c>
      <c r="I212" t="s">
        <v>1367</v>
      </c>
      <c r="J212" t="s">
        <v>929</v>
      </c>
      <c r="K212" s="1">
        <v>3</v>
      </c>
      <c r="L212" t="s">
        <v>69</v>
      </c>
      <c r="M212" t="s">
        <v>70</v>
      </c>
      <c r="N212" t="s">
        <v>71</v>
      </c>
      <c r="P212" t="s">
        <v>72</v>
      </c>
      <c r="Q212" t="s">
        <v>551</v>
      </c>
      <c r="R212" t="s">
        <v>74</v>
      </c>
      <c r="S212" t="s">
        <v>1368</v>
      </c>
      <c r="T212" s="2">
        <v>887</v>
      </c>
      <c r="U212" s="3">
        <v>1.5</v>
      </c>
      <c r="V212" s="4">
        <v>1335</v>
      </c>
      <c r="AF212" s="5">
        <v>8.2317</v>
      </c>
      <c r="AI212" s="1">
        <v>2</v>
      </c>
      <c r="AJ212" t="s">
        <v>81</v>
      </c>
      <c r="AK212" t="s">
        <v>82</v>
      </c>
      <c r="AL212" t="s">
        <v>83</v>
      </c>
      <c r="AM212" s="3">
        <v>1.5</v>
      </c>
      <c r="AN212" s="4">
        <v>1514</v>
      </c>
      <c r="AO212" s="1">
        <v>1013</v>
      </c>
      <c r="AS212" s="3">
        <v>708256.9</v>
      </c>
      <c r="AW212" t="s">
        <v>84</v>
      </c>
      <c r="AY212" s="3">
        <v>1.51</v>
      </c>
      <c r="AZ212" s="4">
        <v>1165</v>
      </c>
      <c r="BA212" s="1">
        <v>769</v>
      </c>
      <c r="BB212" s="1">
        <v>168</v>
      </c>
      <c r="BC212" s="1">
        <v>160</v>
      </c>
      <c r="BG212" t="s">
        <v>131</v>
      </c>
    </row>
    <row r="213" spans="1:59" x14ac:dyDescent="0.25">
      <c r="A213" t="s">
        <v>1369</v>
      </c>
      <c r="B213" t="s">
        <v>1370</v>
      </c>
      <c r="C213" s="1">
        <v>409</v>
      </c>
      <c r="D213" s="1">
        <v>1985</v>
      </c>
      <c r="E213" t="s">
        <v>64</v>
      </c>
      <c r="F213" t="s">
        <v>228</v>
      </c>
      <c r="G213" t="s">
        <v>866</v>
      </c>
      <c r="H213" t="s">
        <v>1371</v>
      </c>
      <c r="I213" t="s">
        <v>1372</v>
      </c>
      <c r="J213" t="s">
        <v>866</v>
      </c>
      <c r="K213" s="1">
        <v>2</v>
      </c>
      <c r="L213" t="s">
        <v>69</v>
      </c>
      <c r="M213" t="s">
        <v>70</v>
      </c>
      <c r="N213" t="s">
        <v>127</v>
      </c>
      <c r="P213" t="s">
        <v>72</v>
      </c>
      <c r="Q213" t="s">
        <v>152</v>
      </c>
      <c r="R213" t="s">
        <v>74</v>
      </c>
      <c r="S213" t="s">
        <v>1373</v>
      </c>
      <c r="AF213" s="5">
        <v>7.8239999999999998</v>
      </c>
      <c r="AI213" s="1">
        <v>1</v>
      </c>
      <c r="AJ213" t="s">
        <v>81</v>
      </c>
      <c r="AK213" t="s">
        <v>82</v>
      </c>
      <c r="AL213" t="s">
        <v>83</v>
      </c>
      <c r="AS213" s="3">
        <v>447996</v>
      </c>
      <c r="AW213" t="s">
        <v>84</v>
      </c>
    </row>
    <row r="214" spans="1:59" x14ac:dyDescent="0.25">
      <c r="A214" t="s">
        <v>1374</v>
      </c>
      <c r="B214" t="s">
        <v>1375</v>
      </c>
      <c r="C214" s="1">
        <v>272</v>
      </c>
      <c r="D214" s="1">
        <v>1985</v>
      </c>
      <c r="E214" t="s">
        <v>64</v>
      </c>
      <c r="F214" t="s">
        <v>123</v>
      </c>
      <c r="G214" t="s">
        <v>1376</v>
      </c>
      <c r="H214" t="s">
        <v>1377</v>
      </c>
      <c r="I214" t="s">
        <v>1378</v>
      </c>
      <c r="J214" t="s">
        <v>1376</v>
      </c>
      <c r="K214" s="1">
        <v>3</v>
      </c>
      <c r="L214" t="s">
        <v>69</v>
      </c>
      <c r="M214" t="s">
        <v>70</v>
      </c>
      <c r="N214" t="s">
        <v>71</v>
      </c>
      <c r="O214" t="s">
        <v>118</v>
      </c>
      <c r="P214" t="s">
        <v>72</v>
      </c>
      <c r="Q214" t="s">
        <v>129</v>
      </c>
      <c r="R214" t="s">
        <v>74</v>
      </c>
      <c r="S214" t="s">
        <v>130</v>
      </c>
      <c r="T214" s="2">
        <v>896</v>
      </c>
      <c r="U214" s="3">
        <v>1.54</v>
      </c>
      <c r="V214" s="4">
        <v>1378</v>
      </c>
      <c r="AF214" s="5">
        <v>2.2059000000000002</v>
      </c>
      <c r="AI214" s="1">
        <v>2</v>
      </c>
      <c r="AJ214" t="s">
        <v>81</v>
      </c>
      <c r="AK214" t="s">
        <v>82</v>
      </c>
      <c r="AL214" t="s">
        <v>83</v>
      </c>
      <c r="AM214" s="3">
        <v>1.53</v>
      </c>
      <c r="AN214" s="4">
        <v>1507</v>
      </c>
      <c r="AO214" s="1">
        <v>984</v>
      </c>
      <c r="AP214" s="3">
        <v>1.45</v>
      </c>
      <c r="AQ214" s="4">
        <v>1899</v>
      </c>
      <c r="AR214" s="1">
        <v>1310</v>
      </c>
      <c r="AS214" s="3">
        <v>419227.16</v>
      </c>
      <c r="AW214" t="s">
        <v>84</v>
      </c>
      <c r="AY214" s="3">
        <v>1.57</v>
      </c>
      <c r="AZ214" s="4">
        <v>1138</v>
      </c>
      <c r="BA214" s="1">
        <v>725</v>
      </c>
      <c r="BB214" s="1">
        <v>113</v>
      </c>
      <c r="BC214" s="1">
        <v>142</v>
      </c>
      <c r="BD214" s="1">
        <v>17</v>
      </c>
      <c r="BF214" t="s">
        <v>1379</v>
      </c>
      <c r="BG214" t="s">
        <v>104</v>
      </c>
    </row>
    <row r="215" spans="1:59" x14ac:dyDescent="0.25">
      <c r="A215" t="s">
        <v>1380</v>
      </c>
      <c r="B215" t="s">
        <v>1381</v>
      </c>
      <c r="C215" s="1">
        <v>184</v>
      </c>
      <c r="D215" s="1">
        <v>1987</v>
      </c>
      <c r="E215" t="s">
        <v>64</v>
      </c>
      <c r="F215" t="s">
        <v>215</v>
      </c>
      <c r="G215" t="s">
        <v>1382</v>
      </c>
      <c r="H215" t="s">
        <v>1383</v>
      </c>
      <c r="J215" t="s">
        <v>1382</v>
      </c>
      <c r="K215" s="1">
        <v>3</v>
      </c>
      <c r="L215" t="s">
        <v>69</v>
      </c>
      <c r="M215" t="s">
        <v>70</v>
      </c>
      <c r="N215" t="s">
        <v>71</v>
      </c>
      <c r="O215" t="s">
        <v>118</v>
      </c>
      <c r="P215" t="s">
        <v>72</v>
      </c>
      <c r="Q215" t="s">
        <v>1384</v>
      </c>
      <c r="R215" t="s">
        <v>74</v>
      </c>
      <c r="S215" t="s">
        <v>1385</v>
      </c>
      <c r="T215" s="2">
        <v>779</v>
      </c>
      <c r="U215" s="3">
        <v>1.78</v>
      </c>
      <c r="V215" s="4">
        <v>1387</v>
      </c>
      <c r="AF215" s="5">
        <v>18.478300000000001</v>
      </c>
      <c r="AH215" s="1">
        <v>1993</v>
      </c>
      <c r="AI215" s="1">
        <v>2</v>
      </c>
      <c r="AJ215" t="s">
        <v>81</v>
      </c>
      <c r="AK215" t="s">
        <v>82</v>
      </c>
      <c r="AL215" t="s">
        <v>83</v>
      </c>
      <c r="AM215" s="3">
        <v>1.77</v>
      </c>
      <c r="AN215" s="4">
        <v>1397</v>
      </c>
      <c r="AO215" s="1">
        <v>787</v>
      </c>
      <c r="AP215" s="3">
        <v>1.48</v>
      </c>
      <c r="AQ215" s="4">
        <v>1623</v>
      </c>
      <c r="AR215" s="1">
        <v>1100</v>
      </c>
      <c r="AS215" s="3">
        <v>426752.49</v>
      </c>
      <c r="AW215" t="s">
        <v>84</v>
      </c>
      <c r="AY215" s="3">
        <v>1.96</v>
      </c>
      <c r="AZ215" s="4">
        <v>1282</v>
      </c>
      <c r="BA215" s="1">
        <v>653</v>
      </c>
      <c r="BB215" s="1">
        <v>48</v>
      </c>
      <c r="BC215" s="1">
        <v>120</v>
      </c>
      <c r="BD215" s="1">
        <v>16</v>
      </c>
    </row>
    <row r="216" spans="1:59" x14ac:dyDescent="0.25">
      <c r="A216" t="s">
        <v>1386</v>
      </c>
      <c r="B216" t="s">
        <v>1387</v>
      </c>
      <c r="C216" s="1">
        <v>360</v>
      </c>
      <c r="D216" s="1">
        <v>1985</v>
      </c>
      <c r="E216" t="s">
        <v>64</v>
      </c>
      <c r="F216" t="s">
        <v>1388</v>
      </c>
      <c r="G216" t="s">
        <v>1389</v>
      </c>
      <c r="H216" t="s">
        <v>1390</v>
      </c>
      <c r="I216" t="s">
        <v>1391</v>
      </c>
      <c r="J216" t="s">
        <v>1389</v>
      </c>
      <c r="K216" s="1">
        <v>3</v>
      </c>
      <c r="L216" t="s">
        <v>91</v>
      </c>
      <c r="M216" t="s">
        <v>70</v>
      </c>
      <c r="N216" t="s">
        <v>71</v>
      </c>
      <c r="P216" t="s">
        <v>72</v>
      </c>
      <c r="Q216" t="s">
        <v>73</v>
      </c>
      <c r="R216" t="s">
        <v>74</v>
      </c>
      <c r="S216" t="s">
        <v>1392</v>
      </c>
      <c r="T216" s="2">
        <v>849</v>
      </c>
      <c r="U216" s="3">
        <v>1.33</v>
      </c>
      <c r="V216" s="4">
        <v>1128</v>
      </c>
      <c r="AF216" s="5">
        <v>5.5556000000000001</v>
      </c>
      <c r="AH216" s="1">
        <v>1991</v>
      </c>
      <c r="AI216" s="1">
        <v>2</v>
      </c>
      <c r="AJ216" t="s">
        <v>81</v>
      </c>
      <c r="AK216" t="s">
        <v>82</v>
      </c>
      <c r="AL216" t="s">
        <v>83</v>
      </c>
      <c r="AM216" s="3">
        <v>1.29</v>
      </c>
      <c r="AN216" s="4">
        <v>1171</v>
      </c>
      <c r="AO216" s="1">
        <v>911</v>
      </c>
      <c r="AW216" t="s">
        <v>84</v>
      </c>
      <c r="AY216" s="3">
        <v>1.54</v>
      </c>
      <c r="AZ216" s="4">
        <v>980</v>
      </c>
      <c r="BA216" s="1">
        <v>634</v>
      </c>
      <c r="BB216" s="1">
        <v>80</v>
      </c>
      <c r="BC216" s="1">
        <v>280</v>
      </c>
    </row>
    <row r="217" spans="1:59" x14ac:dyDescent="0.25">
      <c r="A217" t="s">
        <v>1393</v>
      </c>
      <c r="B217" t="s">
        <v>1394</v>
      </c>
      <c r="C217" s="1">
        <v>416</v>
      </c>
      <c r="D217" s="1">
        <v>1986</v>
      </c>
      <c r="E217" t="s">
        <v>64</v>
      </c>
      <c r="F217" t="s">
        <v>259</v>
      </c>
      <c r="G217" t="s">
        <v>784</v>
      </c>
      <c r="H217" t="s">
        <v>1395</v>
      </c>
      <c r="I217" t="s">
        <v>1396</v>
      </c>
      <c r="J217" t="s">
        <v>784</v>
      </c>
      <c r="K217" s="1">
        <v>3</v>
      </c>
      <c r="L217" t="s">
        <v>91</v>
      </c>
      <c r="M217" t="s">
        <v>70</v>
      </c>
      <c r="N217" t="s">
        <v>71</v>
      </c>
      <c r="P217" t="s">
        <v>72</v>
      </c>
      <c r="Q217" t="s">
        <v>152</v>
      </c>
      <c r="R217" t="s">
        <v>74</v>
      </c>
      <c r="S217" t="s">
        <v>780</v>
      </c>
      <c r="T217" s="2">
        <v>691</v>
      </c>
      <c r="U217" s="3">
        <v>1.42</v>
      </c>
      <c r="V217" s="4">
        <v>982</v>
      </c>
      <c r="AF217" s="5">
        <v>11.2981</v>
      </c>
      <c r="AH217" s="1">
        <v>2018</v>
      </c>
      <c r="AI217" s="1">
        <v>3</v>
      </c>
      <c r="AJ217" t="s">
        <v>81</v>
      </c>
      <c r="AK217" t="s">
        <v>82</v>
      </c>
      <c r="AL217" t="s">
        <v>83</v>
      </c>
      <c r="AM217" s="3">
        <v>1.17</v>
      </c>
      <c r="AN217" s="4">
        <v>1231</v>
      </c>
      <c r="AO217" s="1">
        <v>1053</v>
      </c>
      <c r="AP217" s="3">
        <v>1.44</v>
      </c>
      <c r="AQ217" s="4">
        <v>1867</v>
      </c>
      <c r="AR217" s="1">
        <v>1294</v>
      </c>
      <c r="AS217" s="3">
        <v>1067265.8400000001</v>
      </c>
      <c r="AW217" t="s">
        <v>84</v>
      </c>
      <c r="AY217" s="3">
        <v>1.5</v>
      </c>
      <c r="AZ217" s="4">
        <v>915</v>
      </c>
      <c r="BA217" s="1">
        <v>611</v>
      </c>
      <c r="BB217" s="1">
        <v>344</v>
      </c>
      <c r="BC217" s="1">
        <v>64</v>
      </c>
      <c r="BD217" s="1">
        <v>8</v>
      </c>
      <c r="BF217" t="s">
        <v>1397</v>
      </c>
      <c r="BG217" t="s">
        <v>131</v>
      </c>
    </row>
    <row r="218" spans="1:59" x14ac:dyDescent="0.25">
      <c r="A218" t="s">
        <v>1398</v>
      </c>
      <c r="B218" t="s">
        <v>1399</v>
      </c>
      <c r="C218" s="1">
        <v>440</v>
      </c>
      <c r="D218" s="1">
        <v>1986</v>
      </c>
      <c r="E218" t="s">
        <v>64</v>
      </c>
      <c r="F218" t="s">
        <v>259</v>
      </c>
      <c r="G218" t="s">
        <v>1400</v>
      </c>
      <c r="H218" t="s">
        <v>1401</v>
      </c>
      <c r="I218" t="s">
        <v>1402</v>
      </c>
      <c r="J218" t="s">
        <v>1400</v>
      </c>
      <c r="K218" s="1">
        <v>3</v>
      </c>
      <c r="L218" t="s">
        <v>69</v>
      </c>
      <c r="M218" t="s">
        <v>70</v>
      </c>
      <c r="N218" t="s">
        <v>71</v>
      </c>
      <c r="P218" t="s">
        <v>72</v>
      </c>
      <c r="Q218" t="s">
        <v>152</v>
      </c>
      <c r="R218" t="s">
        <v>74</v>
      </c>
      <c r="S218" t="s">
        <v>780</v>
      </c>
      <c r="T218" s="2">
        <v>770</v>
      </c>
      <c r="U218" s="3">
        <v>1.68</v>
      </c>
      <c r="V218" s="4">
        <v>1291</v>
      </c>
      <c r="AF218" s="5">
        <v>7.9545000000000003</v>
      </c>
      <c r="AI218" s="1">
        <v>3</v>
      </c>
      <c r="AJ218" t="s">
        <v>81</v>
      </c>
      <c r="AK218" t="s">
        <v>82</v>
      </c>
      <c r="AL218" t="s">
        <v>83</v>
      </c>
      <c r="AM218" s="3">
        <v>1.7</v>
      </c>
      <c r="AN218" s="4">
        <v>1657</v>
      </c>
      <c r="AO218" s="1">
        <v>973</v>
      </c>
      <c r="AS218" s="3">
        <v>0</v>
      </c>
      <c r="AW218" t="s">
        <v>84</v>
      </c>
      <c r="AY218" s="3">
        <v>1.66</v>
      </c>
      <c r="AZ218" s="4">
        <v>1120</v>
      </c>
      <c r="BA218" s="1">
        <v>676</v>
      </c>
      <c r="BB218" s="1">
        <v>300</v>
      </c>
      <c r="BC218" s="1">
        <v>140</v>
      </c>
      <c r="BF218" t="s">
        <v>1403</v>
      </c>
      <c r="BG218" t="s">
        <v>104</v>
      </c>
    </row>
    <row r="219" spans="1:59" x14ac:dyDescent="0.25">
      <c r="A219" t="s">
        <v>1404</v>
      </c>
      <c r="B219" t="s">
        <v>1405</v>
      </c>
      <c r="C219" s="1">
        <v>208</v>
      </c>
      <c r="D219" s="1">
        <v>1985</v>
      </c>
      <c r="E219" t="s">
        <v>64</v>
      </c>
      <c r="F219" t="s">
        <v>409</v>
      </c>
      <c r="G219" t="s">
        <v>882</v>
      </c>
      <c r="H219" t="s">
        <v>1406</v>
      </c>
      <c r="I219" t="s">
        <v>1407</v>
      </c>
      <c r="J219" t="s">
        <v>882</v>
      </c>
      <c r="K219" s="1">
        <v>3</v>
      </c>
      <c r="L219" t="s">
        <v>91</v>
      </c>
      <c r="M219" t="s">
        <v>70</v>
      </c>
      <c r="N219" t="s">
        <v>71</v>
      </c>
      <c r="P219" t="s">
        <v>72</v>
      </c>
      <c r="Q219" t="s">
        <v>110</v>
      </c>
      <c r="R219" t="s">
        <v>74</v>
      </c>
      <c r="S219" t="s">
        <v>1408</v>
      </c>
      <c r="T219" s="2">
        <v>681</v>
      </c>
      <c r="U219" s="3">
        <v>1.88</v>
      </c>
      <c r="V219" s="4">
        <v>1278</v>
      </c>
      <c r="AF219" s="5">
        <v>5.7691999999999997</v>
      </c>
      <c r="AI219" s="1">
        <v>2</v>
      </c>
      <c r="AJ219" t="s">
        <v>81</v>
      </c>
      <c r="AK219" t="s">
        <v>82</v>
      </c>
      <c r="AL219" t="s">
        <v>83</v>
      </c>
      <c r="AM219" s="3">
        <v>1.68</v>
      </c>
      <c r="AN219" s="4">
        <v>1518</v>
      </c>
      <c r="AO219" s="1">
        <v>905</v>
      </c>
      <c r="AS219" s="3">
        <v>587921.02</v>
      </c>
      <c r="AW219" t="s">
        <v>84</v>
      </c>
      <c r="AY219" s="3">
        <v>1.97</v>
      </c>
      <c r="AZ219" s="4">
        <v>1207</v>
      </c>
      <c r="BA219" s="1">
        <v>614</v>
      </c>
      <c r="BB219" s="1">
        <v>160</v>
      </c>
      <c r="BC219" s="1">
        <v>48</v>
      </c>
    </row>
    <row r="220" spans="1:59" x14ac:dyDescent="0.25">
      <c r="A220" t="s">
        <v>1409</v>
      </c>
      <c r="B220" t="s">
        <v>1410</v>
      </c>
      <c r="C220" s="1">
        <v>154</v>
      </c>
      <c r="D220" s="1">
        <v>1985</v>
      </c>
      <c r="E220" t="s">
        <v>64</v>
      </c>
      <c r="F220" t="s">
        <v>110</v>
      </c>
      <c r="G220" t="s">
        <v>1411</v>
      </c>
      <c r="H220" t="s">
        <v>1412</v>
      </c>
      <c r="I220" t="s">
        <v>1413</v>
      </c>
      <c r="J220" t="s">
        <v>1411</v>
      </c>
      <c r="K220" s="1">
        <v>3</v>
      </c>
      <c r="L220" t="s">
        <v>91</v>
      </c>
      <c r="M220" t="s">
        <v>70</v>
      </c>
      <c r="N220" t="s">
        <v>71</v>
      </c>
      <c r="P220" t="s">
        <v>72</v>
      </c>
      <c r="Q220" t="s">
        <v>531</v>
      </c>
      <c r="R220" t="s">
        <v>74</v>
      </c>
      <c r="S220" t="s">
        <v>532</v>
      </c>
      <c r="T220" s="2">
        <v>776</v>
      </c>
      <c r="U220" s="3">
        <v>1.66</v>
      </c>
      <c r="V220" s="4">
        <v>1287</v>
      </c>
      <c r="AF220" s="5">
        <v>3.8961000000000001</v>
      </c>
      <c r="AI220" s="1">
        <v>2</v>
      </c>
      <c r="AJ220" t="s">
        <v>81</v>
      </c>
      <c r="AK220" t="s">
        <v>82</v>
      </c>
      <c r="AL220" t="s">
        <v>83</v>
      </c>
      <c r="AM220" s="3">
        <v>1.61</v>
      </c>
      <c r="AN220" s="4">
        <v>1401</v>
      </c>
      <c r="AO220" s="1">
        <v>869</v>
      </c>
      <c r="AS220" s="3">
        <v>297333.75</v>
      </c>
      <c r="AW220" t="s">
        <v>84</v>
      </c>
      <c r="AY220" s="3">
        <v>1.73</v>
      </c>
      <c r="AZ220" s="4">
        <v>1153</v>
      </c>
      <c r="BA220" s="1">
        <v>668</v>
      </c>
      <c r="BB220" s="1">
        <v>71</v>
      </c>
      <c r="BC220" s="1">
        <v>83</v>
      </c>
      <c r="BF220" t="s">
        <v>1414</v>
      </c>
      <c r="BG220" t="s">
        <v>104</v>
      </c>
    </row>
    <row r="221" spans="1:59" x14ac:dyDescent="0.25">
      <c r="A221" t="s">
        <v>1415</v>
      </c>
      <c r="B221" t="s">
        <v>1416</v>
      </c>
      <c r="C221" s="1">
        <v>216</v>
      </c>
      <c r="D221" s="1">
        <v>1985</v>
      </c>
      <c r="E221" t="s">
        <v>64</v>
      </c>
      <c r="F221" t="s">
        <v>800</v>
      </c>
      <c r="G221" t="s">
        <v>390</v>
      </c>
      <c r="H221" t="s">
        <v>1417</v>
      </c>
      <c r="J221" t="s">
        <v>390</v>
      </c>
      <c r="K221" s="1">
        <v>3</v>
      </c>
      <c r="L221" t="s">
        <v>91</v>
      </c>
      <c r="M221" t="s">
        <v>70</v>
      </c>
      <c r="N221" t="s">
        <v>71</v>
      </c>
      <c r="P221" t="s">
        <v>72</v>
      </c>
      <c r="Q221" t="s">
        <v>800</v>
      </c>
      <c r="R221" t="s">
        <v>74</v>
      </c>
      <c r="S221" t="s">
        <v>803</v>
      </c>
      <c r="T221" s="2">
        <v>802</v>
      </c>
      <c r="U221" s="3">
        <v>1.81</v>
      </c>
      <c r="V221" s="4">
        <v>1456</v>
      </c>
      <c r="AF221" s="5">
        <v>3.2406999999999999</v>
      </c>
      <c r="AI221" s="1">
        <v>2</v>
      </c>
      <c r="AJ221" t="s">
        <v>81</v>
      </c>
      <c r="AK221" t="s">
        <v>82</v>
      </c>
      <c r="AL221" t="s">
        <v>83</v>
      </c>
      <c r="AM221" s="3">
        <v>1.76</v>
      </c>
      <c r="AN221" s="4">
        <v>1624</v>
      </c>
      <c r="AO221" s="1">
        <v>924</v>
      </c>
      <c r="AP221" s="3">
        <v>1.76</v>
      </c>
      <c r="AQ221" s="4">
        <v>2191</v>
      </c>
      <c r="AR221" s="1">
        <v>1244</v>
      </c>
      <c r="AS221" s="3">
        <v>0</v>
      </c>
      <c r="AW221" t="s">
        <v>84</v>
      </c>
      <c r="AY221" s="3">
        <v>1.88</v>
      </c>
      <c r="AZ221" s="4">
        <v>1246</v>
      </c>
      <c r="BA221" s="1">
        <v>663</v>
      </c>
      <c r="BB221" s="1">
        <v>120</v>
      </c>
      <c r="BC221" s="1">
        <v>80</v>
      </c>
      <c r="BD221" s="1">
        <v>16</v>
      </c>
      <c r="BG221" t="s">
        <v>365</v>
      </c>
    </row>
    <row r="222" spans="1:59" x14ac:dyDescent="0.25">
      <c r="A222" t="s">
        <v>1418</v>
      </c>
      <c r="B222" t="s">
        <v>1419</v>
      </c>
      <c r="C222" s="1">
        <v>192</v>
      </c>
      <c r="D222" s="1">
        <v>1985</v>
      </c>
      <c r="E222" t="s">
        <v>64</v>
      </c>
      <c r="F222" t="s">
        <v>800</v>
      </c>
      <c r="G222" t="s">
        <v>1420</v>
      </c>
      <c r="H222" t="s">
        <v>1421</v>
      </c>
      <c r="I222" t="s">
        <v>1422</v>
      </c>
      <c r="J222" t="s">
        <v>1420</v>
      </c>
      <c r="K222" s="1">
        <v>3</v>
      </c>
      <c r="L222" t="s">
        <v>91</v>
      </c>
      <c r="M222" t="s">
        <v>70</v>
      </c>
      <c r="N222" t="s">
        <v>71</v>
      </c>
      <c r="P222" t="s">
        <v>72</v>
      </c>
      <c r="Q222" t="s">
        <v>800</v>
      </c>
      <c r="R222" t="s">
        <v>74</v>
      </c>
      <c r="S222" t="s">
        <v>1423</v>
      </c>
      <c r="T222" s="2">
        <v>935</v>
      </c>
      <c r="U222" s="3">
        <v>1.6</v>
      </c>
      <c r="V222" s="4">
        <v>1494</v>
      </c>
      <c r="AF222" s="5">
        <v>7.2916999999999996</v>
      </c>
      <c r="AI222" s="1">
        <v>2</v>
      </c>
      <c r="AJ222" t="s">
        <v>81</v>
      </c>
      <c r="AK222" t="s">
        <v>82</v>
      </c>
      <c r="AL222" t="s">
        <v>83</v>
      </c>
      <c r="AM222" s="3">
        <v>1.36</v>
      </c>
      <c r="AN222" s="4">
        <v>1593</v>
      </c>
      <c r="AO222" s="1">
        <v>1168</v>
      </c>
      <c r="AS222" s="3">
        <v>132144.72</v>
      </c>
      <c r="AW222" t="s">
        <v>84</v>
      </c>
      <c r="AY222" s="3">
        <v>1.82</v>
      </c>
      <c r="AZ222" s="4">
        <v>1429</v>
      </c>
      <c r="BA222" s="1">
        <v>783</v>
      </c>
      <c r="BB222" s="1">
        <v>116</v>
      </c>
      <c r="BC222" s="1">
        <v>76</v>
      </c>
      <c r="BF222" t="s">
        <v>285</v>
      </c>
      <c r="BG222" t="s">
        <v>104</v>
      </c>
    </row>
    <row r="223" spans="1:59" x14ac:dyDescent="0.25">
      <c r="A223" t="s">
        <v>1424</v>
      </c>
      <c r="B223" t="s">
        <v>1425</v>
      </c>
      <c r="C223" s="1">
        <v>56</v>
      </c>
      <c r="D223" s="1">
        <v>1990</v>
      </c>
      <c r="E223" t="s">
        <v>64</v>
      </c>
      <c r="F223" t="s">
        <v>140</v>
      </c>
      <c r="G223" t="s">
        <v>1426</v>
      </c>
      <c r="I223" t="s">
        <v>1426</v>
      </c>
      <c r="K223" s="1">
        <v>3</v>
      </c>
      <c r="L223" t="s">
        <v>91</v>
      </c>
      <c r="M223" t="s">
        <v>70</v>
      </c>
      <c r="N223" t="s">
        <v>71</v>
      </c>
      <c r="P223" t="s">
        <v>72</v>
      </c>
      <c r="Q223" t="s">
        <v>140</v>
      </c>
      <c r="R223" t="s">
        <v>74</v>
      </c>
      <c r="S223" t="s">
        <v>1427</v>
      </c>
      <c r="AI223" s="1">
        <v>2</v>
      </c>
      <c r="AJ223" t="s">
        <v>81</v>
      </c>
      <c r="AK223" t="s">
        <v>82</v>
      </c>
      <c r="AL223" t="s">
        <v>83</v>
      </c>
      <c r="AS223" s="3">
        <v>5435.55</v>
      </c>
      <c r="AW223" t="s">
        <v>84</v>
      </c>
    </row>
    <row r="224" spans="1:59" x14ac:dyDescent="0.25">
      <c r="A224" t="s">
        <v>1428</v>
      </c>
      <c r="B224" t="s">
        <v>1429</v>
      </c>
      <c r="C224" s="1">
        <v>330</v>
      </c>
      <c r="D224" s="1">
        <v>1985</v>
      </c>
      <c r="E224" t="s">
        <v>64</v>
      </c>
      <c r="F224" t="s">
        <v>1430</v>
      </c>
      <c r="G224" t="s">
        <v>1431</v>
      </c>
      <c r="H224" t="s">
        <v>1432</v>
      </c>
      <c r="I224" t="s">
        <v>1433</v>
      </c>
      <c r="J224" t="s">
        <v>1431</v>
      </c>
      <c r="K224" s="1">
        <v>3</v>
      </c>
      <c r="L224" t="s">
        <v>91</v>
      </c>
      <c r="M224" t="s">
        <v>70</v>
      </c>
      <c r="N224" t="s">
        <v>71</v>
      </c>
      <c r="O224" t="s">
        <v>118</v>
      </c>
      <c r="P224" t="s">
        <v>72</v>
      </c>
      <c r="Q224" t="s">
        <v>73</v>
      </c>
      <c r="R224" t="s">
        <v>74</v>
      </c>
      <c r="S224" t="s">
        <v>1434</v>
      </c>
      <c r="T224" s="2">
        <v>799</v>
      </c>
      <c r="U224" s="3">
        <v>1.26</v>
      </c>
      <c r="V224" s="4">
        <v>1003</v>
      </c>
      <c r="AF224" s="5">
        <v>37.575800000000001</v>
      </c>
      <c r="AH224" s="1">
        <v>2004</v>
      </c>
      <c r="AI224" s="1">
        <v>3</v>
      </c>
      <c r="AJ224" t="s">
        <v>81</v>
      </c>
      <c r="AK224" t="s">
        <v>82</v>
      </c>
      <c r="AL224" t="s">
        <v>83</v>
      </c>
      <c r="AM224" s="3">
        <v>1.19</v>
      </c>
      <c r="AN224" s="4">
        <v>999</v>
      </c>
      <c r="AO224" s="1">
        <v>842</v>
      </c>
      <c r="AP224" s="3">
        <v>1.17</v>
      </c>
      <c r="AQ224" s="4">
        <v>1265</v>
      </c>
      <c r="AR224" s="1">
        <v>1082</v>
      </c>
      <c r="AS224" s="3">
        <v>491706.62</v>
      </c>
      <c r="AW224" t="s">
        <v>84</v>
      </c>
      <c r="AY224" s="3">
        <v>1.55</v>
      </c>
      <c r="AZ224" s="4">
        <v>887</v>
      </c>
      <c r="BA224" s="1">
        <v>574</v>
      </c>
      <c r="BB224" s="1">
        <v>93</v>
      </c>
      <c r="BC224" s="1">
        <v>192</v>
      </c>
      <c r="BD224" s="1">
        <v>45</v>
      </c>
      <c r="BG224" t="s">
        <v>131</v>
      </c>
    </row>
    <row r="225" spans="1:59" x14ac:dyDescent="0.25">
      <c r="A225" t="s">
        <v>1435</v>
      </c>
      <c r="B225" t="s">
        <v>1436</v>
      </c>
      <c r="C225" s="1">
        <v>147</v>
      </c>
      <c r="D225" s="1">
        <v>1986</v>
      </c>
      <c r="E225" t="s">
        <v>64</v>
      </c>
      <c r="F225" t="s">
        <v>177</v>
      </c>
      <c r="G225" t="s">
        <v>1437</v>
      </c>
      <c r="H225" t="s">
        <v>1438</v>
      </c>
      <c r="I225" t="s">
        <v>1439</v>
      </c>
      <c r="J225" t="s">
        <v>1437</v>
      </c>
      <c r="K225" s="1">
        <v>3</v>
      </c>
      <c r="L225" t="s">
        <v>91</v>
      </c>
      <c r="M225" t="s">
        <v>70</v>
      </c>
      <c r="N225" t="s">
        <v>71</v>
      </c>
      <c r="P225" t="s">
        <v>72</v>
      </c>
      <c r="Q225" t="s">
        <v>181</v>
      </c>
      <c r="R225" t="s">
        <v>74</v>
      </c>
      <c r="S225" t="s">
        <v>1440</v>
      </c>
      <c r="T225" s="2">
        <v>738</v>
      </c>
      <c r="U225" s="3">
        <v>3.13</v>
      </c>
      <c r="V225" s="4">
        <v>2311</v>
      </c>
      <c r="AF225" s="5">
        <v>4.7618999999999998</v>
      </c>
      <c r="AH225" s="1">
        <v>2007</v>
      </c>
      <c r="AI225" s="1">
        <v>2</v>
      </c>
      <c r="AJ225" t="s">
        <v>81</v>
      </c>
      <c r="AK225" t="s">
        <v>82</v>
      </c>
      <c r="AL225" t="s">
        <v>83</v>
      </c>
      <c r="AM225" s="3">
        <v>3.16</v>
      </c>
      <c r="AN225" s="4">
        <v>2698</v>
      </c>
      <c r="AO225" s="1">
        <v>855</v>
      </c>
      <c r="AS225" s="3">
        <v>132058.64000000001</v>
      </c>
      <c r="AW225" t="s">
        <v>84</v>
      </c>
      <c r="AY225" s="3">
        <v>3.12</v>
      </c>
      <c r="AZ225" s="4">
        <v>2176</v>
      </c>
      <c r="BA225" s="1">
        <v>697</v>
      </c>
      <c r="BB225" s="1">
        <v>109</v>
      </c>
      <c r="BC225" s="1">
        <v>38</v>
      </c>
      <c r="BF225" t="s">
        <v>635</v>
      </c>
      <c r="BG225" t="s">
        <v>104</v>
      </c>
    </row>
    <row r="226" spans="1:59" x14ac:dyDescent="0.25">
      <c r="A226" t="s">
        <v>1441</v>
      </c>
      <c r="B226" t="s">
        <v>1442</v>
      </c>
      <c r="C226" s="1">
        <v>192</v>
      </c>
      <c r="D226" s="1">
        <v>1986</v>
      </c>
      <c r="E226" t="s">
        <v>64</v>
      </c>
      <c r="F226" t="s">
        <v>177</v>
      </c>
      <c r="G226" t="s">
        <v>1443</v>
      </c>
      <c r="H226" t="s">
        <v>1444</v>
      </c>
      <c r="I226" t="s">
        <v>1445</v>
      </c>
      <c r="J226" t="s">
        <v>1443</v>
      </c>
      <c r="K226" s="1">
        <v>3</v>
      </c>
      <c r="L226" t="s">
        <v>91</v>
      </c>
      <c r="M226" t="s">
        <v>70</v>
      </c>
      <c r="N226" t="s">
        <v>71</v>
      </c>
      <c r="P226" t="s">
        <v>72</v>
      </c>
      <c r="Q226" t="s">
        <v>181</v>
      </c>
      <c r="R226" t="s">
        <v>74</v>
      </c>
      <c r="S226" t="s">
        <v>1446</v>
      </c>
      <c r="T226" s="2">
        <v>1000</v>
      </c>
      <c r="U226" s="3">
        <v>1.58</v>
      </c>
      <c r="V226" s="4">
        <v>1582</v>
      </c>
      <c r="AF226" s="5">
        <v>3.6457999999999999</v>
      </c>
      <c r="AH226" s="1">
        <v>2021</v>
      </c>
      <c r="AI226" s="1">
        <v>2</v>
      </c>
      <c r="AJ226" t="s">
        <v>81</v>
      </c>
      <c r="AK226" t="s">
        <v>82</v>
      </c>
      <c r="AL226" t="s">
        <v>83</v>
      </c>
      <c r="AM226" s="3">
        <v>1.56</v>
      </c>
      <c r="AN226" s="4">
        <v>1514</v>
      </c>
      <c r="AO226" s="1">
        <v>969</v>
      </c>
      <c r="AP226" s="3">
        <v>1.64</v>
      </c>
      <c r="AQ226" s="4">
        <v>1813</v>
      </c>
      <c r="AR226" s="1">
        <v>1108</v>
      </c>
      <c r="AS226" s="3">
        <v>637611.72</v>
      </c>
      <c r="AW226" t="s">
        <v>84</v>
      </c>
      <c r="BC226" s="1">
        <v>148</v>
      </c>
      <c r="BD226" s="1">
        <v>44</v>
      </c>
      <c r="BF226" t="s">
        <v>608</v>
      </c>
      <c r="BG226" t="s">
        <v>104</v>
      </c>
    </row>
    <row r="227" spans="1:59" x14ac:dyDescent="0.25">
      <c r="A227" t="s">
        <v>1447</v>
      </c>
      <c r="B227" t="s">
        <v>1448</v>
      </c>
      <c r="C227" s="1">
        <v>50</v>
      </c>
      <c r="D227" s="1">
        <v>1985</v>
      </c>
      <c r="E227" t="s">
        <v>64</v>
      </c>
      <c r="F227" t="s">
        <v>439</v>
      </c>
      <c r="G227" t="s">
        <v>1449</v>
      </c>
      <c r="H227" t="s">
        <v>1450</v>
      </c>
      <c r="I227" t="s">
        <v>1451</v>
      </c>
      <c r="J227" t="s">
        <v>1449</v>
      </c>
      <c r="K227" s="1">
        <v>3</v>
      </c>
      <c r="L227" t="s">
        <v>91</v>
      </c>
      <c r="M227" t="s">
        <v>70</v>
      </c>
      <c r="N227" t="s">
        <v>71</v>
      </c>
      <c r="P227" t="s">
        <v>72</v>
      </c>
      <c r="Q227" t="s">
        <v>1452</v>
      </c>
      <c r="R227" t="s">
        <v>74</v>
      </c>
      <c r="S227" t="s">
        <v>1453</v>
      </c>
      <c r="T227" s="2">
        <v>799</v>
      </c>
      <c r="U227" s="3">
        <v>0.78</v>
      </c>
      <c r="V227" s="4">
        <v>621</v>
      </c>
      <c r="AF227" s="5">
        <v>2</v>
      </c>
      <c r="AI227" s="1">
        <v>2</v>
      </c>
      <c r="AJ227" t="s">
        <v>81</v>
      </c>
      <c r="AK227" t="s">
        <v>82</v>
      </c>
      <c r="AL227" t="s">
        <v>83</v>
      </c>
      <c r="AM227" s="3">
        <v>0.78</v>
      </c>
      <c r="AN227" s="4">
        <v>643</v>
      </c>
      <c r="AO227" s="1">
        <v>825</v>
      </c>
      <c r="AP227" s="3">
        <v>0.77</v>
      </c>
      <c r="AQ227" s="4">
        <v>789</v>
      </c>
      <c r="AR227" s="1">
        <v>1025</v>
      </c>
      <c r="AS227" s="3">
        <v>20439.14</v>
      </c>
      <c r="AW227" t="s">
        <v>84</v>
      </c>
      <c r="AY227" s="3">
        <v>0.77</v>
      </c>
      <c r="AZ227" s="4">
        <v>522</v>
      </c>
      <c r="BA227" s="1">
        <v>675</v>
      </c>
      <c r="BB227" s="1">
        <v>14</v>
      </c>
      <c r="BC227" s="1">
        <v>32</v>
      </c>
      <c r="BD227" s="1">
        <v>4</v>
      </c>
    </row>
    <row r="228" spans="1:59" x14ac:dyDescent="0.25">
      <c r="A228" t="s">
        <v>1454</v>
      </c>
      <c r="B228" t="s">
        <v>1455</v>
      </c>
      <c r="C228" s="1">
        <v>630</v>
      </c>
      <c r="D228" s="1">
        <v>1985</v>
      </c>
      <c r="E228" t="s">
        <v>64</v>
      </c>
      <c r="F228" t="s">
        <v>734</v>
      </c>
      <c r="G228" t="s">
        <v>720</v>
      </c>
      <c r="H228" t="s">
        <v>1456</v>
      </c>
      <c r="I228" t="s">
        <v>1457</v>
      </c>
      <c r="J228" t="s">
        <v>720</v>
      </c>
      <c r="K228" s="1">
        <v>4</v>
      </c>
      <c r="L228" t="s">
        <v>91</v>
      </c>
      <c r="M228" t="s">
        <v>70</v>
      </c>
      <c r="N228" t="s">
        <v>71</v>
      </c>
      <c r="P228" t="s">
        <v>72</v>
      </c>
      <c r="Q228" t="s">
        <v>73</v>
      </c>
      <c r="R228" t="s">
        <v>74</v>
      </c>
      <c r="S228" t="s">
        <v>1458</v>
      </c>
      <c r="T228" s="2">
        <v>805</v>
      </c>
      <c r="U228" s="3">
        <v>1.31</v>
      </c>
      <c r="V228" s="4">
        <v>1059</v>
      </c>
      <c r="AF228" s="5">
        <v>7.1429</v>
      </c>
      <c r="AH228" s="1">
        <v>2016</v>
      </c>
      <c r="AI228" s="1">
        <v>2</v>
      </c>
      <c r="AJ228" t="s">
        <v>81</v>
      </c>
      <c r="AK228" t="s">
        <v>82</v>
      </c>
      <c r="AL228" t="s">
        <v>83</v>
      </c>
      <c r="AM228" s="3">
        <v>1.36</v>
      </c>
      <c r="AN228" s="4">
        <v>1316</v>
      </c>
      <c r="AO228" s="1">
        <v>967</v>
      </c>
      <c r="AS228" s="3">
        <v>1224663.8799999999</v>
      </c>
      <c r="AT228" s="3">
        <v>1.45</v>
      </c>
      <c r="AU228" s="4">
        <v>1231</v>
      </c>
      <c r="AV228" s="6">
        <v>850</v>
      </c>
      <c r="AW228" t="s">
        <v>84</v>
      </c>
      <c r="AY228" s="3">
        <v>1.25</v>
      </c>
      <c r="AZ228" s="4">
        <v>908</v>
      </c>
      <c r="BA228" s="1">
        <v>726</v>
      </c>
      <c r="BB228" s="1">
        <v>378</v>
      </c>
      <c r="BC228" s="1">
        <v>160</v>
      </c>
      <c r="BF228" t="s">
        <v>462</v>
      </c>
      <c r="BG228" t="s">
        <v>131</v>
      </c>
    </row>
    <row r="229" spans="1:59" x14ac:dyDescent="0.25">
      <c r="A229" t="s">
        <v>1459</v>
      </c>
      <c r="B229" t="s">
        <v>1460</v>
      </c>
      <c r="C229" s="1">
        <v>314</v>
      </c>
      <c r="D229" s="1">
        <v>1988</v>
      </c>
      <c r="E229" t="s">
        <v>64</v>
      </c>
      <c r="F229" t="s">
        <v>140</v>
      </c>
      <c r="G229" t="s">
        <v>353</v>
      </c>
      <c r="H229" t="s">
        <v>1461</v>
      </c>
      <c r="I229" t="s">
        <v>1462</v>
      </c>
      <c r="J229" t="s">
        <v>353</v>
      </c>
      <c r="K229" s="1">
        <v>3</v>
      </c>
      <c r="L229" t="s">
        <v>91</v>
      </c>
      <c r="M229" t="s">
        <v>70</v>
      </c>
      <c r="N229" t="s">
        <v>71</v>
      </c>
      <c r="P229" t="s">
        <v>72</v>
      </c>
      <c r="Q229" t="s">
        <v>140</v>
      </c>
      <c r="R229" t="s">
        <v>74</v>
      </c>
      <c r="S229" t="s">
        <v>165</v>
      </c>
      <c r="T229" s="2">
        <v>849</v>
      </c>
      <c r="U229" s="3">
        <v>1.65</v>
      </c>
      <c r="V229" s="4">
        <v>1399</v>
      </c>
      <c r="AF229" s="5">
        <v>7.9618000000000002</v>
      </c>
      <c r="AH229" s="1">
        <v>2013</v>
      </c>
      <c r="AI229" s="1">
        <v>2</v>
      </c>
      <c r="AJ229" t="s">
        <v>81</v>
      </c>
      <c r="AK229" t="s">
        <v>82</v>
      </c>
      <c r="AL229" t="s">
        <v>83</v>
      </c>
      <c r="AM229" s="3">
        <v>1.6</v>
      </c>
      <c r="AN229" s="4">
        <v>1519</v>
      </c>
      <c r="AO229" s="1">
        <v>952</v>
      </c>
      <c r="AP229" s="3">
        <v>1.68</v>
      </c>
      <c r="AQ229" s="4">
        <v>1992</v>
      </c>
      <c r="AR229" s="1">
        <v>1186</v>
      </c>
      <c r="AS229" s="3">
        <v>172677.35</v>
      </c>
      <c r="AT229" s="3">
        <v>1.8</v>
      </c>
      <c r="AU229" s="4">
        <v>1082</v>
      </c>
      <c r="AV229" s="6">
        <v>600</v>
      </c>
      <c r="AW229" t="s">
        <v>84</v>
      </c>
      <c r="AY229" s="3">
        <v>1.64</v>
      </c>
      <c r="AZ229" s="4">
        <v>1230</v>
      </c>
      <c r="BA229" s="1">
        <v>750</v>
      </c>
      <c r="BB229" s="1">
        <v>80</v>
      </c>
      <c r="BC229" s="1">
        <v>142</v>
      </c>
      <c r="BD229" s="1">
        <v>28</v>
      </c>
    </row>
    <row r="230" spans="1:59" x14ac:dyDescent="0.25">
      <c r="A230" t="s">
        <v>1463</v>
      </c>
      <c r="B230" t="s">
        <v>1464</v>
      </c>
      <c r="C230" s="1">
        <v>140</v>
      </c>
      <c r="D230" s="1">
        <v>1985</v>
      </c>
      <c r="E230" t="s">
        <v>64</v>
      </c>
      <c r="F230" t="s">
        <v>177</v>
      </c>
      <c r="G230" t="s">
        <v>1465</v>
      </c>
      <c r="H230" t="s">
        <v>1466</v>
      </c>
      <c r="I230" t="s">
        <v>1467</v>
      </c>
      <c r="J230" t="s">
        <v>1465</v>
      </c>
      <c r="K230" s="1">
        <v>3</v>
      </c>
      <c r="L230" t="s">
        <v>91</v>
      </c>
      <c r="M230" t="s">
        <v>70</v>
      </c>
      <c r="N230" t="s">
        <v>71</v>
      </c>
      <c r="P230" t="s">
        <v>72</v>
      </c>
      <c r="Q230" t="s">
        <v>181</v>
      </c>
      <c r="R230" t="s">
        <v>74</v>
      </c>
      <c r="S230" t="s">
        <v>1468</v>
      </c>
      <c r="T230" s="2">
        <v>955</v>
      </c>
      <c r="U230" s="3">
        <v>1.39</v>
      </c>
      <c r="V230" s="4">
        <v>1327</v>
      </c>
      <c r="AF230" s="5">
        <v>6.4286000000000003</v>
      </c>
      <c r="AI230" s="1">
        <v>3</v>
      </c>
      <c r="AJ230" t="s">
        <v>81</v>
      </c>
      <c r="AK230" t="s">
        <v>82</v>
      </c>
      <c r="AL230" t="s">
        <v>83</v>
      </c>
      <c r="AM230" s="3">
        <v>1.37</v>
      </c>
      <c r="AN230" s="4">
        <v>1411</v>
      </c>
      <c r="AO230" s="1">
        <v>1029</v>
      </c>
      <c r="AS230" s="3">
        <v>379646.67</v>
      </c>
      <c r="AW230" t="s">
        <v>84</v>
      </c>
      <c r="AY230" s="3">
        <v>1.42</v>
      </c>
      <c r="AZ230" s="4">
        <v>1190</v>
      </c>
      <c r="BA230" s="1">
        <v>836</v>
      </c>
      <c r="BB230" s="1">
        <v>53</v>
      </c>
      <c r="BC230" s="1">
        <v>87</v>
      </c>
      <c r="BG230" t="s">
        <v>131</v>
      </c>
    </row>
    <row r="231" spans="1:59" x14ac:dyDescent="0.25">
      <c r="A231" t="s">
        <v>1469</v>
      </c>
      <c r="B231" t="s">
        <v>1470</v>
      </c>
      <c r="C231" s="1">
        <v>64</v>
      </c>
      <c r="D231" s="1">
        <v>1985</v>
      </c>
      <c r="E231" t="s">
        <v>64</v>
      </c>
      <c r="F231" t="s">
        <v>114</v>
      </c>
      <c r="G231" t="s">
        <v>1471</v>
      </c>
      <c r="H231" t="s">
        <v>1472</v>
      </c>
      <c r="I231" t="s">
        <v>1473</v>
      </c>
      <c r="J231" t="s">
        <v>1471</v>
      </c>
      <c r="K231" s="1">
        <v>3</v>
      </c>
      <c r="L231" t="s">
        <v>69</v>
      </c>
      <c r="M231" t="s">
        <v>70</v>
      </c>
      <c r="N231" t="s">
        <v>71</v>
      </c>
      <c r="P231" t="s">
        <v>72</v>
      </c>
      <c r="Q231" t="s">
        <v>119</v>
      </c>
      <c r="R231" t="s">
        <v>74</v>
      </c>
      <c r="S231" t="s">
        <v>1474</v>
      </c>
      <c r="T231" s="2">
        <v>808</v>
      </c>
      <c r="U231" s="3">
        <v>1.64</v>
      </c>
      <c r="V231" s="4">
        <v>1322</v>
      </c>
      <c r="AF231" s="5">
        <v>3.125</v>
      </c>
      <c r="AI231" s="1">
        <v>2</v>
      </c>
      <c r="AJ231" t="s">
        <v>81</v>
      </c>
      <c r="AK231" t="s">
        <v>82</v>
      </c>
      <c r="AL231" t="s">
        <v>83</v>
      </c>
      <c r="AM231" s="3">
        <v>1.6</v>
      </c>
      <c r="AN231" s="4">
        <v>1353</v>
      </c>
      <c r="AO231" s="1">
        <v>847</v>
      </c>
      <c r="AS231" s="3">
        <v>136053.79</v>
      </c>
      <c r="AW231" t="s">
        <v>84</v>
      </c>
      <c r="AY231" s="3">
        <v>1.85</v>
      </c>
      <c r="AZ231" s="4">
        <v>1185</v>
      </c>
      <c r="BA231" s="1">
        <v>640</v>
      </c>
      <c r="BB231" s="1">
        <v>12</v>
      </c>
      <c r="BC231" s="1">
        <v>52</v>
      </c>
    </row>
    <row r="232" spans="1:59" x14ac:dyDescent="0.25">
      <c r="A232" t="s">
        <v>1475</v>
      </c>
      <c r="B232" t="s">
        <v>1476</v>
      </c>
      <c r="C232" s="1">
        <v>476</v>
      </c>
      <c r="D232" s="1">
        <v>1985</v>
      </c>
      <c r="E232" t="s">
        <v>64</v>
      </c>
      <c r="F232" t="s">
        <v>264</v>
      </c>
      <c r="G232" t="s">
        <v>1477</v>
      </c>
      <c r="H232" t="s">
        <v>1478</v>
      </c>
      <c r="I232" t="s">
        <v>1479</v>
      </c>
      <c r="J232" t="s">
        <v>1477</v>
      </c>
      <c r="K232" s="1">
        <v>3</v>
      </c>
      <c r="L232" t="s">
        <v>91</v>
      </c>
      <c r="M232" t="s">
        <v>70</v>
      </c>
      <c r="N232" t="s">
        <v>71</v>
      </c>
      <c r="P232" t="s">
        <v>72</v>
      </c>
      <c r="Q232" t="s">
        <v>264</v>
      </c>
      <c r="R232" t="s">
        <v>74</v>
      </c>
      <c r="S232" t="s">
        <v>678</v>
      </c>
      <c r="T232" s="2">
        <v>852</v>
      </c>
      <c r="U232" s="3">
        <v>1.53</v>
      </c>
      <c r="V232" s="4">
        <v>1308</v>
      </c>
      <c r="AF232" s="5">
        <v>12.184900000000001</v>
      </c>
      <c r="AI232" s="1">
        <v>3</v>
      </c>
      <c r="AJ232" t="s">
        <v>81</v>
      </c>
      <c r="AK232" t="s">
        <v>82</v>
      </c>
      <c r="AL232" t="s">
        <v>83</v>
      </c>
      <c r="AM232" s="3">
        <v>1.43</v>
      </c>
      <c r="AN232" s="4">
        <v>1381</v>
      </c>
      <c r="AO232" s="1">
        <v>965</v>
      </c>
      <c r="AP232" s="3">
        <v>1.49</v>
      </c>
      <c r="AQ232" s="4">
        <v>1973</v>
      </c>
      <c r="AR232" s="1">
        <v>1325</v>
      </c>
      <c r="AS232" s="3">
        <v>1069047.5</v>
      </c>
      <c r="AW232" t="s">
        <v>84</v>
      </c>
      <c r="AY232" s="3">
        <v>1.68</v>
      </c>
      <c r="AZ232" s="4">
        <v>1180</v>
      </c>
      <c r="BA232" s="1">
        <v>704</v>
      </c>
      <c r="BB232" s="1">
        <v>232</v>
      </c>
      <c r="BC232" s="1">
        <v>224</v>
      </c>
      <c r="BD232" s="1">
        <v>20</v>
      </c>
      <c r="BF232" t="s">
        <v>1480</v>
      </c>
    </row>
    <row r="233" spans="1:59" x14ac:dyDescent="0.25">
      <c r="A233" t="s">
        <v>1481</v>
      </c>
      <c r="B233" t="s">
        <v>1482</v>
      </c>
      <c r="C233" s="1">
        <v>136</v>
      </c>
      <c r="D233" s="1">
        <v>1987</v>
      </c>
      <c r="E233" t="s">
        <v>64</v>
      </c>
      <c r="F233" t="s">
        <v>228</v>
      </c>
      <c r="G233" t="s">
        <v>770</v>
      </c>
      <c r="H233" t="s">
        <v>1483</v>
      </c>
      <c r="J233" t="s">
        <v>770</v>
      </c>
      <c r="K233" s="1">
        <v>3</v>
      </c>
      <c r="L233" t="s">
        <v>69</v>
      </c>
      <c r="M233" t="s">
        <v>70</v>
      </c>
      <c r="N233" t="s">
        <v>71</v>
      </c>
      <c r="P233" t="s">
        <v>72</v>
      </c>
      <c r="Q233" t="s">
        <v>1484</v>
      </c>
      <c r="R233" t="s">
        <v>74</v>
      </c>
      <c r="S233" t="s">
        <v>1485</v>
      </c>
      <c r="T233" s="2">
        <v>863</v>
      </c>
      <c r="U233" s="3">
        <v>1.81</v>
      </c>
      <c r="V233" s="4">
        <v>1558</v>
      </c>
      <c r="AF233" s="5">
        <v>2.2059000000000002</v>
      </c>
      <c r="AI233" s="1">
        <v>2</v>
      </c>
      <c r="AJ233" t="s">
        <v>81</v>
      </c>
      <c r="AK233" t="s">
        <v>82</v>
      </c>
      <c r="AL233" t="s">
        <v>83</v>
      </c>
      <c r="AM233" s="3">
        <v>1.86</v>
      </c>
      <c r="AN233" s="4">
        <v>1782</v>
      </c>
      <c r="AO233" s="1">
        <v>957</v>
      </c>
      <c r="AP233" s="3">
        <v>1.73</v>
      </c>
      <c r="AQ233" s="4">
        <v>1962</v>
      </c>
      <c r="AR233" s="1">
        <v>1132</v>
      </c>
      <c r="AW233" t="s">
        <v>84</v>
      </c>
      <c r="AY233" s="3">
        <v>1.73</v>
      </c>
      <c r="AZ233" s="4">
        <v>1315</v>
      </c>
      <c r="BA233" s="1">
        <v>758</v>
      </c>
      <c r="BB233" s="1">
        <v>66</v>
      </c>
      <c r="BC233" s="1">
        <v>68</v>
      </c>
      <c r="BD233" s="1">
        <v>2</v>
      </c>
    </row>
    <row r="234" spans="1:59" x14ac:dyDescent="0.25">
      <c r="A234" t="s">
        <v>1486</v>
      </c>
      <c r="B234" t="s">
        <v>1487</v>
      </c>
      <c r="C234" s="1">
        <v>320</v>
      </c>
      <c r="D234" s="1">
        <v>1985</v>
      </c>
      <c r="E234" t="s">
        <v>64</v>
      </c>
      <c r="F234" t="s">
        <v>725</v>
      </c>
      <c r="G234" t="s">
        <v>1488</v>
      </c>
      <c r="H234" t="s">
        <v>1489</v>
      </c>
      <c r="I234" t="s">
        <v>1490</v>
      </c>
      <c r="J234" t="s">
        <v>1488</v>
      </c>
      <c r="K234" s="1">
        <v>3</v>
      </c>
      <c r="L234" t="s">
        <v>69</v>
      </c>
      <c r="M234" t="s">
        <v>70</v>
      </c>
      <c r="N234" t="s">
        <v>71</v>
      </c>
      <c r="O234" t="s">
        <v>128</v>
      </c>
      <c r="P234" t="s">
        <v>72</v>
      </c>
      <c r="Q234" t="s">
        <v>73</v>
      </c>
      <c r="R234" t="s">
        <v>74</v>
      </c>
      <c r="S234" t="s">
        <v>730</v>
      </c>
      <c r="T234" s="2">
        <v>714</v>
      </c>
      <c r="U234" s="3">
        <v>1.8</v>
      </c>
      <c r="V234" s="4">
        <v>1284</v>
      </c>
      <c r="AF234" s="5">
        <v>46.875</v>
      </c>
      <c r="AI234" s="1">
        <v>2</v>
      </c>
      <c r="AJ234" t="s">
        <v>81</v>
      </c>
      <c r="AK234" t="s">
        <v>82</v>
      </c>
      <c r="AL234" t="s">
        <v>83</v>
      </c>
      <c r="AM234" s="3">
        <v>1.48</v>
      </c>
      <c r="AN234" s="4">
        <v>1442</v>
      </c>
      <c r="AO234" s="1">
        <v>973</v>
      </c>
      <c r="AS234" s="3">
        <v>458658.83</v>
      </c>
      <c r="AW234" t="s">
        <v>84</v>
      </c>
      <c r="AY234" s="3">
        <v>1.96</v>
      </c>
      <c r="AZ234" s="4">
        <v>1231</v>
      </c>
      <c r="BA234" s="1">
        <v>628</v>
      </c>
      <c r="BB234" s="1">
        <v>240</v>
      </c>
      <c r="BC234" s="1">
        <v>80</v>
      </c>
      <c r="BG234" t="s">
        <v>131</v>
      </c>
    </row>
    <row r="235" spans="1:59" x14ac:dyDescent="0.25">
      <c r="A235" t="s">
        <v>1491</v>
      </c>
      <c r="B235" t="s">
        <v>1492</v>
      </c>
      <c r="C235" s="1">
        <v>99</v>
      </c>
      <c r="D235" s="1">
        <v>1987</v>
      </c>
      <c r="E235" t="s">
        <v>64</v>
      </c>
      <c r="F235" t="s">
        <v>477</v>
      </c>
      <c r="G235" t="s">
        <v>1493</v>
      </c>
      <c r="H235" t="s">
        <v>1494</v>
      </c>
      <c r="I235" t="s">
        <v>1495</v>
      </c>
      <c r="J235" t="s">
        <v>1493</v>
      </c>
      <c r="K235" s="1">
        <v>2</v>
      </c>
      <c r="L235" t="s">
        <v>69</v>
      </c>
      <c r="M235" t="s">
        <v>70</v>
      </c>
      <c r="N235" t="s">
        <v>71</v>
      </c>
      <c r="P235" t="s">
        <v>72</v>
      </c>
      <c r="Q235" t="s">
        <v>110</v>
      </c>
      <c r="R235" t="s">
        <v>74</v>
      </c>
      <c r="S235" t="s">
        <v>480</v>
      </c>
      <c r="T235" s="2">
        <v>514</v>
      </c>
      <c r="U235" s="3">
        <v>3.45</v>
      </c>
      <c r="V235" s="4">
        <v>1777</v>
      </c>
      <c r="AF235" s="5">
        <v>19.1919</v>
      </c>
      <c r="AI235" s="1">
        <v>2</v>
      </c>
      <c r="AJ235" t="s">
        <v>81</v>
      </c>
      <c r="AK235" t="s">
        <v>82</v>
      </c>
      <c r="AL235" t="s">
        <v>83</v>
      </c>
      <c r="AM235" s="3">
        <v>3.28</v>
      </c>
      <c r="AN235" s="4">
        <v>2627</v>
      </c>
      <c r="AO235" s="1">
        <v>800</v>
      </c>
      <c r="AS235" s="3">
        <v>174846.4</v>
      </c>
      <c r="AT235" s="3">
        <v>3.4</v>
      </c>
      <c r="AU235" s="4">
        <v>1617</v>
      </c>
      <c r="AV235" s="6">
        <v>475</v>
      </c>
      <c r="AW235" t="s">
        <v>84</v>
      </c>
      <c r="AY235" s="3">
        <v>4.04</v>
      </c>
      <c r="AZ235" s="4">
        <v>2194</v>
      </c>
      <c r="BA235" s="1">
        <v>543</v>
      </c>
      <c r="BB235" s="1">
        <v>10</v>
      </c>
      <c r="BC235" s="1">
        <v>10</v>
      </c>
    </row>
    <row r="236" spans="1:59" x14ac:dyDescent="0.25">
      <c r="A236" t="s">
        <v>1496</v>
      </c>
      <c r="B236" t="s">
        <v>1497</v>
      </c>
      <c r="C236" s="1">
        <v>207</v>
      </c>
      <c r="D236" s="1">
        <v>1988</v>
      </c>
      <c r="E236" t="s">
        <v>64</v>
      </c>
      <c r="F236" t="s">
        <v>1498</v>
      </c>
      <c r="G236" t="s">
        <v>1499</v>
      </c>
      <c r="H236" t="s">
        <v>1500</v>
      </c>
      <c r="I236" t="s">
        <v>1501</v>
      </c>
      <c r="J236" t="s">
        <v>1499</v>
      </c>
      <c r="K236" s="1">
        <v>3</v>
      </c>
      <c r="L236" t="s">
        <v>91</v>
      </c>
      <c r="M236" t="s">
        <v>70</v>
      </c>
      <c r="N236" t="s">
        <v>71</v>
      </c>
      <c r="P236" t="s">
        <v>72</v>
      </c>
      <c r="Q236" t="s">
        <v>73</v>
      </c>
      <c r="R236" t="s">
        <v>74</v>
      </c>
      <c r="S236" t="s">
        <v>1502</v>
      </c>
      <c r="T236" s="2">
        <v>670</v>
      </c>
      <c r="U236" s="3">
        <v>2.2999999999999998</v>
      </c>
      <c r="V236" s="4">
        <v>1538</v>
      </c>
      <c r="AF236" s="5">
        <v>5.3140000000000001</v>
      </c>
      <c r="AI236" s="1">
        <v>3</v>
      </c>
      <c r="AJ236" t="s">
        <v>81</v>
      </c>
      <c r="AK236" t="s">
        <v>82</v>
      </c>
      <c r="AL236" t="s">
        <v>83</v>
      </c>
      <c r="AM236" s="3">
        <v>1.75</v>
      </c>
      <c r="AN236" s="4">
        <v>2085</v>
      </c>
      <c r="AO236" s="1">
        <v>1192</v>
      </c>
      <c r="AS236" s="3">
        <v>564345.06999999995</v>
      </c>
      <c r="AW236" t="s">
        <v>84</v>
      </c>
      <c r="AY236" s="3">
        <v>2.4500000000000002</v>
      </c>
      <c r="AZ236" s="4">
        <v>1460</v>
      </c>
      <c r="BA236" s="1">
        <v>595</v>
      </c>
      <c r="BB236" s="1">
        <v>181</v>
      </c>
      <c r="BC236" s="1">
        <v>26</v>
      </c>
    </row>
    <row r="237" spans="1:59" x14ac:dyDescent="0.25">
      <c r="A237" t="s">
        <v>1503</v>
      </c>
      <c r="B237" t="s">
        <v>1504</v>
      </c>
      <c r="C237" s="1">
        <v>346</v>
      </c>
      <c r="D237" s="1">
        <v>1985</v>
      </c>
      <c r="E237" t="s">
        <v>64</v>
      </c>
      <c r="F237" t="s">
        <v>168</v>
      </c>
      <c r="G237" t="s">
        <v>1505</v>
      </c>
      <c r="H237" t="s">
        <v>1506</v>
      </c>
      <c r="I237" t="s">
        <v>1507</v>
      </c>
      <c r="J237" t="s">
        <v>1505</v>
      </c>
      <c r="K237" s="1">
        <v>3</v>
      </c>
      <c r="L237" t="s">
        <v>91</v>
      </c>
      <c r="M237" t="s">
        <v>70</v>
      </c>
      <c r="N237" t="s">
        <v>71</v>
      </c>
      <c r="P237" t="s">
        <v>72</v>
      </c>
      <c r="Q237" t="s">
        <v>172</v>
      </c>
      <c r="R237" t="s">
        <v>74</v>
      </c>
      <c r="S237" t="s">
        <v>173</v>
      </c>
      <c r="T237" s="2">
        <v>734</v>
      </c>
      <c r="U237" s="3">
        <v>1.54</v>
      </c>
      <c r="V237" s="4">
        <v>1130</v>
      </c>
      <c r="AF237" s="5">
        <v>6.9363999999999999</v>
      </c>
      <c r="AH237" s="1">
        <v>2016</v>
      </c>
      <c r="AI237" s="1">
        <v>3</v>
      </c>
      <c r="AJ237" t="s">
        <v>81</v>
      </c>
      <c r="AK237" t="s">
        <v>82</v>
      </c>
      <c r="AL237" t="s">
        <v>83</v>
      </c>
      <c r="AM237" s="3">
        <v>1.46</v>
      </c>
      <c r="AN237" s="4">
        <v>1485</v>
      </c>
      <c r="AO237" s="1">
        <v>1020</v>
      </c>
      <c r="AS237" s="3">
        <v>827896.3</v>
      </c>
      <c r="AW237" t="s">
        <v>84</v>
      </c>
      <c r="AY237" s="3">
        <v>1.58</v>
      </c>
      <c r="AZ237" s="4">
        <v>1016</v>
      </c>
      <c r="BA237" s="1">
        <v>643</v>
      </c>
      <c r="BB237" s="1">
        <v>262</v>
      </c>
      <c r="BC237" s="1">
        <v>84</v>
      </c>
    </row>
    <row r="238" spans="1:59" x14ac:dyDescent="0.25">
      <c r="A238" t="s">
        <v>1508</v>
      </c>
      <c r="B238" t="s">
        <v>1509</v>
      </c>
      <c r="C238" s="1">
        <v>232</v>
      </c>
      <c r="D238" s="1">
        <v>1986</v>
      </c>
      <c r="E238" t="s">
        <v>64</v>
      </c>
      <c r="F238" t="s">
        <v>486</v>
      </c>
      <c r="G238" t="s">
        <v>1510</v>
      </c>
      <c r="H238" t="s">
        <v>1511</v>
      </c>
      <c r="I238" t="s">
        <v>1512</v>
      </c>
      <c r="J238" t="s">
        <v>1510</v>
      </c>
      <c r="K238" s="1">
        <v>3</v>
      </c>
      <c r="L238" t="s">
        <v>91</v>
      </c>
      <c r="M238" t="s">
        <v>70</v>
      </c>
      <c r="N238" t="s">
        <v>71</v>
      </c>
      <c r="P238" t="s">
        <v>72</v>
      </c>
      <c r="Q238" t="s">
        <v>73</v>
      </c>
      <c r="R238" t="s">
        <v>74</v>
      </c>
      <c r="S238" t="s">
        <v>743</v>
      </c>
      <c r="T238" s="2">
        <v>714</v>
      </c>
      <c r="U238" s="3">
        <v>1.66</v>
      </c>
      <c r="V238" s="4">
        <v>1186</v>
      </c>
      <c r="AF238" s="5">
        <v>14.2241</v>
      </c>
      <c r="AI238" s="1">
        <v>3</v>
      </c>
      <c r="AJ238" t="s">
        <v>81</v>
      </c>
      <c r="AK238" t="s">
        <v>82</v>
      </c>
      <c r="AL238" t="s">
        <v>83</v>
      </c>
      <c r="AM238" s="3">
        <v>1.6</v>
      </c>
      <c r="AN238" s="4">
        <v>1463</v>
      </c>
      <c r="AO238" s="1">
        <v>915</v>
      </c>
      <c r="AS238" s="3">
        <v>536407.19999999995</v>
      </c>
      <c r="AW238" t="s">
        <v>84</v>
      </c>
      <c r="AY238" s="3">
        <v>1.69</v>
      </c>
      <c r="AZ238" s="4">
        <v>1080</v>
      </c>
      <c r="BA238" s="1">
        <v>638</v>
      </c>
      <c r="BB238" s="1">
        <v>168</v>
      </c>
      <c r="BC238" s="1">
        <v>64</v>
      </c>
      <c r="BF238" t="s">
        <v>1513</v>
      </c>
      <c r="BG238" t="s">
        <v>104</v>
      </c>
    </row>
    <row r="239" spans="1:59" x14ac:dyDescent="0.25">
      <c r="A239" t="s">
        <v>1514</v>
      </c>
      <c r="B239" t="s">
        <v>1515</v>
      </c>
      <c r="C239" s="1">
        <v>294</v>
      </c>
      <c r="D239" s="1">
        <v>1985</v>
      </c>
      <c r="E239" t="s">
        <v>64</v>
      </c>
      <c r="F239" t="s">
        <v>140</v>
      </c>
      <c r="G239" t="s">
        <v>1376</v>
      </c>
      <c r="H239" t="s">
        <v>1516</v>
      </c>
      <c r="I239" t="s">
        <v>1378</v>
      </c>
      <c r="J239" t="s">
        <v>1376</v>
      </c>
      <c r="K239" s="1">
        <v>3</v>
      </c>
      <c r="L239" t="s">
        <v>91</v>
      </c>
      <c r="M239" t="s">
        <v>70</v>
      </c>
      <c r="N239" t="s">
        <v>71</v>
      </c>
      <c r="O239" t="s">
        <v>128</v>
      </c>
      <c r="P239" t="s">
        <v>72</v>
      </c>
      <c r="Q239" t="s">
        <v>140</v>
      </c>
      <c r="R239" t="s">
        <v>74</v>
      </c>
      <c r="S239" t="s">
        <v>1351</v>
      </c>
      <c r="T239" s="2">
        <v>811</v>
      </c>
      <c r="U239" s="3">
        <v>1.54</v>
      </c>
      <c r="V239" s="4">
        <v>1249</v>
      </c>
      <c r="AF239" s="5">
        <v>8.5033999999999992</v>
      </c>
      <c r="AI239" s="1">
        <v>2</v>
      </c>
      <c r="AJ239" t="s">
        <v>81</v>
      </c>
      <c r="AK239" t="s">
        <v>82</v>
      </c>
      <c r="AL239" t="s">
        <v>83</v>
      </c>
      <c r="AM239" s="3">
        <v>1.46</v>
      </c>
      <c r="AN239" s="4">
        <v>1545</v>
      </c>
      <c r="AO239" s="1">
        <v>1062</v>
      </c>
      <c r="AS239" s="3">
        <v>257281.98</v>
      </c>
      <c r="AW239" t="s">
        <v>84</v>
      </c>
      <c r="AY239" s="3">
        <v>1.61</v>
      </c>
      <c r="AZ239" s="4">
        <v>1087</v>
      </c>
      <c r="BA239" s="1">
        <v>674</v>
      </c>
      <c r="BB239" s="1">
        <v>190</v>
      </c>
      <c r="BC239" s="1">
        <v>104</v>
      </c>
      <c r="BF239" t="s">
        <v>1517</v>
      </c>
      <c r="BG239" t="s">
        <v>131</v>
      </c>
    </row>
    <row r="240" spans="1:59" x14ac:dyDescent="0.25">
      <c r="A240" t="s">
        <v>1518</v>
      </c>
      <c r="B240" t="s">
        <v>1519</v>
      </c>
      <c r="C240" s="1">
        <v>244</v>
      </c>
      <c r="D240" s="1">
        <v>1990</v>
      </c>
      <c r="E240" t="s">
        <v>64</v>
      </c>
      <c r="F240" t="s">
        <v>140</v>
      </c>
      <c r="G240" t="s">
        <v>1520</v>
      </c>
      <c r="H240" t="s">
        <v>1521</v>
      </c>
      <c r="I240" t="s">
        <v>1522</v>
      </c>
      <c r="J240" t="s">
        <v>1520</v>
      </c>
      <c r="K240" s="1">
        <v>4</v>
      </c>
      <c r="L240" t="s">
        <v>91</v>
      </c>
      <c r="M240" t="s">
        <v>70</v>
      </c>
      <c r="N240" t="s">
        <v>71</v>
      </c>
      <c r="P240" t="s">
        <v>72</v>
      </c>
      <c r="Q240" t="s">
        <v>140</v>
      </c>
      <c r="R240" t="s">
        <v>74</v>
      </c>
      <c r="S240" t="s">
        <v>1523</v>
      </c>
      <c r="T240" s="2">
        <v>739</v>
      </c>
      <c r="U240" s="3">
        <v>1.77</v>
      </c>
      <c r="V240" s="4">
        <v>1309</v>
      </c>
      <c r="AF240" s="5">
        <v>9.4261999999999997</v>
      </c>
      <c r="AH240" s="1">
        <v>2016</v>
      </c>
      <c r="AI240" s="1">
        <v>2</v>
      </c>
      <c r="AJ240" t="s">
        <v>81</v>
      </c>
      <c r="AK240" t="s">
        <v>82</v>
      </c>
      <c r="AL240" t="s">
        <v>83</v>
      </c>
      <c r="AM240" s="3">
        <v>1.89</v>
      </c>
      <c r="AN240" s="4">
        <v>1817</v>
      </c>
      <c r="AO240" s="1">
        <v>960</v>
      </c>
      <c r="AS240" s="3">
        <v>543605.22</v>
      </c>
      <c r="AW240" t="s">
        <v>84</v>
      </c>
      <c r="AY240" s="3">
        <v>1.73</v>
      </c>
      <c r="AZ240" s="4">
        <v>1172</v>
      </c>
      <c r="BA240" s="1">
        <v>679</v>
      </c>
      <c r="BB240" s="1">
        <v>192</v>
      </c>
      <c r="BC240" s="1">
        <v>52</v>
      </c>
    </row>
    <row r="241" spans="1:59" x14ac:dyDescent="0.25">
      <c r="A241" t="s">
        <v>1524</v>
      </c>
      <c r="B241" t="s">
        <v>1525</v>
      </c>
      <c r="C241" s="1">
        <v>268</v>
      </c>
      <c r="D241" s="1">
        <v>1990</v>
      </c>
      <c r="E241" t="s">
        <v>64</v>
      </c>
      <c r="F241" t="s">
        <v>140</v>
      </c>
      <c r="G241" t="s">
        <v>1526</v>
      </c>
      <c r="H241" t="s">
        <v>1527</v>
      </c>
      <c r="I241" t="s">
        <v>1528</v>
      </c>
      <c r="J241" t="s">
        <v>1526</v>
      </c>
      <c r="K241" s="1">
        <v>3</v>
      </c>
      <c r="L241" t="s">
        <v>91</v>
      </c>
      <c r="M241" t="s">
        <v>70</v>
      </c>
      <c r="N241" t="s">
        <v>71</v>
      </c>
      <c r="P241" t="s">
        <v>72</v>
      </c>
      <c r="Q241" t="s">
        <v>140</v>
      </c>
      <c r="R241" t="s">
        <v>74</v>
      </c>
      <c r="S241" t="s">
        <v>1529</v>
      </c>
      <c r="T241" s="2">
        <v>713</v>
      </c>
      <c r="U241" s="3">
        <v>1.8</v>
      </c>
      <c r="V241" s="4">
        <v>1282</v>
      </c>
      <c r="AF241" s="5">
        <v>5.5970000000000004</v>
      </c>
      <c r="AI241" s="1">
        <v>2</v>
      </c>
      <c r="AJ241" t="s">
        <v>81</v>
      </c>
      <c r="AK241" t="s">
        <v>82</v>
      </c>
      <c r="AL241" t="s">
        <v>83</v>
      </c>
      <c r="AM241" s="3">
        <v>1.81</v>
      </c>
      <c r="AN241" s="4">
        <v>1658</v>
      </c>
      <c r="AO241" s="1">
        <v>917</v>
      </c>
      <c r="AS241" s="3">
        <v>469621.07</v>
      </c>
      <c r="AW241" t="s">
        <v>84</v>
      </c>
      <c r="AY241" s="3">
        <v>1.79</v>
      </c>
      <c r="AZ241" s="4">
        <v>1123</v>
      </c>
      <c r="BA241" s="1">
        <v>627</v>
      </c>
      <c r="BB241" s="1">
        <v>188</v>
      </c>
      <c r="BC241" s="1">
        <v>80</v>
      </c>
      <c r="BF241" t="s">
        <v>980</v>
      </c>
      <c r="BG241" t="s">
        <v>131</v>
      </c>
    </row>
    <row r="242" spans="1:59" x14ac:dyDescent="0.25">
      <c r="A242" t="s">
        <v>1530</v>
      </c>
      <c r="B242" t="s">
        <v>1531</v>
      </c>
      <c r="C242" s="1">
        <v>268</v>
      </c>
      <c r="D242" s="1">
        <v>1990</v>
      </c>
      <c r="E242" t="s">
        <v>64</v>
      </c>
      <c r="F242" t="s">
        <v>140</v>
      </c>
      <c r="G242" t="s">
        <v>1532</v>
      </c>
      <c r="H242" t="s">
        <v>1533</v>
      </c>
      <c r="I242" t="s">
        <v>1534</v>
      </c>
      <c r="J242" t="s">
        <v>1532</v>
      </c>
      <c r="K242" s="1">
        <v>3</v>
      </c>
      <c r="L242" t="s">
        <v>91</v>
      </c>
      <c r="M242" t="s">
        <v>70</v>
      </c>
      <c r="N242" t="s">
        <v>71</v>
      </c>
      <c r="P242" t="s">
        <v>72</v>
      </c>
      <c r="Q242" t="s">
        <v>140</v>
      </c>
      <c r="R242" t="s">
        <v>74</v>
      </c>
      <c r="S242" t="s">
        <v>1535</v>
      </c>
      <c r="T242" s="2">
        <v>797</v>
      </c>
      <c r="U242" s="3">
        <v>1.74</v>
      </c>
      <c r="V242" s="4">
        <v>1384</v>
      </c>
      <c r="AF242" s="5">
        <v>8.2089999999999996</v>
      </c>
      <c r="AI242" s="1">
        <v>3</v>
      </c>
      <c r="AJ242" t="s">
        <v>81</v>
      </c>
      <c r="AK242" t="s">
        <v>82</v>
      </c>
      <c r="AL242" t="s">
        <v>83</v>
      </c>
      <c r="AM242" s="3">
        <v>1.66</v>
      </c>
      <c r="AN242" s="4">
        <v>1782</v>
      </c>
      <c r="AO242" s="1">
        <v>1072</v>
      </c>
      <c r="AS242" s="3">
        <v>686973.37</v>
      </c>
      <c r="AW242" t="s">
        <v>84</v>
      </c>
      <c r="AY242" s="3">
        <v>1.78</v>
      </c>
      <c r="AZ242" s="4">
        <v>1238</v>
      </c>
      <c r="BA242" s="1">
        <v>696</v>
      </c>
      <c r="BB242" s="1">
        <v>196</v>
      </c>
      <c r="BC242" s="1">
        <v>72</v>
      </c>
    </row>
    <row r="243" spans="1:59" x14ac:dyDescent="0.25">
      <c r="A243" t="s">
        <v>1536</v>
      </c>
      <c r="B243" t="s">
        <v>1537</v>
      </c>
      <c r="C243" s="1">
        <v>240</v>
      </c>
      <c r="D243" s="1">
        <v>1986</v>
      </c>
      <c r="E243" t="s">
        <v>64</v>
      </c>
      <c r="F243" t="s">
        <v>269</v>
      </c>
      <c r="G243" t="s">
        <v>1538</v>
      </c>
      <c r="H243" t="s">
        <v>1539</v>
      </c>
      <c r="I243" t="s">
        <v>1540</v>
      </c>
      <c r="J243" t="s">
        <v>1538</v>
      </c>
      <c r="K243" s="1">
        <v>3</v>
      </c>
      <c r="L243" t="s">
        <v>91</v>
      </c>
      <c r="M243" t="s">
        <v>70</v>
      </c>
      <c r="N243" t="s">
        <v>71</v>
      </c>
      <c r="P243" t="s">
        <v>72</v>
      </c>
      <c r="Q243" t="s">
        <v>73</v>
      </c>
      <c r="R243" t="s">
        <v>74</v>
      </c>
      <c r="S243" t="s">
        <v>1541</v>
      </c>
      <c r="T243" s="2">
        <v>767</v>
      </c>
      <c r="U243" s="3">
        <v>1.61</v>
      </c>
      <c r="V243" s="4">
        <v>1236</v>
      </c>
      <c r="AF243" s="5">
        <v>8.3332999999999995</v>
      </c>
      <c r="AI243" s="1">
        <v>3</v>
      </c>
      <c r="AJ243" t="s">
        <v>81</v>
      </c>
      <c r="AK243" t="s">
        <v>82</v>
      </c>
      <c r="AL243" t="s">
        <v>83</v>
      </c>
      <c r="AM243" s="3">
        <v>1.48</v>
      </c>
      <c r="AN243" s="4">
        <v>1462</v>
      </c>
      <c r="AO243" s="1">
        <v>987</v>
      </c>
      <c r="AS243" s="3">
        <v>651511.26</v>
      </c>
      <c r="AW243" t="s">
        <v>84</v>
      </c>
      <c r="AY243" s="3">
        <v>1.66</v>
      </c>
      <c r="AZ243" s="4">
        <v>1180</v>
      </c>
      <c r="BA243" s="1">
        <v>713</v>
      </c>
      <c r="BB243" s="1">
        <v>192</v>
      </c>
      <c r="BC243" s="1">
        <v>48</v>
      </c>
    </row>
    <row r="244" spans="1:59" x14ac:dyDescent="0.25">
      <c r="A244" t="s">
        <v>1542</v>
      </c>
      <c r="B244" t="s">
        <v>1543</v>
      </c>
      <c r="C244" s="1">
        <v>532</v>
      </c>
      <c r="D244" s="1">
        <v>1987</v>
      </c>
      <c r="E244" t="s">
        <v>64</v>
      </c>
      <c r="F244" t="s">
        <v>734</v>
      </c>
      <c r="G244" t="s">
        <v>478</v>
      </c>
      <c r="H244" t="s">
        <v>1544</v>
      </c>
      <c r="I244" t="s">
        <v>1545</v>
      </c>
      <c r="J244" t="s">
        <v>478</v>
      </c>
      <c r="K244" s="1">
        <v>4</v>
      </c>
      <c r="L244" t="s">
        <v>91</v>
      </c>
      <c r="M244" t="s">
        <v>70</v>
      </c>
      <c r="N244" t="s">
        <v>71</v>
      </c>
      <c r="P244" t="s">
        <v>72</v>
      </c>
      <c r="Q244" t="s">
        <v>73</v>
      </c>
      <c r="R244" t="s">
        <v>74</v>
      </c>
      <c r="S244" t="s">
        <v>738</v>
      </c>
      <c r="T244" s="2">
        <v>762</v>
      </c>
      <c r="U244" s="3">
        <v>1.74</v>
      </c>
      <c r="V244" s="4">
        <v>1323</v>
      </c>
      <c r="AF244" s="5">
        <v>7.8947000000000003</v>
      </c>
      <c r="AH244" s="1">
        <v>2016</v>
      </c>
      <c r="AI244" s="1">
        <v>3</v>
      </c>
      <c r="AJ244" t="s">
        <v>81</v>
      </c>
      <c r="AK244" t="s">
        <v>82</v>
      </c>
      <c r="AL244" t="s">
        <v>83</v>
      </c>
      <c r="AM244" s="3">
        <v>1.59</v>
      </c>
      <c r="AN244" s="4">
        <v>1538</v>
      </c>
      <c r="AO244" s="1">
        <v>966</v>
      </c>
      <c r="AS244" s="3">
        <v>1102591.28</v>
      </c>
      <c r="AW244" t="s">
        <v>84</v>
      </c>
      <c r="AY244" s="3">
        <v>1.8</v>
      </c>
      <c r="AZ244" s="4">
        <v>1253</v>
      </c>
      <c r="BA244" s="1">
        <v>695</v>
      </c>
      <c r="BB244" s="1">
        <v>400</v>
      </c>
      <c r="BC244" s="1">
        <v>132</v>
      </c>
    </row>
    <row r="245" spans="1:59" x14ac:dyDescent="0.25">
      <c r="A245" t="s">
        <v>1546</v>
      </c>
      <c r="B245" t="s">
        <v>1547</v>
      </c>
      <c r="C245" s="1">
        <v>444</v>
      </c>
      <c r="D245" s="1">
        <v>1987</v>
      </c>
      <c r="E245" t="s">
        <v>64</v>
      </c>
      <c r="F245" t="s">
        <v>269</v>
      </c>
      <c r="G245" t="s">
        <v>1548</v>
      </c>
      <c r="H245" t="s">
        <v>1549</v>
      </c>
      <c r="I245" t="s">
        <v>1550</v>
      </c>
      <c r="J245" t="s">
        <v>1548</v>
      </c>
      <c r="K245" s="1">
        <v>4</v>
      </c>
      <c r="L245" t="s">
        <v>91</v>
      </c>
      <c r="M245" t="s">
        <v>70</v>
      </c>
      <c r="N245" t="s">
        <v>71</v>
      </c>
      <c r="O245" t="s">
        <v>128</v>
      </c>
      <c r="P245" t="s">
        <v>72</v>
      </c>
      <c r="Q245" t="s">
        <v>73</v>
      </c>
      <c r="R245" t="s">
        <v>74</v>
      </c>
      <c r="S245" t="s">
        <v>1551</v>
      </c>
      <c r="T245" s="2">
        <v>798</v>
      </c>
      <c r="U245" s="3">
        <v>1.64</v>
      </c>
      <c r="V245" s="4">
        <v>1312</v>
      </c>
      <c r="AF245" s="5">
        <v>4.5045000000000002</v>
      </c>
      <c r="AH245" s="1">
        <v>2014</v>
      </c>
      <c r="AI245" s="1">
        <v>4</v>
      </c>
      <c r="AJ245" t="s">
        <v>81</v>
      </c>
      <c r="AK245" t="s">
        <v>82</v>
      </c>
      <c r="AL245" t="s">
        <v>83</v>
      </c>
      <c r="AM245" s="3">
        <v>1.62</v>
      </c>
      <c r="AN245" s="4">
        <v>1680</v>
      </c>
      <c r="AO245" s="1">
        <v>1036</v>
      </c>
      <c r="AS245" s="3">
        <v>1358462.63</v>
      </c>
      <c r="AW245" t="s">
        <v>84</v>
      </c>
      <c r="AY245" s="3">
        <v>1.65</v>
      </c>
      <c r="AZ245" s="4">
        <v>1205</v>
      </c>
      <c r="BA245" s="1">
        <v>730</v>
      </c>
      <c r="BB245" s="1">
        <v>344</v>
      </c>
      <c r="BC245" s="1">
        <v>100</v>
      </c>
      <c r="BG245" t="s">
        <v>131</v>
      </c>
    </row>
    <row r="246" spans="1:59" x14ac:dyDescent="0.25">
      <c r="A246" t="s">
        <v>1552</v>
      </c>
      <c r="B246" t="s">
        <v>1553</v>
      </c>
      <c r="C246" s="1">
        <v>214</v>
      </c>
      <c r="D246" s="1">
        <v>1986</v>
      </c>
      <c r="E246" t="s">
        <v>64</v>
      </c>
      <c r="F246" t="s">
        <v>551</v>
      </c>
      <c r="G246" t="s">
        <v>1554</v>
      </c>
      <c r="H246" t="s">
        <v>1555</v>
      </c>
      <c r="I246" t="s">
        <v>1556</v>
      </c>
      <c r="J246" t="s">
        <v>1554</v>
      </c>
      <c r="K246" s="1">
        <v>3</v>
      </c>
      <c r="L246" t="s">
        <v>69</v>
      </c>
      <c r="M246" t="s">
        <v>70</v>
      </c>
      <c r="N246" t="s">
        <v>71</v>
      </c>
      <c r="P246" t="s">
        <v>72</v>
      </c>
      <c r="Q246" t="s">
        <v>551</v>
      </c>
      <c r="R246" t="s">
        <v>74</v>
      </c>
      <c r="S246" t="s">
        <v>1368</v>
      </c>
      <c r="T246" s="2">
        <v>801</v>
      </c>
      <c r="U246" s="3">
        <v>1.8</v>
      </c>
      <c r="V246" s="4">
        <v>1444</v>
      </c>
      <c r="AF246" s="5">
        <v>6.0747999999999998</v>
      </c>
      <c r="AH246" s="1">
        <v>2017</v>
      </c>
      <c r="AI246" s="1">
        <v>2</v>
      </c>
      <c r="AJ246" t="s">
        <v>81</v>
      </c>
      <c r="AK246" t="s">
        <v>82</v>
      </c>
      <c r="AL246" t="s">
        <v>83</v>
      </c>
      <c r="AM246" s="3">
        <v>1.7</v>
      </c>
      <c r="AN246" s="4">
        <v>1669</v>
      </c>
      <c r="AO246" s="1">
        <v>981</v>
      </c>
      <c r="AP246" s="3">
        <v>1.78</v>
      </c>
      <c r="AQ246" s="4">
        <v>2807</v>
      </c>
      <c r="AR246" s="1">
        <v>1577</v>
      </c>
      <c r="AS246" s="3">
        <v>465179.56</v>
      </c>
      <c r="AW246" t="s">
        <v>84</v>
      </c>
      <c r="AY246" s="3">
        <v>1.88</v>
      </c>
      <c r="AZ246" s="4">
        <v>1217</v>
      </c>
      <c r="BA246" s="1">
        <v>649</v>
      </c>
      <c r="BB246" s="1">
        <v>139</v>
      </c>
      <c r="BC246" s="1">
        <v>62</v>
      </c>
      <c r="BD246" s="1">
        <v>13</v>
      </c>
      <c r="BG246" t="s">
        <v>131</v>
      </c>
    </row>
    <row r="247" spans="1:59" x14ac:dyDescent="0.25">
      <c r="A247" t="s">
        <v>1557</v>
      </c>
      <c r="B247" t="s">
        <v>1558</v>
      </c>
      <c r="C247" s="1">
        <v>356</v>
      </c>
      <c r="D247" s="1">
        <v>1985</v>
      </c>
      <c r="E247" t="s">
        <v>64</v>
      </c>
      <c r="F247" t="s">
        <v>653</v>
      </c>
      <c r="G247" t="s">
        <v>1559</v>
      </c>
      <c r="H247" t="s">
        <v>1560</v>
      </c>
      <c r="J247" t="s">
        <v>1559</v>
      </c>
      <c r="K247" s="1">
        <v>3</v>
      </c>
      <c r="L247" t="s">
        <v>91</v>
      </c>
      <c r="M247" t="s">
        <v>70</v>
      </c>
      <c r="N247" t="s">
        <v>71</v>
      </c>
      <c r="P247" t="s">
        <v>72</v>
      </c>
      <c r="Q247" t="s">
        <v>152</v>
      </c>
      <c r="R247" t="s">
        <v>74</v>
      </c>
      <c r="S247" t="s">
        <v>1561</v>
      </c>
      <c r="T247" s="2">
        <v>905</v>
      </c>
      <c r="U247" s="3">
        <v>1.32</v>
      </c>
      <c r="V247" s="4">
        <v>1193</v>
      </c>
      <c r="AF247" s="5">
        <v>16.011199999999999</v>
      </c>
      <c r="AG247" s="1">
        <v>1</v>
      </c>
      <c r="AI247" s="1">
        <v>2</v>
      </c>
      <c r="AJ247" t="s">
        <v>81</v>
      </c>
      <c r="AK247" t="s">
        <v>82</v>
      </c>
      <c r="AL247" t="s">
        <v>83</v>
      </c>
      <c r="AM247" s="3">
        <v>1.22</v>
      </c>
      <c r="AN247" s="4">
        <v>1366</v>
      </c>
      <c r="AO247" s="1">
        <v>1122</v>
      </c>
      <c r="AS247" s="3">
        <v>0</v>
      </c>
      <c r="AT247" s="3">
        <v>1.73</v>
      </c>
      <c r="AU247" s="4">
        <v>1018</v>
      </c>
      <c r="AV247" s="6">
        <v>590</v>
      </c>
      <c r="AW247" t="s">
        <v>84</v>
      </c>
      <c r="AY247" s="3">
        <v>1.4</v>
      </c>
      <c r="AZ247" s="4">
        <v>1094</v>
      </c>
      <c r="BA247" s="1">
        <v>781</v>
      </c>
      <c r="BB247" s="1">
        <v>225</v>
      </c>
      <c r="BC247" s="1">
        <v>130</v>
      </c>
      <c r="BG247" t="s">
        <v>131</v>
      </c>
    </row>
    <row r="248" spans="1:59" x14ac:dyDescent="0.25">
      <c r="A248" t="s">
        <v>1562</v>
      </c>
      <c r="B248" t="s">
        <v>1563</v>
      </c>
      <c r="C248" s="1">
        <v>55</v>
      </c>
      <c r="D248" s="1">
        <v>1985</v>
      </c>
      <c r="E248" t="s">
        <v>64</v>
      </c>
      <c r="F248" t="s">
        <v>1564</v>
      </c>
      <c r="G248" t="s">
        <v>1565</v>
      </c>
      <c r="H248" t="s">
        <v>1566</v>
      </c>
      <c r="I248" t="s">
        <v>1567</v>
      </c>
      <c r="J248" t="s">
        <v>1565</v>
      </c>
      <c r="K248" s="1">
        <v>3</v>
      </c>
      <c r="L248" t="s">
        <v>91</v>
      </c>
      <c r="M248" t="s">
        <v>70</v>
      </c>
      <c r="N248" t="s">
        <v>71</v>
      </c>
      <c r="P248" t="s">
        <v>72</v>
      </c>
      <c r="Q248" t="s">
        <v>73</v>
      </c>
      <c r="R248" t="s">
        <v>74</v>
      </c>
      <c r="S248" t="s">
        <v>1568</v>
      </c>
      <c r="T248" s="2">
        <v>728</v>
      </c>
      <c r="U248" s="3">
        <v>2.21</v>
      </c>
      <c r="V248" s="4">
        <v>1611</v>
      </c>
      <c r="AF248" s="5">
        <v>5.4545000000000003</v>
      </c>
      <c r="AI248" s="1">
        <v>3</v>
      </c>
      <c r="AJ248" t="s">
        <v>81</v>
      </c>
      <c r="AK248" t="s">
        <v>82</v>
      </c>
      <c r="AL248" t="s">
        <v>83</v>
      </c>
      <c r="AM248" s="3">
        <v>1.86</v>
      </c>
      <c r="AN248" s="4">
        <v>1894</v>
      </c>
      <c r="AO248" s="1">
        <v>1017</v>
      </c>
      <c r="AS248" s="3">
        <v>187742.52</v>
      </c>
      <c r="AW248" t="s">
        <v>84</v>
      </c>
      <c r="AY248" s="3">
        <v>2.31</v>
      </c>
      <c r="AZ248" s="4">
        <v>1555</v>
      </c>
      <c r="BA248" s="1">
        <v>672</v>
      </c>
      <c r="BB248" s="1">
        <v>46</v>
      </c>
      <c r="BC248" s="1">
        <v>9</v>
      </c>
      <c r="BF248" t="s">
        <v>1569</v>
      </c>
      <c r="BG248" t="s">
        <v>104</v>
      </c>
    </row>
    <row r="249" spans="1:59" x14ac:dyDescent="0.25">
      <c r="A249" t="s">
        <v>1570</v>
      </c>
      <c r="B249" t="s">
        <v>1571</v>
      </c>
      <c r="C249" s="1">
        <v>252</v>
      </c>
      <c r="D249" s="1">
        <v>1987</v>
      </c>
      <c r="E249" t="s">
        <v>64</v>
      </c>
      <c r="F249" t="s">
        <v>486</v>
      </c>
      <c r="G249" t="s">
        <v>1572</v>
      </c>
      <c r="H249" t="s">
        <v>1573</v>
      </c>
      <c r="I249" t="s">
        <v>1573</v>
      </c>
      <c r="J249" t="s">
        <v>1572</v>
      </c>
      <c r="K249" s="1">
        <v>3</v>
      </c>
      <c r="L249" t="s">
        <v>69</v>
      </c>
      <c r="M249" t="s">
        <v>70</v>
      </c>
      <c r="N249" t="s">
        <v>71</v>
      </c>
      <c r="P249" t="s">
        <v>72</v>
      </c>
      <c r="Q249" t="s">
        <v>73</v>
      </c>
      <c r="R249" t="s">
        <v>74</v>
      </c>
      <c r="S249" t="s">
        <v>1574</v>
      </c>
      <c r="T249" s="2">
        <v>765</v>
      </c>
      <c r="U249" s="3">
        <v>1.49</v>
      </c>
      <c r="V249" s="4">
        <v>1141</v>
      </c>
      <c r="AF249" s="5">
        <v>14.2857</v>
      </c>
      <c r="AI249" s="1">
        <v>3</v>
      </c>
      <c r="AJ249" t="s">
        <v>81</v>
      </c>
      <c r="AK249" t="s">
        <v>82</v>
      </c>
      <c r="AL249" t="s">
        <v>83</v>
      </c>
      <c r="AM249" s="3">
        <v>1.42</v>
      </c>
      <c r="AN249" s="4">
        <v>1231</v>
      </c>
      <c r="AO249" s="1">
        <v>870</v>
      </c>
      <c r="AS249" s="3">
        <v>357604.8</v>
      </c>
      <c r="AW249" t="s">
        <v>84</v>
      </c>
      <c r="AY249" s="3">
        <v>1.6</v>
      </c>
      <c r="AZ249" s="4">
        <v>1042</v>
      </c>
      <c r="BA249" s="1">
        <v>650</v>
      </c>
      <c r="BB249" s="1">
        <v>120</v>
      </c>
      <c r="BC249" s="1">
        <v>132</v>
      </c>
    </row>
    <row r="250" spans="1:59" x14ac:dyDescent="0.25">
      <c r="A250" t="s">
        <v>1575</v>
      </c>
      <c r="B250" t="s">
        <v>1576</v>
      </c>
      <c r="C250" s="1">
        <v>155</v>
      </c>
      <c r="D250" s="1">
        <v>1986</v>
      </c>
      <c r="E250" t="s">
        <v>64</v>
      </c>
      <c r="F250" t="s">
        <v>301</v>
      </c>
      <c r="G250" t="s">
        <v>1577</v>
      </c>
      <c r="H250" t="s">
        <v>1578</v>
      </c>
      <c r="I250" t="s">
        <v>1579</v>
      </c>
      <c r="J250" t="s">
        <v>1577</v>
      </c>
      <c r="K250" s="1">
        <v>3</v>
      </c>
      <c r="L250" t="s">
        <v>91</v>
      </c>
      <c r="M250" t="s">
        <v>70</v>
      </c>
      <c r="N250" t="s">
        <v>71</v>
      </c>
      <c r="O250" t="s">
        <v>118</v>
      </c>
      <c r="P250" t="s">
        <v>72</v>
      </c>
      <c r="Q250" t="s">
        <v>152</v>
      </c>
      <c r="R250" t="s">
        <v>74</v>
      </c>
      <c r="S250" t="s">
        <v>1580</v>
      </c>
      <c r="T250" s="2">
        <v>633</v>
      </c>
      <c r="U250" s="3">
        <v>1.47</v>
      </c>
      <c r="V250" s="4">
        <v>934</v>
      </c>
      <c r="AF250" s="5">
        <v>8.3871000000000002</v>
      </c>
      <c r="AI250" s="1">
        <v>3</v>
      </c>
      <c r="AJ250" t="s">
        <v>81</v>
      </c>
      <c r="AK250" t="s">
        <v>82</v>
      </c>
      <c r="AL250" t="s">
        <v>83</v>
      </c>
      <c r="AM250" s="3">
        <v>1.54</v>
      </c>
      <c r="AN250" s="4">
        <v>1240</v>
      </c>
      <c r="AO250" s="1">
        <v>804</v>
      </c>
      <c r="AW250" t="s">
        <v>84</v>
      </c>
      <c r="AY250" s="3">
        <v>1.46</v>
      </c>
      <c r="AZ250" s="4">
        <v>875</v>
      </c>
      <c r="BA250" s="1">
        <v>601</v>
      </c>
      <c r="BB250" s="1">
        <v>130</v>
      </c>
      <c r="BC250" s="1">
        <v>25</v>
      </c>
    </row>
    <row r="251" spans="1:59" x14ac:dyDescent="0.25">
      <c r="A251" t="s">
        <v>1581</v>
      </c>
      <c r="B251" t="s">
        <v>1582</v>
      </c>
      <c r="C251" s="1">
        <v>128</v>
      </c>
      <c r="D251" s="1">
        <v>1985</v>
      </c>
      <c r="E251" t="s">
        <v>64</v>
      </c>
      <c r="F251" t="s">
        <v>114</v>
      </c>
      <c r="G251" t="s">
        <v>908</v>
      </c>
      <c r="H251" t="s">
        <v>1583</v>
      </c>
      <c r="I251" t="s">
        <v>1473</v>
      </c>
      <c r="J251" t="s">
        <v>908</v>
      </c>
      <c r="K251" s="1">
        <v>3</v>
      </c>
      <c r="L251" t="s">
        <v>69</v>
      </c>
      <c r="M251" t="s">
        <v>70</v>
      </c>
      <c r="N251" t="s">
        <v>71</v>
      </c>
      <c r="P251" t="s">
        <v>72</v>
      </c>
      <c r="Q251" t="s">
        <v>119</v>
      </c>
      <c r="R251" t="s">
        <v>74</v>
      </c>
      <c r="S251" t="s">
        <v>1584</v>
      </c>
      <c r="T251" s="2">
        <v>787</v>
      </c>
      <c r="U251" s="3">
        <v>1.35</v>
      </c>
      <c r="V251" s="4">
        <v>1066</v>
      </c>
      <c r="AF251" s="5">
        <v>6.25</v>
      </c>
      <c r="AI251" s="1">
        <v>2</v>
      </c>
      <c r="AJ251" t="s">
        <v>81</v>
      </c>
      <c r="AK251" t="s">
        <v>82</v>
      </c>
      <c r="AL251" t="s">
        <v>83</v>
      </c>
      <c r="AM251" s="3">
        <v>1.33</v>
      </c>
      <c r="AN251" s="4">
        <v>1214</v>
      </c>
      <c r="AO251" s="1">
        <v>914</v>
      </c>
      <c r="AS251" s="3">
        <v>133474.56</v>
      </c>
      <c r="AW251" t="s">
        <v>84</v>
      </c>
      <c r="AY251" s="3">
        <v>1.39</v>
      </c>
      <c r="AZ251" s="4">
        <v>913</v>
      </c>
      <c r="BA251" s="1">
        <v>655</v>
      </c>
      <c r="BB251" s="1">
        <v>63</v>
      </c>
      <c r="BC251" s="1">
        <v>65</v>
      </c>
    </row>
    <row r="252" spans="1:59" x14ac:dyDescent="0.25">
      <c r="A252" t="s">
        <v>1585</v>
      </c>
      <c r="B252" t="s">
        <v>1586</v>
      </c>
      <c r="C252" s="1">
        <v>87</v>
      </c>
      <c r="D252" s="1">
        <v>1985</v>
      </c>
      <c r="E252" t="s">
        <v>64</v>
      </c>
      <c r="F252" t="s">
        <v>501</v>
      </c>
      <c r="G252" t="s">
        <v>1587</v>
      </c>
      <c r="H252" t="s">
        <v>1588</v>
      </c>
      <c r="I252" t="s">
        <v>1587</v>
      </c>
      <c r="K252" s="1">
        <v>3</v>
      </c>
      <c r="L252" t="s">
        <v>69</v>
      </c>
      <c r="M252" t="s">
        <v>70</v>
      </c>
      <c r="N252" t="s">
        <v>127</v>
      </c>
      <c r="P252" t="s">
        <v>72</v>
      </c>
      <c r="Q252" t="s">
        <v>152</v>
      </c>
      <c r="R252" t="s">
        <v>74</v>
      </c>
      <c r="S252" t="s">
        <v>1589</v>
      </c>
      <c r="AF252" s="5">
        <v>9.1953999999999994</v>
      </c>
      <c r="AG252" s="1">
        <v>1</v>
      </c>
      <c r="AI252" s="1">
        <v>1</v>
      </c>
      <c r="AJ252" t="s">
        <v>81</v>
      </c>
      <c r="AK252" t="s">
        <v>82</v>
      </c>
      <c r="AL252" t="s">
        <v>83</v>
      </c>
      <c r="AS252" s="3">
        <v>85374.12</v>
      </c>
      <c r="AW252" t="s">
        <v>84</v>
      </c>
    </row>
    <row r="253" spans="1:59" x14ac:dyDescent="0.25">
      <c r="A253" t="s">
        <v>1590</v>
      </c>
      <c r="B253" t="s">
        <v>1591</v>
      </c>
      <c r="C253" s="1">
        <v>212</v>
      </c>
      <c r="D253" s="1">
        <v>1986</v>
      </c>
      <c r="E253" t="s">
        <v>64</v>
      </c>
      <c r="F253" t="s">
        <v>1133</v>
      </c>
      <c r="G253" t="s">
        <v>1592</v>
      </c>
      <c r="H253" t="s">
        <v>1593</v>
      </c>
      <c r="I253" t="s">
        <v>1592</v>
      </c>
      <c r="K253" s="1">
        <v>3</v>
      </c>
      <c r="L253" t="s">
        <v>91</v>
      </c>
      <c r="M253" t="s">
        <v>70</v>
      </c>
      <c r="N253" t="s">
        <v>71</v>
      </c>
      <c r="P253" t="s">
        <v>72</v>
      </c>
      <c r="Q253" t="s">
        <v>264</v>
      </c>
      <c r="R253" t="s">
        <v>74</v>
      </c>
      <c r="S253" t="s">
        <v>1594</v>
      </c>
      <c r="T253" s="2">
        <v>824</v>
      </c>
      <c r="U253" s="3">
        <v>1.84</v>
      </c>
      <c r="V253" s="4">
        <v>1519</v>
      </c>
      <c r="AF253" s="5">
        <v>3.7736000000000001</v>
      </c>
      <c r="AI253" s="1">
        <v>3</v>
      </c>
      <c r="AJ253" t="s">
        <v>81</v>
      </c>
      <c r="AK253" t="s">
        <v>82</v>
      </c>
      <c r="AL253" t="s">
        <v>83</v>
      </c>
      <c r="AM253" s="3">
        <v>1.96</v>
      </c>
      <c r="AN253" s="4">
        <v>1750</v>
      </c>
      <c r="AO253" s="1">
        <v>893</v>
      </c>
      <c r="AS253" s="3">
        <v>0</v>
      </c>
      <c r="AW253" t="s">
        <v>84</v>
      </c>
      <c r="AY253" s="3">
        <v>1.58</v>
      </c>
      <c r="AZ253" s="4">
        <v>1115</v>
      </c>
      <c r="BA253" s="1">
        <v>704</v>
      </c>
      <c r="BB253" s="1">
        <v>77</v>
      </c>
      <c r="BC253" s="1">
        <v>135</v>
      </c>
      <c r="BF253" t="s">
        <v>490</v>
      </c>
      <c r="BG253" t="s">
        <v>104</v>
      </c>
    </row>
    <row r="254" spans="1:59" x14ac:dyDescent="0.25">
      <c r="A254" t="s">
        <v>1595</v>
      </c>
      <c r="B254" t="s">
        <v>1596</v>
      </c>
      <c r="C254" s="1">
        <v>384</v>
      </c>
      <c r="D254" s="1">
        <v>1985</v>
      </c>
      <c r="E254" t="s">
        <v>64</v>
      </c>
      <c r="F254" t="s">
        <v>97</v>
      </c>
      <c r="G254" t="s">
        <v>859</v>
      </c>
      <c r="H254" t="s">
        <v>1597</v>
      </c>
      <c r="I254" t="s">
        <v>1598</v>
      </c>
      <c r="J254" t="s">
        <v>859</v>
      </c>
      <c r="K254" s="1">
        <v>3</v>
      </c>
      <c r="L254" t="s">
        <v>69</v>
      </c>
      <c r="M254" t="s">
        <v>70</v>
      </c>
      <c r="N254" t="s">
        <v>71</v>
      </c>
      <c r="P254" t="s">
        <v>72</v>
      </c>
      <c r="Q254" t="s">
        <v>1599</v>
      </c>
      <c r="R254" t="s">
        <v>74</v>
      </c>
      <c r="S254" t="s">
        <v>1600</v>
      </c>
      <c r="T254" s="2">
        <v>864</v>
      </c>
      <c r="U254" s="3">
        <v>1.5</v>
      </c>
      <c r="V254" s="4">
        <v>1297</v>
      </c>
      <c r="AF254" s="5">
        <v>23.697900000000001</v>
      </c>
      <c r="AI254" s="1">
        <v>2</v>
      </c>
      <c r="AJ254" t="s">
        <v>81</v>
      </c>
      <c r="AK254" t="s">
        <v>82</v>
      </c>
      <c r="AL254" t="s">
        <v>83</v>
      </c>
      <c r="AM254" s="3">
        <v>1.41</v>
      </c>
      <c r="AN254" s="4">
        <v>1375</v>
      </c>
      <c r="AO254" s="1">
        <v>974</v>
      </c>
      <c r="AP254" s="3">
        <v>1.56</v>
      </c>
      <c r="AQ254" s="4">
        <v>1870</v>
      </c>
      <c r="AR254" s="1">
        <v>1199</v>
      </c>
      <c r="AS254" s="3">
        <v>1039324.46</v>
      </c>
      <c r="AW254" t="s">
        <v>84</v>
      </c>
      <c r="AY254" s="3">
        <v>1.64</v>
      </c>
      <c r="AZ254" s="4">
        <v>1149</v>
      </c>
      <c r="BA254" s="1">
        <v>702</v>
      </c>
      <c r="BB254" s="1">
        <v>168</v>
      </c>
      <c r="BC254" s="1">
        <v>200</v>
      </c>
      <c r="BD254" s="1">
        <v>16</v>
      </c>
      <c r="BF254" t="s">
        <v>1601</v>
      </c>
      <c r="BG254" t="s">
        <v>365</v>
      </c>
    </row>
    <row r="255" spans="1:59" x14ac:dyDescent="0.25">
      <c r="A255" t="s">
        <v>1602</v>
      </c>
      <c r="B255" t="s">
        <v>1603</v>
      </c>
      <c r="C255" s="1">
        <v>200</v>
      </c>
      <c r="D255" s="1">
        <v>1986</v>
      </c>
      <c r="E255" t="s">
        <v>64</v>
      </c>
      <c r="F255" t="s">
        <v>725</v>
      </c>
      <c r="G255" t="s">
        <v>784</v>
      </c>
      <c r="H255" t="s">
        <v>1604</v>
      </c>
      <c r="I255" t="s">
        <v>1605</v>
      </c>
      <c r="J255" t="s">
        <v>784</v>
      </c>
      <c r="K255" s="1">
        <v>3</v>
      </c>
      <c r="L255" t="s">
        <v>91</v>
      </c>
      <c r="M255" t="s">
        <v>70</v>
      </c>
      <c r="N255" t="s">
        <v>71</v>
      </c>
      <c r="P255" t="s">
        <v>72</v>
      </c>
      <c r="Q255" t="s">
        <v>73</v>
      </c>
      <c r="R255" t="s">
        <v>74</v>
      </c>
      <c r="S255" t="s">
        <v>730</v>
      </c>
      <c r="T255" s="2">
        <v>583</v>
      </c>
      <c r="U255" s="3">
        <v>1.97</v>
      </c>
      <c r="V255" s="4">
        <v>1156</v>
      </c>
      <c r="AF255" s="5">
        <v>8</v>
      </c>
      <c r="AH255" s="1">
        <v>2016</v>
      </c>
      <c r="AI255" s="1">
        <v>3</v>
      </c>
      <c r="AJ255" t="s">
        <v>81</v>
      </c>
      <c r="AK255" t="s">
        <v>82</v>
      </c>
      <c r="AL255" t="s">
        <v>83</v>
      </c>
      <c r="AM255" s="3">
        <v>1.57</v>
      </c>
      <c r="AN255" s="4">
        <v>1530</v>
      </c>
      <c r="AO255" s="1">
        <v>985</v>
      </c>
      <c r="AS255" s="3">
        <v>393995.49</v>
      </c>
      <c r="AW255" t="s">
        <v>84</v>
      </c>
      <c r="AY255" s="3">
        <v>1.98</v>
      </c>
      <c r="AZ255" s="4">
        <v>1144</v>
      </c>
      <c r="BA255" s="1">
        <v>577</v>
      </c>
      <c r="BB255" s="1">
        <v>194</v>
      </c>
      <c r="BC255" s="1">
        <v>6</v>
      </c>
      <c r="BG255" t="s">
        <v>131</v>
      </c>
    </row>
    <row r="256" spans="1:59" x14ac:dyDescent="0.25">
      <c r="A256" t="s">
        <v>1606</v>
      </c>
      <c r="B256" t="s">
        <v>1607</v>
      </c>
      <c r="C256" s="1">
        <v>390</v>
      </c>
      <c r="D256" s="1">
        <v>1986</v>
      </c>
      <c r="E256" t="s">
        <v>64</v>
      </c>
      <c r="F256" t="s">
        <v>725</v>
      </c>
      <c r="G256" t="s">
        <v>1028</v>
      </c>
      <c r="H256" t="s">
        <v>1608</v>
      </c>
      <c r="I256" t="s">
        <v>1609</v>
      </c>
      <c r="J256" t="s">
        <v>1028</v>
      </c>
      <c r="K256" s="1">
        <v>3</v>
      </c>
      <c r="L256" t="s">
        <v>91</v>
      </c>
      <c r="M256" t="s">
        <v>70</v>
      </c>
      <c r="N256" t="s">
        <v>71</v>
      </c>
      <c r="P256" t="s">
        <v>72</v>
      </c>
      <c r="Q256" t="s">
        <v>73</v>
      </c>
      <c r="R256" t="s">
        <v>74</v>
      </c>
      <c r="S256" t="s">
        <v>730</v>
      </c>
      <c r="T256" s="2">
        <v>557</v>
      </c>
      <c r="U256" s="3">
        <v>1.74</v>
      </c>
      <c r="V256" s="4">
        <v>972</v>
      </c>
      <c r="AF256" s="5">
        <v>20.769200000000001</v>
      </c>
      <c r="AI256" s="1">
        <v>3</v>
      </c>
      <c r="AJ256" t="s">
        <v>81</v>
      </c>
      <c r="AK256" t="s">
        <v>82</v>
      </c>
      <c r="AL256" t="s">
        <v>83</v>
      </c>
      <c r="AS256" s="3">
        <v>619135.77</v>
      </c>
      <c r="AW256" t="s">
        <v>84</v>
      </c>
      <c r="AY256" s="3">
        <v>1.74</v>
      </c>
      <c r="AZ256" s="4">
        <v>972</v>
      </c>
      <c r="BA256" s="1">
        <v>557</v>
      </c>
      <c r="BB256" s="1">
        <v>390</v>
      </c>
    </row>
    <row r="257" spans="1:59" x14ac:dyDescent="0.25">
      <c r="A257" t="s">
        <v>1610</v>
      </c>
      <c r="B257" t="s">
        <v>1611</v>
      </c>
      <c r="C257" s="1">
        <v>252</v>
      </c>
      <c r="D257" s="1">
        <v>1990</v>
      </c>
      <c r="E257" t="s">
        <v>64</v>
      </c>
      <c r="F257" t="s">
        <v>734</v>
      </c>
      <c r="G257" t="s">
        <v>784</v>
      </c>
      <c r="H257" t="s">
        <v>1612</v>
      </c>
      <c r="I257" t="s">
        <v>1613</v>
      </c>
      <c r="J257" t="s">
        <v>784</v>
      </c>
      <c r="K257" s="1">
        <v>3</v>
      </c>
      <c r="L257" t="s">
        <v>91</v>
      </c>
      <c r="M257" t="s">
        <v>70</v>
      </c>
      <c r="N257" t="s">
        <v>71</v>
      </c>
      <c r="P257" t="s">
        <v>72</v>
      </c>
      <c r="Q257" t="s">
        <v>73</v>
      </c>
      <c r="R257" t="s">
        <v>74</v>
      </c>
      <c r="S257" t="s">
        <v>1614</v>
      </c>
      <c r="T257" s="2">
        <v>631</v>
      </c>
      <c r="U257" s="3">
        <v>1.68</v>
      </c>
      <c r="V257" s="4">
        <v>1087</v>
      </c>
      <c r="AF257" s="5">
        <v>12.301600000000001</v>
      </c>
      <c r="AH257" s="1">
        <v>2015</v>
      </c>
      <c r="AI257" s="1">
        <v>3</v>
      </c>
      <c r="AJ257" t="s">
        <v>81</v>
      </c>
      <c r="AK257" t="s">
        <v>82</v>
      </c>
      <c r="AL257" t="s">
        <v>83</v>
      </c>
      <c r="AM257" s="3">
        <v>1.54</v>
      </c>
      <c r="AN257" s="4">
        <v>1363</v>
      </c>
      <c r="AO257" s="1">
        <v>841</v>
      </c>
      <c r="AS257" s="3">
        <v>550070.64</v>
      </c>
      <c r="AT257" s="3">
        <v>2.08</v>
      </c>
      <c r="AU257" s="4">
        <v>979</v>
      </c>
      <c r="AV257" s="6">
        <v>472</v>
      </c>
      <c r="AW257" t="s">
        <v>84</v>
      </c>
      <c r="AY257" s="3">
        <v>1.59</v>
      </c>
      <c r="AZ257" s="4">
        <v>1068</v>
      </c>
      <c r="BA257" s="1">
        <v>671</v>
      </c>
      <c r="BB257" s="1">
        <v>147</v>
      </c>
      <c r="BC257" s="1">
        <v>37</v>
      </c>
      <c r="BG257" t="s">
        <v>131</v>
      </c>
    </row>
    <row r="258" spans="1:59" x14ac:dyDescent="0.25">
      <c r="A258" t="s">
        <v>1615</v>
      </c>
      <c r="B258" t="s">
        <v>1616</v>
      </c>
      <c r="C258" s="1">
        <v>236</v>
      </c>
      <c r="D258" s="1">
        <v>1987</v>
      </c>
      <c r="E258" t="s">
        <v>64</v>
      </c>
      <c r="F258" t="s">
        <v>734</v>
      </c>
      <c r="G258" t="s">
        <v>1617</v>
      </c>
      <c r="H258" t="s">
        <v>1618</v>
      </c>
      <c r="I258" t="s">
        <v>1619</v>
      </c>
      <c r="J258" t="s">
        <v>1617</v>
      </c>
      <c r="K258" s="1">
        <v>3</v>
      </c>
      <c r="L258" t="s">
        <v>91</v>
      </c>
      <c r="M258" t="s">
        <v>70</v>
      </c>
      <c r="N258" t="s">
        <v>71</v>
      </c>
      <c r="P258" t="s">
        <v>72</v>
      </c>
      <c r="Q258" t="s">
        <v>73</v>
      </c>
      <c r="R258" t="s">
        <v>74</v>
      </c>
      <c r="S258" t="s">
        <v>730</v>
      </c>
      <c r="T258" s="2">
        <v>869</v>
      </c>
      <c r="U258" s="3">
        <v>1.48</v>
      </c>
      <c r="V258" s="4">
        <v>1287</v>
      </c>
      <c r="AF258" s="5">
        <v>15.254200000000001</v>
      </c>
      <c r="AH258" s="1">
        <v>2003</v>
      </c>
      <c r="AI258" s="1">
        <v>3</v>
      </c>
      <c r="AJ258" t="s">
        <v>81</v>
      </c>
      <c r="AK258" t="s">
        <v>82</v>
      </c>
      <c r="AL258" t="s">
        <v>83</v>
      </c>
      <c r="AM258" s="3">
        <v>1.44</v>
      </c>
      <c r="AN258" s="4">
        <v>1500</v>
      </c>
      <c r="AO258" s="1">
        <v>1042</v>
      </c>
      <c r="AS258" s="3">
        <v>511917.38</v>
      </c>
      <c r="AW258" t="s">
        <v>84</v>
      </c>
      <c r="AY258" s="3">
        <v>1.51</v>
      </c>
      <c r="AZ258" s="4">
        <v>1186</v>
      </c>
      <c r="BA258" s="1">
        <v>788</v>
      </c>
      <c r="BB258" s="1">
        <v>160</v>
      </c>
      <c r="BC258" s="1">
        <v>76</v>
      </c>
      <c r="BF258" t="s">
        <v>1513</v>
      </c>
      <c r="BG258" t="s">
        <v>131</v>
      </c>
    </row>
    <row r="259" spans="1:59" x14ac:dyDescent="0.25">
      <c r="A259" t="s">
        <v>1620</v>
      </c>
      <c r="B259" t="s">
        <v>1621</v>
      </c>
      <c r="C259" s="1">
        <v>300</v>
      </c>
      <c r="D259" s="1">
        <v>1990</v>
      </c>
      <c r="E259" t="s">
        <v>64</v>
      </c>
      <c r="F259" t="s">
        <v>514</v>
      </c>
      <c r="G259" t="s">
        <v>575</v>
      </c>
      <c r="H259" t="s">
        <v>1622</v>
      </c>
      <c r="I259" t="s">
        <v>1623</v>
      </c>
      <c r="J259" t="s">
        <v>575</v>
      </c>
      <c r="K259" s="1">
        <v>4</v>
      </c>
      <c r="L259" t="s">
        <v>91</v>
      </c>
      <c r="M259" t="s">
        <v>70</v>
      </c>
      <c r="N259" t="s">
        <v>71</v>
      </c>
      <c r="P259" t="s">
        <v>72</v>
      </c>
      <c r="Q259" t="s">
        <v>264</v>
      </c>
      <c r="R259" t="s">
        <v>74</v>
      </c>
      <c r="S259" t="s">
        <v>517</v>
      </c>
      <c r="T259" s="2">
        <v>829</v>
      </c>
      <c r="U259" s="3">
        <v>1.74</v>
      </c>
      <c r="V259" s="4">
        <v>1443</v>
      </c>
      <c r="AF259" s="5">
        <v>5</v>
      </c>
      <c r="AH259" s="1">
        <v>2016</v>
      </c>
      <c r="AI259" s="1">
        <v>3</v>
      </c>
      <c r="AJ259" t="s">
        <v>81</v>
      </c>
      <c r="AK259" t="s">
        <v>82</v>
      </c>
      <c r="AL259" t="s">
        <v>83</v>
      </c>
      <c r="AM259" s="3">
        <v>1.61</v>
      </c>
      <c r="AN259" s="4">
        <v>1669</v>
      </c>
      <c r="AO259" s="1">
        <v>1039</v>
      </c>
      <c r="AS259" s="3">
        <v>370411.98</v>
      </c>
      <c r="AW259" t="s">
        <v>84</v>
      </c>
      <c r="AY259" s="3">
        <v>1.87</v>
      </c>
      <c r="AZ259" s="4">
        <v>1297</v>
      </c>
      <c r="BA259" s="1">
        <v>694</v>
      </c>
      <c r="BB259" s="1">
        <v>182</v>
      </c>
      <c r="BC259" s="1">
        <v>118</v>
      </c>
      <c r="BF259" t="s">
        <v>1130</v>
      </c>
      <c r="BG259" t="s">
        <v>104</v>
      </c>
    </row>
    <row r="260" spans="1:59" x14ac:dyDescent="0.25">
      <c r="A260" t="s">
        <v>1624</v>
      </c>
      <c r="B260" t="s">
        <v>1625</v>
      </c>
      <c r="C260" s="1">
        <v>460</v>
      </c>
      <c r="D260" s="1">
        <v>1985</v>
      </c>
      <c r="E260" t="s">
        <v>64</v>
      </c>
      <c r="F260" t="s">
        <v>1133</v>
      </c>
      <c r="G260" t="s">
        <v>1626</v>
      </c>
      <c r="H260" t="s">
        <v>1627</v>
      </c>
      <c r="I260" t="s">
        <v>1628</v>
      </c>
      <c r="J260" t="s">
        <v>1626</v>
      </c>
      <c r="K260" s="1">
        <v>3</v>
      </c>
      <c r="L260" t="s">
        <v>69</v>
      </c>
      <c r="M260" t="s">
        <v>70</v>
      </c>
      <c r="N260" t="s">
        <v>71</v>
      </c>
      <c r="P260" t="s">
        <v>72</v>
      </c>
      <c r="Q260" t="s">
        <v>264</v>
      </c>
      <c r="R260" t="s">
        <v>74</v>
      </c>
      <c r="S260" t="s">
        <v>1629</v>
      </c>
      <c r="T260" s="2">
        <v>847</v>
      </c>
      <c r="U260" s="3">
        <v>1.78</v>
      </c>
      <c r="V260" s="4">
        <v>1511</v>
      </c>
      <c r="AF260" s="5">
        <v>10.434799999999999</v>
      </c>
      <c r="AI260" s="1">
        <v>3</v>
      </c>
      <c r="AJ260" t="s">
        <v>81</v>
      </c>
      <c r="AK260" t="s">
        <v>82</v>
      </c>
      <c r="AL260" t="s">
        <v>83</v>
      </c>
      <c r="AM260" s="3">
        <v>1.82</v>
      </c>
      <c r="AN260" s="4">
        <v>1842</v>
      </c>
      <c r="AO260" s="1">
        <v>1010</v>
      </c>
      <c r="AS260" s="3">
        <v>1550502.98</v>
      </c>
      <c r="AW260" t="s">
        <v>84</v>
      </c>
      <c r="AY260" s="3">
        <v>1.76</v>
      </c>
      <c r="AZ260" s="4">
        <v>1357</v>
      </c>
      <c r="BA260" s="1">
        <v>772</v>
      </c>
      <c r="BB260" s="1">
        <v>314</v>
      </c>
      <c r="BC260" s="1">
        <v>146</v>
      </c>
      <c r="BF260" t="s">
        <v>956</v>
      </c>
      <c r="BG260" t="s">
        <v>104</v>
      </c>
    </row>
    <row r="261" spans="1:59" x14ac:dyDescent="0.25">
      <c r="A261" t="s">
        <v>1630</v>
      </c>
      <c r="B261" t="s">
        <v>1631</v>
      </c>
      <c r="C261" s="1">
        <v>62</v>
      </c>
      <c r="D261" s="1">
        <v>1985</v>
      </c>
      <c r="E261" t="s">
        <v>64</v>
      </c>
      <c r="F261" t="s">
        <v>1632</v>
      </c>
      <c r="G261" t="s">
        <v>212</v>
      </c>
      <c r="H261" t="s">
        <v>1633</v>
      </c>
      <c r="I261" t="s">
        <v>1634</v>
      </c>
      <c r="J261" t="s">
        <v>212</v>
      </c>
      <c r="K261" s="1">
        <v>2</v>
      </c>
      <c r="L261" t="s">
        <v>69</v>
      </c>
      <c r="M261" t="s">
        <v>70</v>
      </c>
      <c r="N261" t="s">
        <v>71</v>
      </c>
      <c r="P261" t="s">
        <v>72</v>
      </c>
      <c r="Q261" t="s">
        <v>152</v>
      </c>
      <c r="R261" t="s">
        <v>74</v>
      </c>
      <c r="S261" t="s">
        <v>1635</v>
      </c>
      <c r="T261" s="2">
        <v>587</v>
      </c>
      <c r="U261" s="3">
        <v>1.7</v>
      </c>
      <c r="V261" s="4">
        <v>997</v>
      </c>
      <c r="AF261" s="5">
        <v>8.0645000000000007</v>
      </c>
      <c r="AI261" s="1">
        <v>2</v>
      </c>
      <c r="AJ261" t="s">
        <v>81</v>
      </c>
      <c r="AK261" t="s">
        <v>82</v>
      </c>
      <c r="AL261" t="s">
        <v>83</v>
      </c>
      <c r="AM261" s="3">
        <v>1.53</v>
      </c>
      <c r="AN261" s="4">
        <v>1086</v>
      </c>
      <c r="AO261" s="1">
        <v>710</v>
      </c>
      <c r="AS261" s="3">
        <v>121419</v>
      </c>
      <c r="AW261" t="s">
        <v>84</v>
      </c>
      <c r="AY261" s="3">
        <v>1.85</v>
      </c>
      <c r="AZ261" s="4">
        <v>941</v>
      </c>
      <c r="BA261" s="1">
        <v>510</v>
      </c>
      <c r="BB261" s="1">
        <v>38</v>
      </c>
      <c r="BC261" s="1">
        <v>24</v>
      </c>
      <c r="BF261" t="s">
        <v>1636</v>
      </c>
      <c r="BG261" t="s">
        <v>131</v>
      </c>
    </row>
    <row r="262" spans="1:59" x14ac:dyDescent="0.25">
      <c r="A262" t="s">
        <v>1637</v>
      </c>
      <c r="B262" t="s">
        <v>1638</v>
      </c>
      <c r="C262" s="1">
        <v>267</v>
      </c>
      <c r="D262" s="1">
        <v>1985</v>
      </c>
      <c r="E262" t="s">
        <v>64</v>
      </c>
      <c r="F262" t="s">
        <v>156</v>
      </c>
      <c r="G262" t="s">
        <v>1639</v>
      </c>
      <c r="H262" t="s">
        <v>1640</v>
      </c>
      <c r="I262" t="s">
        <v>1641</v>
      </c>
      <c r="J262" t="s">
        <v>1639</v>
      </c>
      <c r="K262" s="1">
        <v>3</v>
      </c>
      <c r="L262" t="s">
        <v>91</v>
      </c>
      <c r="M262" t="s">
        <v>70</v>
      </c>
      <c r="N262" t="s">
        <v>71</v>
      </c>
      <c r="O262" t="s">
        <v>118</v>
      </c>
      <c r="P262" t="s">
        <v>72</v>
      </c>
      <c r="Q262" t="s">
        <v>427</v>
      </c>
      <c r="R262" t="s">
        <v>74</v>
      </c>
      <c r="S262" t="s">
        <v>1642</v>
      </c>
      <c r="T262" s="2">
        <v>987</v>
      </c>
      <c r="U262" s="3">
        <v>1.25</v>
      </c>
      <c r="V262" s="4">
        <v>1236</v>
      </c>
      <c r="AF262" s="5">
        <v>25.4682</v>
      </c>
      <c r="AH262" s="1">
        <v>2017</v>
      </c>
      <c r="AI262" s="1">
        <v>3</v>
      </c>
      <c r="AJ262" t="s">
        <v>81</v>
      </c>
      <c r="AK262" t="s">
        <v>82</v>
      </c>
      <c r="AL262" t="s">
        <v>83</v>
      </c>
      <c r="AM262" s="3">
        <v>1.25</v>
      </c>
      <c r="AN262" s="4">
        <v>1309</v>
      </c>
      <c r="AO262" s="1">
        <v>1049</v>
      </c>
      <c r="AP262" s="3">
        <v>0.96</v>
      </c>
      <c r="AQ262" s="4">
        <v>1657</v>
      </c>
      <c r="AR262" s="1">
        <v>1720</v>
      </c>
      <c r="AS262" s="3">
        <v>588387.46</v>
      </c>
      <c r="AW262" t="s">
        <v>84</v>
      </c>
      <c r="AY262" s="3">
        <v>1.31</v>
      </c>
      <c r="AZ262" s="4">
        <v>1109</v>
      </c>
      <c r="BA262" s="1">
        <v>847</v>
      </c>
      <c r="BB262" s="1">
        <v>115</v>
      </c>
      <c r="BC262" s="1">
        <v>142</v>
      </c>
      <c r="BD262" s="1">
        <v>10</v>
      </c>
      <c r="BG262" t="s">
        <v>131</v>
      </c>
    </row>
    <row r="263" spans="1:59" x14ac:dyDescent="0.25">
      <c r="A263" t="s">
        <v>1643</v>
      </c>
      <c r="B263" t="s">
        <v>1644</v>
      </c>
      <c r="C263" s="1">
        <v>408</v>
      </c>
      <c r="D263" s="1">
        <v>1985</v>
      </c>
      <c r="E263" t="s">
        <v>64</v>
      </c>
      <c r="F263" t="s">
        <v>514</v>
      </c>
      <c r="G263" t="s">
        <v>1645</v>
      </c>
      <c r="H263" t="s">
        <v>1646</v>
      </c>
      <c r="I263" t="s">
        <v>1647</v>
      </c>
      <c r="J263" t="s">
        <v>1645</v>
      </c>
      <c r="K263" s="1">
        <v>3</v>
      </c>
      <c r="L263" t="s">
        <v>91</v>
      </c>
      <c r="M263" t="s">
        <v>70</v>
      </c>
      <c r="N263" t="s">
        <v>71</v>
      </c>
      <c r="P263" t="s">
        <v>72</v>
      </c>
      <c r="Q263" t="s">
        <v>264</v>
      </c>
      <c r="R263" t="s">
        <v>74</v>
      </c>
      <c r="S263" t="s">
        <v>1594</v>
      </c>
      <c r="T263" s="2">
        <v>820</v>
      </c>
      <c r="U263" s="3">
        <v>1.55</v>
      </c>
      <c r="V263" s="4">
        <v>1275</v>
      </c>
      <c r="AF263" s="5">
        <v>11.519600000000001</v>
      </c>
      <c r="AI263" s="1">
        <v>3</v>
      </c>
      <c r="AJ263" t="s">
        <v>81</v>
      </c>
      <c r="AK263" t="s">
        <v>82</v>
      </c>
      <c r="AL263" t="s">
        <v>83</v>
      </c>
      <c r="AM263" s="3">
        <v>1.51</v>
      </c>
      <c r="AN263" s="4">
        <v>1494</v>
      </c>
      <c r="AO263" s="1">
        <v>990</v>
      </c>
      <c r="AP263" s="3">
        <v>1.54</v>
      </c>
      <c r="AQ263" s="4">
        <v>2169</v>
      </c>
      <c r="AR263" s="1">
        <v>1405</v>
      </c>
      <c r="AS263" s="3">
        <v>1431940.6</v>
      </c>
      <c r="AW263" t="s">
        <v>84</v>
      </c>
      <c r="AY263" s="3">
        <v>1.6</v>
      </c>
      <c r="AZ263" s="4">
        <v>1103</v>
      </c>
      <c r="BA263" s="1">
        <v>692</v>
      </c>
      <c r="BB263" s="1">
        <v>246</v>
      </c>
      <c r="BC263" s="1">
        <v>152</v>
      </c>
      <c r="BD263" s="1">
        <v>10</v>
      </c>
      <c r="BF263" t="s">
        <v>285</v>
      </c>
      <c r="BG263" t="s">
        <v>104</v>
      </c>
    </row>
    <row r="264" spans="1:59" x14ac:dyDescent="0.25">
      <c r="A264" t="s">
        <v>1648</v>
      </c>
      <c r="B264" t="s">
        <v>1649</v>
      </c>
      <c r="C264" s="1">
        <v>150</v>
      </c>
      <c r="D264" s="1">
        <v>1985</v>
      </c>
      <c r="E264" t="s">
        <v>64</v>
      </c>
      <c r="F264" t="s">
        <v>1133</v>
      </c>
      <c r="G264" t="s">
        <v>1650</v>
      </c>
      <c r="H264" t="s">
        <v>1651</v>
      </c>
      <c r="I264" t="s">
        <v>1650</v>
      </c>
      <c r="K264" s="1">
        <v>3</v>
      </c>
      <c r="L264" t="s">
        <v>69</v>
      </c>
      <c r="M264" t="s">
        <v>70</v>
      </c>
      <c r="N264" t="s">
        <v>71</v>
      </c>
      <c r="P264" t="s">
        <v>72</v>
      </c>
      <c r="Q264" t="s">
        <v>264</v>
      </c>
      <c r="R264" t="s">
        <v>74</v>
      </c>
      <c r="S264" t="s">
        <v>1594</v>
      </c>
      <c r="T264" s="2">
        <v>829</v>
      </c>
      <c r="U264" s="3">
        <v>1.76</v>
      </c>
      <c r="V264" s="4">
        <v>1460</v>
      </c>
      <c r="AF264" s="5">
        <v>8.6667000000000005</v>
      </c>
      <c r="AI264" s="1">
        <v>2</v>
      </c>
      <c r="AJ264" t="s">
        <v>81</v>
      </c>
      <c r="AK264" t="s">
        <v>82</v>
      </c>
      <c r="AL264" t="s">
        <v>83</v>
      </c>
      <c r="AM264" s="3">
        <v>1.65</v>
      </c>
      <c r="AN264" s="4">
        <v>1916</v>
      </c>
      <c r="AO264" s="1">
        <v>1160</v>
      </c>
      <c r="AS264" s="3">
        <v>0</v>
      </c>
      <c r="AW264" t="s">
        <v>84</v>
      </c>
      <c r="AY264" s="3">
        <v>1.82</v>
      </c>
      <c r="AZ264" s="4">
        <v>1294</v>
      </c>
      <c r="BA264" s="1">
        <v>710</v>
      </c>
      <c r="BB264" s="1">
        <v>110</v>
      </c>
      <c r="BC264" s="1">
        <v>40</v>
      </c>
    </row>
    <row r="265" spans="1:59" x14ac:dyDescent="0.25">
      <c r="A265" t="s">
        <v>1652</v>
      </c>
      <c r="B265" t="s">
        <v>1653</v>
      </c>
      <c r="C265" s="1">
        <v>119</v>
      </c>
      <c r="D265" s="1">
        <v>1985</v>
      </c>
      <c r="E265" t="s">
        <v>64</v>
      </c>
      <c r="F265" t="s">
        <v>943</v>
      </c>
      <c r="G265" t="s">
        <v>1654</v>
      </c>
      <c r="H265" t="s">
        <v>1654</v>
      </c>
      <c r="I265" t="s">
        <v>1655</v>
      </c>
      <c r="J265" t="s">
        <v>1654</v>
      </c>
      <c r="K265" s="1">
        <v>2</v>
      </c>
      <c r="L265" t="s">
        <v>69</v>
      </c>
      <c r="M265" t="s">
        <v>70</v>
      </c>
      <c r="N265" t="s">
        <v>71</v>
      </c>
      <c r="P265" t="s">
        <v>72</v>
      </c>
      <c r="Q265" t="s">
        <v>945</v>
      </c>
      <c r="R265" t="s">
        <v>74</v>
      </c>
      <c r="S265" t="s">
        <v>1656</v>
      </c>
      <c r="T265" s="2">
        <v>820</v>
      </c>
      <c r="U265" s="3">
        <v>1.4</v>
      </c>
      <c r="V265" s="4">
        <v>1146</v>
      </c>
      <c r="AF265" s="5">
        <v>10.9244</v>
      </c>
      <c r="AI265" s="1">
        <v>3</v>
      </c>
      <c r="AJ265" t="s">
        <v>81</v>
      </c>
      <c r="AK265" t="s">
        <v>82</v>
      </c>
      <c r="AL265" t="s">
        <v>83</v>
      </c>
      <c r="AM265" s="3">
        <v>1.38</v>
      </c>
      <c r="AN265" s="4">
        <v>1337</v>
      </c>
      <c r="AO265" s="1">
        <v>970</v>
      </c>
      <c r="AS265" s="3">
        <v>174130.16</v>
      </c>
      <c r="AW265" t="s">
        <v>84</v>
      </c>
      <c r="AY265" s="3">
        <v>1.41</v>
      </c>
      <c r="AZ265" s="4">
        <v>1007</v>
      </c>
      <c r="BA265" s="1">
        <v>713</v>
      </c>
      <c r="BB265" s="1">
        <v>69</v>
      </c>
      <c r="BC265" s="1">
        <v>50</v>
      </c>
      <c r="BF265" t="s">
        <v>1657</v>
      </c>
      <c r="BG265" t="s">
        <v>104</v>
      </c>
    </row>
    <row r="266" spans="1:59" x14ac:dyDescent="0.25">
      <c r="A266" t="s">
        <v>1658</v>
      </c>
      <c r="B266" t="s">
        <v>1659</v>
      </c>
      <c r="C266" s="1">
        <v>432</v>
      </c>
      <c r="D266" s="1">
        <v>1985</v>
      </c>
      <c r="E266" t="s">
        <v>64</v>
      </c>
      <c r="F266" t="s">
        <v>97</v>
      </c>
      <c r="G266" t="s">
        <v>1660</v>
      </c>
      <c r="H266" t="s">
        <v>1661</v>
      </c>
      <c r="J266" t="s">
        <v>1660</v>
      </c>
      <c r="K266" s="1">
        <v>4</v>
      </c>
      <c r="L266" t="s">
        <v>729</v>
      </c>
      <c r="M266" t="s">
        <v>70</v>
      </c>
      <c r="N266" t="s">
        <v>71</v>
      </c>
      <c r="P266" t="s">
        <v>72</v>
      </c>
      <c r="Q266" t="s">
        <v>1662</v>
      </c>
      <c r="R266" t="s">
        <v>74</v>
      </c>
      <c r="S266" t="s">
        <v>1663</v>
      </c>
      <c r="T266" s="2">
        <v>852</v>
      </c>
      <c r="U266" s="3">
        <v>1.59</v>
      </c>
      <c r="V266" s="4">
        <v>1352</v>
      </c>
      <c r="AF266" s="5">
        <v>4.8611000000000004</v>
      </c>
      <c r="AI266" s="1">
        <v>2</v>
      </c>
      <c r="AJ266" t="s">
        <v>81</v>
      </c>
      <c r="AK266" t="s">
        <v>82</v>
      </c>
      <c r="AL266" t="s">
        <v>83</v>
      </c>
      <c r="AM266" s="3">
        <v>1.49</v>
      </c>
      <c r="AN266" s="4">
        <v>1569</v>
      </c>
      <c r="AO266" s="1">
        <v>1052</v>
      </c>
      <c r="AP266" s="3">
        <v>1.54</v>
      </c>
      <c r="AQ266" s="4">
        <v>2155</v>
      </c>
      <c r="AR266" s="1">
        <v>1399</v>
      </c>
      <c r="AS266" s="3">
        <v>640316.54</v>
      </c>
      <c r="AW266" t="s">
        <v>84</v>
      </c>
      <c r="AY266" s="3">
        <v>1.68</v>
      </c>
      <c r="AZ266" s="4">
        <v>1173</v>
      </c>
      <c r="BA266" s="1">
        <v>700</v>
      </c>
      <c r="BB266" s="1">
        <v>260</v>
      </c>
      <c r="BC266" s="1">
        <v>156</v>
      </c>
      <c r="BD266" s="1">
        <v>16</v>
      </c>
    </row>
    <row r="267" spans="1:59" x14ac:dyDescent="0.25">
      <c r="A267" t="s">
        <v>1664</v>
      </c>
      <c r="B267" t="s">
        <v>1665</v>
      </c>
      <c r="C267" s="1">
        <v>272</v>
      </c>
      <c r="D267" s="1">
        <v>1985</v>
      </c>
      <c r="E267" t="s">
        <v>64</v>
      </c>
      <c r="F267" t="s">
        <v>1666</v>
      </c>
      <c r="G267" t="s">
        <v>1667</v>
      </c>
      <c r="H267" t="s">
        <v>1668</v>
      </c>
      <c r="I267" t="s">
        <v>1669</v>
      </c>
      <c r="J267" t="s">
        <v>1667</v>
      </c>
      <c r="K267" s="1">
        <v>3</v>
      </c>
      <c r="L267" t="s">
        <v>91</v>
      </c>
      <c r="M267" t="s">
        <v>70</v>
      </c>
      <c r="N267" t="s">
        <v>71</v>
      </c>
      <c r="O267" t="s">
        <v>118</v>
      </c>
      <c r="P267" t="s">
        <v>72</v>
      </c>
      <c r="Q267" t="s">
        <v>73</v>
      </c>
      <c r="R267" t="s">
        <v>74</v>
      </c>
      <c r="S267" t="s">
        <v>1670</v>
      </c>
      <c r="T267" s="2">
        <v>718</v>
      </c>
      <c r="U267" s="3">
        <v>1.66</v>
      </c>
      <c r="V267" s="4">
        <v>1191</v>
      </c>
      <c r="AF267" s="5">
        <v>16.911799999999999</v>
      </c>
      <c r="AI267" s="1">
        <v>2</v>
      </c>
      <c r="AJ267" t="s">
        <v>81</v>
      </c>
      <c r="AK267" t="s">
        <v>82</v>
      </c>
      <c r="AL267" t="s">
        <v>83</v>
      </c>
      <c r="AM267" s="3">
        <v>1.51</v>
      </c>
      <c r="AN267" s="4">
        <v>1291</v>
      </c>
      <c r="AO267" s="1">
        <v>857</v>
      </c>
      <c r="AS267" s="3">
        <v>469356.3</v>
      </c>
      <c r="AW267" t="s">
        <v>84</v>
      </c>
      <c r="AY267" s="3">
        <v>1.98</v>
      </c>
      <c r="AZ267" s="4">
        <v>1055</v>
      </c>
      <c r="BA267" s="1">
        <v>533</v>
      </c>
      <c r="BB267" s="1">
        <v>116</v>
      </c>
      <c r="BC267" s="1">
        <v>156</v>
      </c>
      <c r="BF267" t="s">
        <v>1671</v>
      </c>
      <c r="BG267" t="s">
        <v>104</v>
      </c>
    </row>
    <row r="268" spans="1:59" x14ac:dyDescent="0.25">
      <c r="A268" t="s">
        <v>1672</v>
      </c>
      <c r="B268" t="s">
        <v>1673</v>
      </c>
      <c r="C268" s="1">
        <v>152</v>
      </c>
      <c r="D268" s="1">
        <v>1986</v>
      </c>
      <c r="E268" t="s">
        <v>64</v>
      </c>
      <c r="F268" t="s">
        <v>360</v>
      </c>
      <c r="G268" t="s">
        <v>1674</v>
      </c>
      <c r="H268" t="s">
        <v>1675</v>
      </c>
      <c r="I268" t="s">
        <v>1676</v>
      </c>
      <c r="J268" t="s">
        <v>1674</v>
      </c>
      <c r="K268" s="1">
        <v>3</v>
      </c>
      <c r="L268" t="s">
        <v>91</v>
      </c>
      <c r="M268" t="s">
        <v>70</v>
      </c>
      <c r="N268" t="s">
        <v>71</v>
      </c>
      <c r="P268" t="s">
        <v>72</v>
      </c>
      <c r="Q268" t="s">
        <v>73</v>
      </c>
      <c r="R268" t="s">
        <v>74</v>
      </c>
      <c r="S268" t="s">
        <v>379</v>
      </c>
      <c r="T268" s="2">
        <v>694</v>
      </c>
      <c r="U268" s="3">
        <v>1.54</v>
      </c>
      <c r="V268" s="4">
        <v>1066</v>
      </c>
      <c r="AF268" s="5">
        <v>7.8947000000000003</v>
      </c>
      <c r="AI268" s="1">
        <v>3</v>
      </c>
      <c r="AJ268" t="s">
        <v>81</v>
      </c>
      <c r="AK268" t="s">
        <v>82</v>
      </c>
      <c r="AL268" t="s">
        <v>83</v>
      </c>
      <c r="AM268" s="3">
        <v>1.46</v>
      </c>
      <c r="AN268" s="4">
        <v>1340</v>
      </c>
      <c r="AO268" s="1">
        <v>919</v>
      </c>
      <c r="AS268" s="3">
        <v>312904.2</v>
      </c>
      <c r="AW268" t="s">
        <v>84</v>
      </c>
      <c r="AY268" s="3">
        <v>1.59</v>
      </c>
      <c r="AZ268" s="4">
        <v>947</v>
      </c>
      <c r="BA268" s="1">
        <v>597</v>
      </c>
      <c r="BB268" s="1">
        <v>106</v>
      </c>
      <c r="BC268" s="1">
        <v>46</v>
      </c>
      <c r="BF268" t="s">
        <v>1677</v>
      </c>
    </row>
    <row r="269" spans="1:59" x14ac:dyDescent="0.25">
      <c r="A269" t="s">
        <v>1678</v>
      </c>
      <c r="B269" t="s">
        <v>1679</v>
      </c>
      <c r="C269" s="1">
        <v>464</v>
      </c>
      <c r="D269" s="1">
        <v>1986</v>
      </c>
      <c r="E269" t="s">
        <v>64</v>
      </c>
      <c r="F269" t="s">
        <v>360</v>
      </c>
      <c r="G269" t="s">
        <v>687</v>
      </c>
      <c r="H269" t="s">
        <v>1680</v>
      </c>
      <c r="J269" t="s">
        <v>687</v>
      </c>
      <c r="K269" s="1">
        <v>3</v>
      </c>
      <c r="L269" t="s">
        <v>69</v>
      </c>
      <c r="M269" t="s">
        <v>70</v>
      </c>
      <c r="N269" t="s">
        <v>71</v>
      </c>
      <c r="P269" t="s">
        <v>72</v>
      </c>
      <c r="Q269" t="s">
        <v>73</v>
      </c>
      <c r="R269" t="s">
        <v>74</v>
      </c>
      <c r="S269" t="s">
        <v>379</v>
      </c>
      <c r="T269" s="2">
        <v>755</v>
      </c>
      <c r="U269" s="3">
        <v>1.35</v>
      </c>
      <c r="V269" s="4">
        <v>1022</v>
      </c>
      <c r="AF269" s="5">
        <v>10.7759</v>
      </c>
      <c r="AI269" s="1">
        <v>2</v>
      </c>
      <c r="AJ269" t="s">
        <v>81</v>
      </c>
      <c r="AK269" t="s">
        <v>82</v>
      </c>
      <c r="AL269" t="s">
        <v>83</v>
      </c>
      <c r="AM269" s="3">
        <v>1.27</v>
      </c>
      <c r="AN269" s="4">
        <v>1202</v>
      </c>
      <c r="AO269" s="1">
        <v>944</v>
      </c>
      <c r="AS269" s="3">
        <v>0</v>
      </c>
      <c r="AW269" t="s">
        <v>84</v>
      </c>
      <c r="AY269" s="3">
        <v>1.44</v>
      </c>
      <c r="AZ269" s="4">
        <v>896</v>
      </c>
      <c r="BA269" s="1">
        <v>622</v>
      </c>
      <c r="BB269" s="1">
        <v>272</v>
      </c>
      <c r="BC269" s="1">
        <v>192</v>
      </c>
      <c r="BG269" t="s">
        <v>131</v>
      </c>
    </row>
    <row r="270" spans="1:59" x14ac:dyDescent="0.25">
      <c r="A270" t="s">
        <v>1681</v>
      </c>
      <c r="B270" t="s">
        <v>1682</v>
      </c>
      <c r="C270" s="1">
        <v>80</v>
      </c>
      <c r="D270" s="1">
        <v>1986</v>
      </c>
      <c r="E270" t="s">
        <v>64</v>
      </c>
      <c r="F270" t="s">
        <v>288</v>
      </c>
      <c r="G270" t="s">
        <v>1683</v>
      </c>
      <c r="H270" t="s">
        <v>1684</v>
      </c>
      <c r="I270" t="s">
        <v>1685</v>
      </c>
      <c r="J270" t="s">
        <v>1683</v>
      </c>
      <c r="K270" s="1">
        <v>2</v>
      </c>
      <c r="L270" t="s">
        <v>69</v>
      </c>
      <c r="M270" t="s">
        <v>70</v>
      </c>
      <c r="N270" t="s">
        <v>71</v>
      </c>
      <c r="O270" t="s">
        <v>118</v>
      </c>
      <c r="P270" t="s">
        <v>72</v>
      </c>
      <c r="Q270" t="s">
        <v>152</v>
      </c>
      <c r="R270" t="s">
        <v>74</v>
      </c>
      <c r="S270" t="s">
        <v>1686</v>
      </c>
      <c r="T270" s="2">
        <v>703</v>
      </c>
      <c r="U270" s="3">
        <v>1.51</v>
      </c>
      <c r="V270" s="4">
        <v>1065</v>
      </c>
      <c r="AF270" s="5">
        <v>7.5</v>
      </c>
      <c r="AH270" s="1">
        <v>2017</v>
      </c>
      <c r="AI270" s="1">
        <v>2</v>
      </c>
      <c r="AJ270" t="s">
        <v>81</v>
      </c>
      <c r="AK270" t="s">
        <v>82</v>
      </c>
      <c r="AL270" t="s">
        <v>83</v>
      </c>
      <c r="AM270" s="3">
        <v>1.36</v>
      </c>
      <c r="AN270" s="4">
        <v>1224</v>
      </c>
      <c r="AO270" s="1">
        <v>903</v>
      </c>
      <c r="AS270" s="3">
        <v>166047.12</v>
      </c>
      <c r="AW270" t="s">
        <v>84</v>
      </c>
      <c r="AY270" s="3">
        <v>1.68</v>
      </c>
      <c r="AZ270" s="4">
        <v>959</v>
      </c>
      <c r="BA270" s="1">
        <v>570</v>
      </c>
      <c r="BB270" s="1">
        <v>48</v>
      </c>
      <c r="BC270" s="1">
        <v>32</v>
      </c>
    </row>
    <row r="271" spans="1:59" x14ac:dyDescent="0.25">
      <c r="A271" t="s">
        <v>1687</v>
      </c>
      <c r="B271" t="s">
        <v>1688</v>
      </c>
      <c r="C271" s="1">
        <v>198</v>
      </c>
      <c r="D271" s="1">
        <v>1985</v>
      </c>
      <c r="E271" t="s">
        <v>64</v>
      </c>
      <c r="F271" t="s">
        <v>1689</v>
      </c>
      <c r="G271" t="s">
        <v>1690</v>
      </c>
      <c r="H271" t="s">
        <v>1691</v>
      </c>
      <c r="J271" t="s">
        <v>1690</v>
      </c>
      <c r="K271" s="1">
        <v>3</v>
      </c>
      <c r="L271" t="s">
        <v>91</v>
      </c>
      <c r="M271" t="s">
        <v>70</v>
      </c>
      <c r="N271" t="s">
        <v>71</v>
      </c>
      <c r="P271" t="s">
        <v>72</v>
      </c>
      <c r="Q271" t="s">
        <v>152</v>
      </c>
      <c r="R271" t="s">
        <v>74</v>
      </c>
      <c r="S271" t="s">
        <v>1692</v>
      </c>
      <c r="T271" s="2">
        <v>698</v>
      </c>
      <c r="U271" s="3">
        <v>1.71</v>
      </c>
      <c r="V271" s="4">
        <v>1192</v>
      </c>
      <c r="AF271" s="5">
        <v>5.5556000000000001</v>
      </c>
      <c r="AI271" s="1">
        <v>2</v>
      </c>
      <c r="AJ271" t="s">
        <v>81</v>
      </c>
      <c r="AK271" t="s">
        <v>82</v>
      </c>
      <c r="AL271" t="s">
        <v>83</v>
      </c>
      <c r="AM271" s="3">
        <v>1.55</v>
      </c>
      <c r="AN271" s="4">
        <v>1361</v>
      </c>
      <c r="AO271" s="1">
        <v>878</v>
      </c>
      <c r="AS271" s="3">
        <v>542161.30000000005</v>
      </c>
      <c r="AW271" t="s">
        <v>84</v>
      </c>
      <c r="AY271" s="3">
        <v>1.78</v>
      </c>
      <c r="AZ271" s="4">
        <v>1138</v>
      </c>
      <c r="BA271" s="1">
        <v>641</v>
      </c>
      <c r="BB271" s="1">
        <v>150</v>
      </c>
      <c r="BC271" s="1">
        <v>48</v>
      </c>
    </row>
    <row r="272" spans="1:59" x14ac:dyDescent="0.25">
      <c r="A272" t="s">
        <v>1693</v>
      </c>
      <c r="B272" t="s">
        <v>1694</v>
      </c>
      <c r="C272" s="1">
        <v>252</v>
      </c>
      <c r="D272" s="1">
        <v>1988</v>
      </c>
      <c r="E272" t="s">
        <v>64</v>
      </c>
      <c r="F272" t="s">
        <v>995</v>
      </c>
      <c r="G272" t="s">
        <v>1695</v>
      </c>
      <c r="H272" t="s">
        <v>1696</v>
      </c>
      <c r="I272" t="s">
        <v>1697</v>
      </c>
      <c r="J272" t="s">
        <v>1695</v>
      </c>
      <c r="K272" s="1">
        <v>3</v>
      </c>
      <c r="L272" t="s">
        <v>69</v>
      </c>
      <c r="M272" t="s">
        <v>70</v>
      </c>
      <c r="N272" t="s">
        <v>71</v>
      </c>
      <c r="O272" t="s">
        <v>426</v>
      </c>
      <c r="P272" t="s">
        <v>72</v>
      </c>
      <c r="Q272" t="s">
        <v>73</v>
      </c>
      <c r="R272" t="s">
        <v>74</v>
      </c>
      <c r="S272" t="s">
        <v>137</v>
      </c>
      <c r="T272" s="2">
        <v>1105</v>
      </c>
      <c r="U272" s="3">
        <v>0.79</v>
      </c>
      <c r="V272" s="4">
        <v>876</v>
      </c>
      <c r="AF272" s="5">
        <v>1.5872999999999999</v>
      </c>
      <c r="AI272" s="1">
        <v>4</v>
      </c>
      <c r="AJ272" t="s">
        <v>81</v>
      </c>
      <c r="AK272" t="s">
        <v>82</v>
      </c>
      <c r="AL272" t="s">
        <v>83</v>
      </c>
      <c r="AM272" s="3">
        <v>0.76</v>
      </c>
      <c r="AN272" s="4">
        <v>923</v>
      </c>
      <c r="AO272" s="1">
        <v>1220</v>
      </c>
      <c r="AS272" s="3">
        <v>221266.92</v>
      </c>
      <c r="AW272" t="s">
        <v>84</v>
      </c>
      <c r="AY272" s="3">
        <v>0.79</v>
      </c>
      <c r="AZ272" s="4">
        <v>874</v>
      </c>
      <c r="BA272" s="1">
        <v>1100</v>
      </c>
      <c r="BB272" s="1">
        <v>240</v>
      </c>
      <c r="BC272" s="1">
        <v>12</v>
      </c>
      <c r="BG272" t="s">
        <v>131</v>
      </c>
    </row>
    <row r="273" spans="1:59" x14ac:dyDescent="0.25">
      <c r="A273" t="s">
        <v>1698</v>
      </c>
      <c r="B273" t="s">
        <v>1699</v>
      </c>
      <c r="C273" s="1">
        <v>350</v>
      </c>
      <c r="D273" s="1">
        <v>1985</v>
      </c>
      <c r="E273" t="s">
        <v>64</v>
      </c>
      <c r="F273" t="s">
        <v>140</v>
      </c>
      <c r="G273" t="s">
        <v>1169</v>
      </c>
      <c r="H273" t="s">
        <v>1700</v>
      </c>
      <c r="I273" t="s">
        <v>1701</v>
      </c>
      <c r="J273" t="s">
        <v>1169</v>
      </c>
      <c r="K273" s="1">
        <v>2</v>
      </c>
      <c r="L273" t="s">
        <v>69</v>
      </c>
      <c r="M273" t="s">
        <v>70</v>
      </c>
      <c r="N273" t="s">
        <v>71</v>
      </c>
      <c r="P273" t="s">
        <v>72</v>
      </c>
      <c r="Q273" t="s">
        <v>140</v>
      </c>
      <c r="R273" t="s">
        <v>74</v>
      </c>
      <c r="S273" t="s">
        <v>1050</v>
      </c>
      <c r="T273" s="2">
        <v>887</v>
      </c>
      <c r="U273" s="3">
        <v>1.63</v>
      </c>
      <c r="V273" s="4">
        <v>1450</v>
      </c>
      <c r="AF273" s="5">
        <v>18.857099999999999</v>
      </c>
      <c r="AH273" s="1">
        <v>2009</v>
      </c>
      <c r="AI273" s="1">
        <v>2</v>
      </c>
      <c r="AJ273" t="s">
        <v>81</v>
      </c>
      <c r="AK273" t="s">
        <v>82</v>
      </c>
      <c r="AL273" t="s">
        <v>83</v>
      </c>
      <c r="AM273" s="3">
        <v>1.56</v>
      </c>
      <c r="AN273" s="4">
        <v>1473</v>
      </c>
      <c r="AO273" s="1">
        <v>947</v>
      </c>
      <c r="AS273" s="3">
        <v>982976.42</v>
      </c>
      <c r="AW273" t="s">
        <v>84</v>
      </c>
      <c r="AY273" s="3">
        <v>1.87</v>
      </c>
      <c r="AZ273" s="4">
        <v>1392</v>
      </c>
      <c r="BA273" s="1">
        <v>744</v>
      </c>
      <c r="BB273" s="1">
        <v>102</v>
      </c>
      <c r="BC273" s="1">
        <v>248</v>
      </c>
      <c r="BG273" t="s">
        <v>131</v>
      </c>
    </row>
    <row r="274" spans="1:59" x14ac:dyDescent="0.25">
      <c r="A274" t="s">
        <v>1702</v>
      </c>
      <c r="B274" t="s">
        <v>1703</v>
      </c>
      <c r="C274" s="1">
        <v>96</v>
      </c>
      <c r="D274" s="1">
        <v>1985</v>
      </c>
      <c r="E274" t="s">
        <v>64</v>
      </c>
      <c r="F274" t="s">
        <v>800</v>
      </c>
      <c r="G274" t="s">
        <v>1704</v>
      </c>
      <c r="H274" t="s">
        <v>1705</v>
      </c>
      <c r="I274" t="s">
        <v>1706</v>
      </c>
      <c r="J274" t="s">
        <v>1704</v>
      </c>
      <c r="K274" s="1">
        <v>2</v>
      </c>
      <c r="L274" t="s">
        <v>69</v>
      </c>
      <c r="M274" t="s">
        <v>70</v>
      </c>
      <c r="N274" t="s">
        <v>71</v>
      </c>
      <c r="P274" t="s">
        <v>72</v>
      </c>
      <c r="Q274" t="s">
        <v>800</v>
      </c>
      <c r="R274" t="s">
        <v>74</v>
      </c>
      <c r="S274" t="s">
        <v>1707</v>
      </c>
      <c r="T274" s="2">
        <v>1351</v>
      </c>
      <c r="U274" s="3">
        <v>1.35</v>
      </c>
      <c r="V274" s="4">
        <v>1829</v>
      </c>
      <c r="AF274" s="5">
        <v>4.1666999999999996</v>
      </c>
      <c r="AI274" s="1">
        <v>2</v>
      </c>
      <c r="AJ274" t="s">
        <v>81</v>
      </c>
      <c r="AK274" t="s">
        <v>82</v>
      </c>
      <c r="AL274" t="s">
        <v>83</v>
      </c>
      <c r="AM274" s="3">
        <v>1.33</v>
      </c>
      <c r="AN274" s="4">
        <v>1700</v>
      </c>
      <c r="AO274" s="1">
        <v>1280</v>
      </c>
      <c r="AP274" s="3">
        <v>1.38</v>
      </c>
      <c r="AQ274" s="4">
        <v>1995</v>
      </c>
      <c r="AR274" s="1">
        <v>1443</v>
      </c>
      <c r="AS274" s="3">
        <v>76682.52</v>
      </c>
      <c r="AW274" t="s">
        <v>84</v>
      </c>
      <c r="BC274" s="1">
        <v>54</v>
      </c>
      <c r="BD274" s="1">
        <v>42</v>
      </c>
      <c r="BF274" t="s">
        <v>1708</v>
      </c>
      <c r="BG274" t="s">
        <v>131</v>
      </c>
    </row>
    <row r="275" spans="1:59" x14ac:dyDescent="0.25">
      <c r="A275" t="s">
        <v>1709</v>
      </c>
      <c r="B275" t="s">
        <v>1710</v>
      </c>
      <c r="C275" s="1">
        <v>113</v>
      </c>
      <c r="D275" s="1">
        <v>1987</v>
      </c>
      <c r="E275" t="s">
        <v>64</v>
      </c>
      <c r="F275" t="s">
        <v>114</v>
      </c>
      <c r="G275" t="s">
        <v>1711</v>
      </c>
      <c r="H275" t="s">
        <v>1712</v>
      </c>
      <c r="I275" t="s">
        <v>1713</v>
      </c>
      <c r="J275" t="s">
        <v>1711</v>
      </c>
      <c r="K275" s="1">
        <v>2</v>
      </c>
      <c r="L275" t="s">
        <v>69</v>
      </c>
      <c r="M275" t="s">
        <v>70</v>
      </c>
      <c r="N275" t="s">
        <v>71</v>
      </c>
      <c r="P275" t="s">
        <v>72</v>
      </c>
      <c r="Q275" t="s">
        <v>348</v>
      </c>
      <c r="R275" t="s">
        <v>74</v>
      </c>
      <c r="S275" t="s">
        <v>1714</v>
      </c>
      <c r="T275" s="2">
        <v>856</v>
      </c>
      <c r="U275" s="3">
        <v>1.7</v>
      </c>
      <c r="V275" s="4">
        <v>1460</v>
      </c>
      <c r="AF275" s="5">
        <v>3.5398000000000001</v>
      </c>
      <c r="AI275" s="1">
        <v>2</v>
      </c>
      <c r="AJ275" t="s">
        <v>81</v>
      </c>
      <c r="AK275" t="s">
        <v>82</v>
      </c>
      <c r="AL275" t="s">
        <v>83</v>
      </c>
      <c r="AM275" s="3">
        <v>1.61</v>
      </c>
      <c r="AN275" s="4">
        <v>1509</v>
      </c>
      <c r="AO275" s="1">
        <v>936</v>
      </c>
      <c r="AP275" s="3">
        <v>1.62</v>
      </c>
      <c r="AQ275" s="4">
        <v>1714</v>
      </c>
      <c r="AR275" s="1">
        <v>1059</v>
      </c>
      <c r="AS275" s="3">
        <v>269643.14</v>
      </c>
      <c r="AW275" t="s">
        <v>84</v>
      </c>
      <c r="AY275" s="3">
        <v>1.94</v>
      </c>
      <c r="AZ275" s="4">
        <v>1289</v>
      </c>
      <c r="BA275" s="1">
        <v>663</v>
      </c>
      <c r="BB275" s="1">
        <v>40</v>
      </c>
      <c r="BC275" s="1">
        <v>57</v>
      </c>
      <c r="BD275" s="1">
        <v>16</v>
      </c>
    </row>
    <row r="276" spans="1:59" x14ac:dyDescent="0.25">
      <c r="A276" t="s">
        <v>1715</v>
      </c>
      <c r="B276" t="s">
        <v>1716</v>
      </c>
      <c r="C276" s="1">
        <v>490</v>
      </c>
      <c r="D276" s="1">
        <v>1985</v>
      </c>
      <c r="E276" t="s">
        <v>64</v>
      </c>
      <c r="F276" t="s">
        <v>177</v>
      </c>
      <c r="G276" t="s">
        <v>1717</v>
      </c>
      <c r="H276" t="s">
        <v>1718</v>
      </c>
      <c r="I276" t="s">
        <v>1719</v>
      </c>
      <c r="J276" t="s">
        <v>1717</v>
      </c>
      <c r="K276" s="1">
        <v>3</v>
      </c>
      <c r="L276" t="s">
        <v>91</v>
      </c>
      <c r="M276" t="s">
        <v>70</v>
      </c>
      <c r="N276" t="s">
        <v>71</v>
      </c>
      <c r="P276" t="s">
        <v>72</v>
      </c>
      <c r="Q276" t="s">
        <v>181</v>
      </c>
      <c r="R276" t="s">
        <v>74</v>
      </c>
      <c r="S276" t="s">
        <v>182</v>
      </c>
      <c r="T276" s="2">
        <v>759</v>
      </c>
      <c r="U276" s="3">
        <v>1.57</v>
      </c>
      <c r="V276" s="4">
        <v>1194</v>
      </c>
      <c r="AF276" s="5">
        <v>9.1837</v>
      </c>
      <c r="AI276" s="1">
        <v>2</v>
      </c>
      <c r="AJ276" t="s">
        <v>81</v>
      </c>
      <c r="AK276" t="s">
        <v>82</v>
      </c>
      <c r="AL276" t="s">
        <v>83</v>
      </c>
      <c r="AM276" s="3">
        <v>1.55</v>
      </c>
      <c r="AN276" s="4">
        <v>1460</v>
      </c>
      <c r="AO276" s="1">
        <v>943</v>
      </c>
      <c r="AS276" s="3">
        <v>1382303.26</v>
      </c>
      <c r="AW276" t="s">
        <v>84</v>
      </c>
      <c r="AY276" s="3">
        <v>1.6</v>
      </c>
      <c r="AZ276" s="4">
        <v>1007</v>
      </c>
      <c r="BA276" s="1">
        <v>631</v>
      </c>
      <c r="BB276" s="1">
        <v>288</v>
      </c>
      <c r="BC276" s="1">
        <v>202</v>
      </c>
      <c r="BF276" t="s">
        <v>1403</v>
      </c>
      <c r="BG276" t="s">
        <v>104</v>
      </c>
    </row>
    <row r="277" spans="1:59" x14ac:dyDescent="0.25">
      <c r="A277" t="s">
        <v>1720</v>
      </c>
      <c r="B277" t="s">
        <v>1721</v>
      </c>
      <c r="C277" s="1">
        <v>208</v>
      </c>
      <c r="D277" s="1">
        <v>1985</v>
      </c>
      <c r="E277" t="s">
        <v>64</v>
      </c>
      <c r="F277" t="s">
        <v>409</v>
      </c>
      <c r="G277" t="s">
        <v>193</v>
      </c>
      <c r="H277" t="s">
        <v>1722</v>
      </c>
      <c r="I277" t="s">
        <v>1723</v>
      </c>
      <c r="J277" t="s">
        <v>193</v>
      </c>
      <c r="K277" s="1">
        <v>3</v>
      </c>
      <c r="L277" t="s">
        <v>91</v>
      </c>
      <c r="M277" t="s">
        <v>70</v>
      </c>
      <c r="N277" t="s">
        <v>71</v>
      </c>
      <c r="O277" t="s">
        <v>128</v>
      </c>
      <c r="P277" t="s">
        <v>72</v>
      </c>
      <c r="Q277" t="s">
        <v>110</v>
      </c>
      <c r="R277" t="s">
        <v>74</v>
      </c>
      <c r="S277" t="s">
        <v>1724</v>
      </c>
      <c r="T277" s="2">
        <v>804</v>
      </c>
      <c r="U277" s="3">
        <v>1.38</v>
      </c>
      <c r="V277" s="4">
        <v>1113</v>
      </c>
      <c r="AF277" s="5">
        <v>13.942299999999999</v>
      </c>
      <c r="AH277" s="1">
        <v>2005</v>
      </c>
      <c r="AI277" s="1">
        <v>2</v>
      </c>
      <c r="AJ277" t="s">
        <v>81</v>
      </c>
      <c r="AK277" t="s">
        <v>82</v>
      </c>
      <c r="AL277" t="s">
        <v>83</v>
      </c>
      <c r="AM277" s="3">
        <v>1.32</v>
      </c>
      <c r="AN277" s="4">
        <v>1267</v>
      </c>
      <c r="AO277" s="1">
        <v>957</v>
      </c>
      <c r="AS277" s="3">
        <v>629619.84</v>
      </c>
      <c r="AW277" t="s">
        <v>84</v>
      </c>
      <c r="AY277" s="3">
        <v>1.46</v>
      </c>
      <c r="AZ277" s="4">
        <v>970</v>
      </c>
      <c r="BA277" s="1">
        <v>663</v>
      </c>
      <c r="BB277" s="1">
        <v>108</v>
      </c>
      <c r="BC277" s="1">
        <v>100</v>
      </c>
      <c r="BG277" t="s">
        <v>131</v>
      </c>
    </row>
    <row r="278" spans="1:59" x14ac:dyDescent="0.25">
      <c r="A278" t="s">
        <v>1725</v>
      </c>
      <c r="B278" t="s">
        <v>1726</v>
      </c>
      <c r="C278" s="1">
        <v>64</v>
      </c>
      <c r="D278" s="1">
        <v>1986</v>
      </c>
      <c r="E278" t="s">
        <v>64</v>
      </c>
      <c r="F278" t="s">
        <v>995</v>
      </c>
      <c r="G278" t="s">
        <v>1727</v>
      </c>
      <c r="H278" t="s">
        <v>1728</v>
      </c>
      <c r="I278" t="s">
        <v>1729</v>
      </c>
      <c r="J278" t="s">
        <v>1727</v>
      </c>
      <c r="K278" s="1">
        <v>3</v>
      </c>
      <c r="L278" t="s">
        <v>69</v>
      </c>
      <c r="M278" t="s">
        <v>70</v>
      </c>
      <c r="N278" t="s">
        <v>71</v>
      </c>
      <c r="P278" t="s">
        <v>72</v>
      </c>
      <c r="Q278" t="s">
        <v>73</v>
      </c>
      <c r="R278" t="s">
        <v>74</v>
      </c>
      <c r="S278" t="s">
        <v>1730</v>
      </c>
      <c r="T278" s="2">
        <v>722</v>
      </c>
      <c r="U278" s="3">
        <v>1.28</v>
      </c>
      <c r="V278" s="4">
        <v>923</v>
      </c>
      <c r="AF278" s="5">
        <v>3.125</v>
      </c>
      <c r="AI278" s="1">
        <v>3</v>
      </c>
      <c r="AJ278" t="s">
        <v>81</v>
      </c>
      <c r="AK278" t="s">
        <v>82</v>
      </c>
      <c r="AL278" t="s">
        <v>83</v>
      </c>
      <c r="AM278" s="3">
        <v>1.35</v>
      </c>
      <c r="AN278" s="4">
        <v>1162</v>
      </c>
      <c r="AO278" s="1">
        <v>863</v>
      </c>
      <c r="AS278" s="3">
        <v>189307.76</v>
      </c>
      <c r="AW278" t="s">
        <v>84</v>
      </c>
      <c r="AY278" s="3">
        <v>1.23</v>
      </c>
      <c r="AZ278" s="4">
        <v>798</v>
      </c>
      <c r="BA278" s="1">
        <v>649</v>
      </c>
      <c r="BB278" s="1">
        <v>42</v>
      </c>
      <c r="BC278" s="1">
        <v>22</v>
      </c>
      <c r="BF278" t="s">
        <v>1731</v>
      </c>
      <c r="BG278" t="s">
        <v>104</v>
      </c>
    </row>
    <row r="279" spans="1:59" x14ac:dyDescent="0.25">
      <c r="A279" t="s">
        <v>1732</v>
      </c>
      <c r="B279" t="s">
        <v>1733</v>
      </c>
      <c r="C279" s="1">
        <v>168</v>
      </c>
      <c r="D279" s="1">
        <v>1987</v>
      </c>
      <c r="E279" t="s">
        <v>64</v>
      </c>
      <c r="F279" t="s">
        <v>1734</v>
      </c>
      <c r="G279" t="s">
        <v>1735</v>
      </c>
      <c r="H279" t="s">
        <v>1736</v>
      </c>
      <c r="I279" t="s">
        <v>1737</v>
      </c>
      <c r="J279" t="s">
        <v>1735</v>
      </c>
      <c r="K279" s="1">
        <v>3</v>
      </c>
      <c r="L279" t="s">
        <v>91</v>
      </c>
      <c r="M279" t="s">
        <v>70</v>
      </c>
      <c r="N279" t="s">
        <v>71</v>
      </c>
      <c r="P279" t="s">
        <v>72</v>
      </c>
      <c r="Q279" t="s">
        <v>664</v>
      </c>
      <c r="R279" t="s">
        <v>74</v>
      </c>
      <c r="S279" t="s">
        <v>1738</v>
      </c>
      <c r="T279" s="2">
        <v>775</v>
      </c>
      <c r="U279" s="3">
        <v>1.72</v>
      </c>
      <c r="V279" s="4">
        <v>1329</v>
      </c>
      <c r="AF279" s="5">
        <v>10.119</v>
      </c>
      <c r="AI279" s="1">
        <v>2</v>
      </c>
      <c r="AJ279" t="s">
        <v>81</v>
      </c>
      <c r="AK279" t="s">
        <v>82</v>
      </c>
      <c r="AL279" t="s">
        <v>83</v>
      </c>
      <c r="AM279" s="3">
        <v>1.72</v>
      </c>
      <c r="AN279" s="4">
        <v>1605</v>
      </c>
      <c r="AO279" s="1">
        <v>935</v>
      </c>
      <c r="AS279" s="3">
        <v>353797.27</v>
      </c>
      <c r="AW279" t="s">
        <v>84</v>
      </c>
      <c r="AY279" s="3">
        <v>1.71</v>
      </c>
      <c r="AZ279" s="4">
        <v>1123</v>
      </c>
      <c r="BA279" s="1">
        <v>655</v>
      </c>
      <c r="BB279" s="1">
        <v>96</v>
      </c>
      <c r="BC279" s="1">
        <v>72</v>
      </c>
      <c r="BF279" t="s">
        <v>1739</v>
      </c>
      <c r="BG279" t="s">
        <v>104</v>
      </c>
    </row>
    <row r="280" spans="1:59" x14ac:dyDescent="0.25">
      <c r="A280" t="s">
        <v>1740</v>
      </c>
      <c r="B280" t="s">
        <v>1741</v>
      </c>
      <c r="C280" s="1">
        <v>120</v>
      </c>
      <c r="D280" s="1">
        <v>1985</v>
      </c>
      <c r="E280" t="s">
        <v>64</v>
      </c>
      <c r="F280" t="s">
        <v>114</v>
      </c>
      <c r="G280" t="s">
        <v>890</v>
      </c>
      <c r="H280" t="s">
        <v>1742</v>
      </c>
      <c r="I280" t="s">
        <v>1743</v>
      </c>
      <c r="J280" t="s">
        <v>890</v>
      </c>
      <c r="K280" s="1">
        <v>3</v>
      </c>
      <c r="L280" t="s">
        <v>69</v>
      </c>
      <c r="M280" t="s">
        <v>70</v>
      </c>
      <c r="N280" t="s">
        <v>71</v>
      </c>
      <c r="P280" t="s">
        <v>72</v>
      </c>
      <c r="Q280" t="s">
        <v>356</v>
      </c>
      <c r="R280" t="s">
        <v>74</v>
      </c>
      <c r="S280" t="s">
        <v>357</v>
      </c>
      <c r="T280" s="2">
        <v>889</v>
      </c>
      <c r="U280" s="3">
        <v>1.39</v>
      </c>
      <c r="V280" s="4">
        <v>1235</v>
      </c>
      <c r="AF280" s="5">
        <v>9.1667000000000005</v>
      </c>
      <c r="AH280" s="1">
        <v>2005</v>
      </c>
      <c r="AI280" s="1">
        <v>2</v>
      </c>
      <c r="AJ280" t="s">
        <v>81</v>
      </c>
      <c r="AK280" t="s">
        <v>82</v>
      </c>
      <c r="AL280" t="s">
        <v>83</v>
      </c>
      <c r="AM280" s="3">
        <v>1.33</v>
      </c>
      <c r="AN280" s="4">
        <v>1234</v>
      </c>
      <c r="AO280" s="1">
        <v>925</v>
      </c>
      <c r="AP280" s="3">
        <v>1.37</v>
      </c>
      <c r="AQ280" s="4">
        <v>1591</v>
      </c>
      <c r="AR280" s="1">
        <v>1158</v>
      </c>
      <c r="AS280" s="3">
        <v>336543.09</v>
      </c>
      <c r="AW280" t="s">
        <v>84</v>
      </c>
      <c r="AY280" s="3">
        <v>1.7</v>
      </c>
      <c r="AZ280" s="4">
        <v>1004</v>
      </c>
      <c r="BA280" s="1">
        <v>590</v>
      </c>
      <c r="BB280" s="1">
        <v>24</v>
      </c>
      <c r="BC280" s="1">
        <v>80</v>
      </c>
      <c r="BD280" s="1">
        <v>16</v>
      </c>
      <c r="BG280" t="s">
        <v>131</v>
      </c>
    </row>
    <row r="281" spans="1:59" x14ac:dyDescent="0.25">
      <c r="A281" t="s">
        <v>1744</v>
      </c>
      <c r="B281" t="s">
        <v>1745</v>
      </c>
      <c r="C281" s="1">
        <v>55</v>
      </c>
      <c r="D281" s="1">
        <v>1985</v>
      </c>
      <c r="E281" t="s">
        <v>64</v>
      </c>
      <c r="F281" t="s">
        <v>1302</v>
      </c>
      <c r="G281" t="s">
        <v>1746</v>
      </c>
      <c r="H281" t="s">
        <v>1747</v>
      </c>
      <c r="I281" t="s">
        <v>1748</v>
      </c>
      <c r="J281" t="s">
        <v>1746</v>
      </c>
      <c r="K281" s="1">
        <v>2</v>
      </c>
      <c r="L281" t="s">
        <v>69</v>
      </c>
      <c r="M281" t="s">
        <v>70</v>
      </c>
      <c r="N281" t="s">
        <v>71</v>
      </c>
      <c r="P281" t="s">
        <v>72</v>
      </c>
      <c r="Q281" t="s">
        <v>523</v>
      </c>
      <c r="R281" t="s">
        <v>74</v>
      </c>
      <c r="S281" t="s">
        <v>1749</v>
      </c>
      <c r="T281" s="2">
        <v>782</v>
      </c>
      <c r="U281" s="3">
        <v>1.41</v>
      </c>
      <c r="V281" s="4">
        <v>1104</v>
      </c>
      <c r="AF281" s="5">
        <v>5.4545000000000003</v>
      </c>
      <c r="AH281" s="1">
        <v>2019</v>
      </c>
      <c r="AI281" s="1">
        <v>2</v>
      </c>
      <c r="AJ281" t="s">
        <v>81</v>
      </c>
      <c r="AK281" t="s">
        <v>82</v>
      </c>
      <c r="AL281" t="s">
        <v>83</v>
      </c>
      <c r="AM281" s="3">
        <v>1.4</v>
      </c>
      <c r="AN281" s="4">
        <v>1152</v>
      </c>
      <c r="AO281" s="1">
        <v>823</v>
      </c>
      <c r="AS281" s="3">
        <v>128721.65</v>
      </c>
      <c r="AW281" t="s">
        <v>84</v>
      </c>
      <c r="AY281" s="3">
        <v>1.44</v>
      </c>
      <c r="AZ281" s="4">
        <v>998</v>
      </c>
      <c r="BA281" s="1">
        <v>693</v>
      </c>
      <c r="BB281" s="1">
        <v>17</v>
      </c>
      <c r="BC281" s="1">
        <v>38</v>
      </c>
      <c r="BG281" t="s">
        <v>131</v>
      </c>
    </row>
    <row r="282" spans="1:59" x14ac:dyDescent="0.25">
      <c r="A282" t="s">
        <v>1750</v>
      </c>
      <c r="B282" t="s">
        <v>1751</v>
      </c>
      <c r="C282" s="1">
        <v>746</v>
      </c>
      <c r="D282" s="1">
        <v>1985</v>
      </c>
      <c r="E282" t="s">
        <v>64</v>
      </c>
      <c r="F282" t="s">
        <v>872</v>
      </c>
      <c r="G282" t="s">
        <v>1155</v>
      </c>
      <c r="H282" t="s">
        <v>1752</v>
      </c>
      <c r="I282" t="s">
        <v>1753</v>
      </c>
      <c r="J282" t="s">
        <v>1155</v>
      </c>
      <c r="K282" s="1">
        <v>3</v>
      </c>
      <c r="L282" t="s">
        <v>69</v>
      </c>
      <c r="M282" t="s">
        <v>70</v>
      </c>
      <c r="N282" t="s">
        <v>127</v>
      </c>
      <c r="P282" t="s">
        <v>72</v>
      </c>
      <c r="Q282" t="s">
        <v>710</v>
      </c>
      <c r="R282" t="s">
        <v>74</v>
      </c>
      <c r="S282" t="s">
        <v>1754</v>
      </c>
      <c r="AF282" s="5">
        <v>10.857900000000001</v>
      </c>
      <c r="AI282" s="1">
        <v>1</v>
      </c>
      <c r="AJ282" t="s">
        <v>81</v>
      </c>
      <c r="AK282" t="s">
        <v>82</v>
      </c>
      <c r="AL282" t="s">
        <v>83</v>
      </c>
      <c r="AS282" s="3">
        <v>434997.34</v>
      </c>
      <c r="AW282" t="s">
        <v>84</v>
      </c>
    </row>
    <row r="283" spans="1:59" x14ac:dyDescent="0.25">
      <c r="A283" t="s">
        <v>1755</v>
      </c>
      <c r="B283" t="s">
        <v>1756</v>
      </c>
      <c r="C283" s="1">
        <v>334</v>
      </c>
      <c r="D283" s="1">
        <v>1985</v>
      </c>
      <c r="E283" t="s">
        <v>64</v>
      </c>
      <c r="F283" t="s">
        <v>123</v>
      </c>
      <c r="G283" t="s">
        <v>390</v>
      </c>
      <c r="H283" t="s">
        <v>1757</v>
      </c>
      <c r="I283" t="s">
        <v>390</v>
      </c>
      <c r="J283" t="s">
        <v>390</v>
      </c>
      <c r="K283" s="1">
        <v>3</v>
      </c>
      <c r="L283" t="s">
        <v>91</v>
      </c>
      <c r="M283" t="s">
        <v>70</v>
      </c>
      <c r="N283" t="s">
        <v>71</v>
      </c>
      <c r="P283" t="s">
        <v>72</v>
      </c>
      <c r="Q283" t="s">
        <v>129</v>
      </c>
      <c r="R283" t="s">
        <v>74</v>
      </c>
      <c r="S283" t="s">
        <v>1758</v>
      </c>
      <c r="T283" s="2">
        <v>697</v>
      </c>
      <c r="U283" s="3">
        <v>1.57</v>
      </c>
      <c r="V283" s="4">
        <v>1095</v>
      </c>
      <c r="AF283" s="5">
        <v>5.6886000000000001</v>
      </c>
      <c r="AH283" s="1">
        <v>2012</v>
      </c>
      <c r="AI283" s="1">
        <v>2</v>
      </c>
      <c r="AJ283" t="s">
        <v>81</v>
      </c>
      <c r="AK283" t="s">
        <v>82</v>
      </c>
      <c r="AL283" t="s">
        <v>83</v>
      </c>
      <c r="AM283" s="3">
        <v>1.44</v>
      </c>
      <c r="AN283" s="4">
        <v>1309</v>
      </c>
      <c r="AO283" s="1">
        <v>910</v>
      </c>
      <c r="AS283" s="3">
        <v>639398.48</v>
      </c>
      <c r="AW283" t="s">
        <v>84</v>
      </c>
      <c r="AY283" s="3">
        <v>1.72</v>
      </c>
      <c r="AZ283" s="4">
        <v>949</v>
      </c>
      <c r="BA283" s="1">
        <v>551</v>
      </c>
      <c r="BB283" s="1">
        <v>198</v>
      </c>
      <c r="BC283" s="1">
        <v>136</v>
      </c>
    </row>
    <row r="284" spans="1:59" x14ac:dyDescent="0.25">
      <c r="A284" t="s">
        <v>1759</v>
      </c>
      <c r="B284" t="s">
        <v>1760</v>
      </c>
      <c r="C284" s="1">
        <v>496</v>
      </c>
      <c r="D284" s="1">
        <v>1985</v>
      </c>
      <c r="E284" t="s">
        <v>64</v>
      </c>
      <c r="F284" t="s">
        <v>1761</v>
      </c>
      <c r="G284" t="s">
        <v>1762</v>
      </c>
      <c r="H284" t="s">
        <v>1763</v>
      </c>
      <c r="I284" t="s">
        <v>1764</v>
      </c>
      <c r="J284" t="s">
        <v>1762</v>
      </c>
      <c r="K284" s="1">
        <v>3</v>
      </c>
      <c r="L284" t="s">
        <v>91</v>
      </c>
      <c r="M284" t="s">
        <v>70</v>
      </c>
      <c r="N284" t="s">
        <v>71</v>
      </c>
      <c r="P284" t="s">
        <v>72</v>
      </c>
      <c r="Q284" t="s">
        <v>73</v>
      </c>
      <c r="R284" t="s">
        <v>74</v>
      </c>
      <c r="S284" t="s">
        <v>75</v>
      </c>
      <c r="T284" s="2">
        <v>900</v>
      </c>
      <c r="U284" s="3">
        <v>2.14</v>
      </c>
      <c r="V284" s="4">
        <v>1923</v>
      </c>
      <c r="AF284" s="5">
        <v>5.6452</v>
      </c>
      <c r="AI284" s="1">
        <v>3</v>
      </c>
      <c r="AJ284" t="s">
        <v>81</v>
      </c>
      <c r="AK284" t="s">
        <v>82</v>
      </c>
      <c r="AL284" t="s">
        <v>83</v>
      </c>
      <c r="AM284" s="3">
        <v>2.0499999999999998</v>
      </c>
      <c r="AN284" s="4">
        <v>2017</v>
      </c>
      <c r="AO284" s="1">
        <v>985</v>
      </c>
      <c r="AS284" s="3">
        <v>1297996.1200000001</v>
      </c>
      <c r="AW284" t="s">
        <v>84</v>
      </c>
      <c r="AY284" s="3">
        <v>2.25</v>
      </c>
      <c r="AZ284" s="4">
        <v>1822</v>
      </c>
      <c r="BA284" s="1">
        <v>809</v>
      </c>
      <c r="BB284" s="1">
        <v>239</v>
      </c>
      <c r="BC284" s="1">
        <v>257</v>
      </c>
      <c r="BF284" t="s">
        <v>386</v>
      </c>
      <c r="BG284" t="s">
        <v>131</v>
      </c>
    </row>
    <row r="285" spans="1:59" x14ac:dyDescent="0.25">
      <c r="A285" t="s">
        <v>1765</v>
      </c>
      <c r="B285" t="s">
        <v>1766</v>
      </c>
      <c r="C285" s="1">
        <v>396</v>
      </c>
      <c r="D285" s="1">
        <v>1985</v>
      </c>
      <c r="E285" t="s">
        <v>64</v>
      </c>
      <c r="F285" t="s">
        <v>110</v>
      </c>
      <c r="G285" t="s">
        <v>687</v>
      </c>
      <c r="H285" t="s">
        <v>1767</v>
      </c>
      <c r="I285" t="s">
        <v>1768</v>
      </c>
      <c r="J285" t="s">
        <v>687</v>
      </c>
      <c r="K285" s="1">
        <v>3</v>
      </c>
      <c r="L285" t="s">
        <v>69</v>
      </c>
      <c r="M285" t="s">
        <v>70</v>
      </c>
      <c r="N285" t="s">
        <v>71</v>
      </c>
      <c r="P285" t="s">
        <v>72</v>
      </c>
      <c r="Q285" t="s">
        <v>110</v>
      </c>
      <c r="R285" t="s">
        <v>74</v>
      </c>
      <c r="S285" t="s">
        <v>1769</v>
      </c>
      <c r="T285" s="2">
        <v>566</v>
      </c>
      <c r="U285" s="3">
        <v>1.69</v>
      </c>
      <c r="V285" s="4">
        <v>958</v>
      </c>
      <c r="AF285" s="5">
        <v>5.8080999999999996</v>
      </c>
      <c r="AI285" s="1">
        <v>3</v>
      </c>
      <c r="AJ285" t="s">
        <v>81</v>
      </c>
      <c r="AK285" t="s">
        <v>82</v>
      </c>
      <c r="AL285" t="s">
        <v>83</v>
      </c>
      <c r="AM285" s="3">
        <v>1.73</v>
      </c>
      <c r="AN285" s="4">
        <v>1313</v>
      </c>
      <c r="AO285" s="1">
        <v>759</v>
      </c>
      <c r="AS285" s="3">
        <v>848005.04</v>
      </c>
      <c r="AT285" s="3">
        <v>1.81</v>
      </c>
      <c r="AU285" s="4">
        <v>842</v>
      </c>
      <c r="AV285" s="6">
        <v>466</v>
      </c>
      <c r="AW285" t="s">
        <v>84</v>
      </c>
      <c r="AY285" s="3">
        <v>1.61</v>
      </c>
      <c r="AZ285" s="4">
        <v>982</v>
      </c>
      <c r="BA285" s="1">
        <v>610</v>
      </c>
      <c r="BB285" s="1">
        <v>195</v>
      </c>
      <c r="BC285" s="1">
        <v>40</v>
      </c>
      <c r="BG285" t="s">
        <v>131</v>
      </c>
    </row>
    <row r="286" spans="1:59" x14ac:dyDescent="0.25">
      <c r="A286" t="s">
        <v>1770</v>
      </c>
      <c r="B286" t="s">
        <v>1771</v>
      </c>
      <c r="C286" s="1">
        <v>380</v>
      </c>
      <c r="D286" s="1">
        <v>1985</v>
      </c>
      <c r="E286" t="s">
        <v>64</v>
      </c>
      <c r="F286" t="s">
        <v>308</v>
      </c>
      <c r="G286" t="s">
        <v>502</v>
      </c>
      <c r="H286" t="s">
        <v>1772</v>
      </c>
      <c r="I286" t="s">
        <v>1773</v>
      </c>
      <c r="J286" t="s">
        <v>502</v>
      </c>
      <c r="K286" s="1">
        <v>3</v>
      </c>
      <c r="L286" t="s">
        <v>91</v>
      </c>
      <c r="M286" t="s">
        <v>70</v>
      </c>
      <c r="N286" t="s">
        <v>71</v>
      </c>
      <c r="P286" t="s">
        <v>72</v>
      </c>
      <c r="Q286" t="s">
        <v>232</v>
      </c>
      <c r="R286" t="s">
        <v>74</v>
      </c>
      <c r="S286" t="s">
        <v>1774</v>
      </c>
      <c r="T286" s="2">
        <v>779</v>
      </c>
      <c r="U286" s="3">
        <v>1.34</v>
      </c>
      <c r="V286" s="4">
        <v>1048</v>
      </c>
      <c r="AF286" s="5">
        <v>10.526300000000001</v>
      </c>
      <c r="AI286" s="1">
        <v>2</v>
      </c>
      <c r="AJ286" t="s">
        <v>81</v>
      </c>
      <c r="AK286" t="s">
        <v>82</v>
      </c>
      <c r="AL286" t="s">
        <v>83</v>
      </c>
      <c r="AM286" s="3">
        <v>1.36</v>
      </c>
      <c r="AN286" s="4">
        <v>1226</v>
      </c>
      <c r="AO286" s="1">
        <v>900</v>
      </c>
      <c r="AS286" s="3">
        <v>1094020.32</v>
      </c>
      <c r="AW286" t="s">
        <v>84</v>
      </c>
      <c r="AY286" s="3">
        <v>1.33</v>
      </c>
      <c r="AZ286" s="4">
        <v>913</v>
      </c>
      <c r="BA286" s="1">
        <v>688</v>
      </c>
      <c r="BB286" s="1">
        <v>216</v>
      </c>
      <c r="BC286" s="1">
        <v>164</v>
      </c>
      <c r="BF286" t="s">
        <v>1775</v>
      </c>
      <c r="BG286" t="s">
        <v>104</v>
      </c>
    </row>
    <row r="287" spans="1:59" x14ac:dyDescent="0.25">
      <c r="A287" t="s">
        <v>1776</v>
      </c>
      <c r="B287" t="s">
        <v>1777</v>
      </c>
      <c r="C287" s="1">
        <v>158</v>
      </c>
      <c r="D287" s="1">
        <v>1986</v>
      </c>
      <c r="E287" t="s">
        <v>64</v>
      </c>
      <c r="F287" t="s">
        <v>360</v>
      </c>
      <c r="G287" t="s">
        <v>1778</v>
      </c>
      <c r="H287" t="s">
        <v>1779</v>
      </c>
      <c r="I287" t="s">
        <v>1780</v>
      </c>
      <c r="J287" t="s">
        <v>1778</v>
      </c>
      <c r="K287" s="1">
        <v>3</v>
      </c>
      <c r="L287" t="s">
        <v>69</v>
      </c>
      <c r="M287" t="s">
        <v>70</v>
      </c>
      <c r="N287" t="s">
        <v>71</v>
      </c>
      <c r="P287" t="s">
        <v>72</v>
      </c>
      <c r="Q287" t="s">
        <v>73</v>
      </c>
      <c r="R287" t="s">
        <v>74</v>
      </c>
      <c r="S287" t="s">
        <v>1781</v>
      </c>
      <c r="T287" s="2">
        <v>844</v>
      </c>
      <c r="U287" s="3">
        <v>1.39</v>
      </c>
      <c r="V287" s="4">
        <v>1176</v>
      </c>
      <c r="AF287" s="5">
        <v>7.5949</v>
      </c>
      <c r="AI287" s="1">
        <v>3</v>
      </c>
      <c r="AJ287" t="s">
        <v>81</v>
      </c>
      <c r="AK287" t="s">
        <v>82</v>
      </c>
      <c r="AL287" t="s">
        <v>83</v>
      </c>
      <c r="AM287" s="3">
        <v>1.36</v>
      </c>
      <c r="AN287" s="4">
        <v>1190</v>
      </c>
      <c r="AO287" s="1">
        <v>873</v>
      </c>
      <c r="AP287" s="3">
        <v>1.29</v>
      </c>
      <c r="AQ287" s="4">
        <v>1360</v>
      </c>
      <c r="AR287" s="1">
        <v>1050</v>
      </c>
      <c r="AS287" s="3">
        <v>267086.08000000002</v>
      </c>
      <c r="AW287" t="s">
        <v>84</v>
      </c>
      <c r="AY287" s="3">
        <v>1.66</v>
      </c>
      <c r="AZ287" s="4">
        <v>977</v>
      </c>
      <c r="BA287" s="1">
        <v>590</v>
      </c>
      <c r="BB287" s="1">
        <v>36</v>
      </c>
      <c r="BC287" s="1">
        <v>90</v>
      </c>
      <c r="BD287" s="1">
        <v>32</v>
      </c>
      <c r="BF287" t="s">
        <v>892</v>
      </c>
      <c r="BG287" t="s">
        <v>104</v>
      </c>
    </row>
    <row r="288" spans="1:59" x14ac:dyDescent="0.25">
      <c r="A288" t="s">
        <v>1782</v>
      </c>
      <c r="B288" t="s">
        <v>1783</v>
      </c>
      <c r="C288" s="1">
        <v>240</v>
      </c>
      <c r="D288" s="1">
        <v>1985</v>
      </c>
      <c r="E288" t="s">
        <v>64</v>
      </c>
      <c r="F288" t="s">
        <v>1666</v>
      </c>
      <c r="G288" t="s">
        <v>1784</v>
      </c>
      <c r="H288" t="s">
        <v>1785</v>
      </c>
      <c r="I288" t="s">
        <v>1786</v>
      </c>
      <c r="J288" t="s">
        <v>1784</v>
      </c>
      <c r="K288" s="1">
        <v>3</v>
      </c>
      <c r="L288" t="s">
        <v>69</v>
      </c>
      <c r="M288" t="s">
        <v>70</v>
      </c>
      <c r="N288" t="s">
        <v>71</v>
      </c>
      <c r="P288" t="s">
        <v>72</v>
      </c>
      <c r="Q288" t="s">
        <v>73</v>
      </c>
      <c r="R288" t="s">
        <v>74</v>
      </c>
      <c r="S288" t="s">
        <v>379</v>
      </c>
      <c r="T288" s="2">
        <v>870</v>
      </c>
      <c r="U288" s="3">
        <v>1.38</v>
      </c>
      <c r="V288" s="4">
        <v>1203</v>
      </c>
      <c r="AF288" s="5">
        <v>12.5</v>
      </c>
      <c r="AI288" s="1">
        <v>3</v>
      </c>
      <c r="AJ288" t="s">
        <v>81</v>
      </c>
      <c r="AK288" t="s">
        <v>82</v>
      </c>
      <c r="AL288" t="s">
        <v>83</v>
      </c>
      <c r="AM288" s="3">
        <v>1.33</v>
      </c>
      <c r="AN288" s="4">
        <v>1181</v>
      </c>
      <c r="AO288" s="1">
        <v>884</v>
      </c>
      <c r="AP288" s="3">
        <v>1.38</v>
      </c>
      <c r="AQ288" s="4">
        <v>1500</v>
      </c>
      <c r="AR288" s="1">
        <v>1087</v>
      </c>
      <c r="AS288" s="3">
        <v>482766.48</v>
      </c>
      <c r="AW288" t="s">
        <v>84</v>
      </c>
      <c r="AY288" s="3">
        <v>1.49</v>
      </c>
      <c r="AZ288" s="4">
        <v>975</v>
      </c>
      <c r="BA288" s="1">
        <v>657</v>
      </c>
      <c r="BB288" s="1">
        <v>70</v>
      </c>
      <c r="BC288" s="1">
        <v>108</v>
      </c>
      <c r="BD288" s="1">
        <v>62</v>
      </c>
      <c r="BF288" t="s">
        <v>987</v>
      </c>
      <c r="BG288" t="s">
        <v>744</v>
      </c>
    </row>
    <row r="289" spans="1:59" x14ac:dyDescent="0.25">
      <c r="A289" t="s">
        <v>1787</v>
      </c>
      <c r="B289" t="s">
        <v>1788</v>
      </c>
      <c r="C289" s="1">
        <v>240</v>
      </c>
      <c r="D289" s="1">
        <v>1987</v>
      </c>
      <c r="E289" t="s">
        <v>64</v>
      </c>
      <c r="F289" t="s">
        <v>123</v>
      </c>
      <c r="G289" t="s">
        <v>1789</v>
      </c>
      <c r="H289" t="s">
        <v>1790</v>
      </c>
      <c r="I289" t="s">
        <v>1791</v>
      </c>
      <c r="J289" t="s">
        <v>1789</v>
      </c>
      <c r="K289" s="1">
        <v>3</v>
      </c>
      <c r="L289" t="s">
        <v>91</v>
      </c>
      <c r="M289" t="s">
        <v>70</v>
      </c>
      <c r="N289" t="s">
        <v>71</v>
      </c>
      <c r="P289" t="s">
        <v>72</v>
      </c>
      <c r="Q289" t="s">
        <v>129</v>
      </c>
      <c r="R289" t="s">
        <v>74</v>
      </c>
      <c r="S289" t="s">
        <v>1792</v>
      </c>
      <c r="T289" s="2">
        <v>897</v>
      </c>
      <c r="U289" s="3">
        <v>1.74</v>
      </c>
      <c r="V289" s="4">
        <v>1565</v>
      </c>
      <c r="AF289" s="5">
        <v>4.1666999999999996</v>
      </c>
      <c r="AI289" s="1">
        <v>3</v>
      </c>
      <c r="AJ289" t="s">
        <v>81</v>
      </c>
      <c r="AK289" t="s">
        <v>82</v>
      </c>
      <c r="AL289" t="s">
        <v>83</v>
      </c>
      <c r="AM289" s="3">
        <v>1.7</v>
      </c>
      <c r="AN289" s="4">
        <v>1632</v>
      </c>
      <c r="AO289" s="1">
        <v>960</v>
      </c>
      <c r="AS289" s="3">
        <v>557529.15</v>
      </c>
      <c r="AW289" t="s">
        <v>84</v>
      </c>
      <c r="AY289" s="3">
        <v>1.92</v>
      </c>
      <c r="AZ289" s="4">
        <v>1365</v>
      </c>
      <c r="BA289" s="1">
        <v>710</v>
      </c>
      <c r="BB289" s="1">
        <v>60</v>
      </c>
      <c r="BC289" s="1">
        <v>180</v>
      </c>
      <c r="BG289" t="s">
        <v>131</v>
      </c>
    </row>
    <row r="290" spans="1:59" x14ac:dyDescent="0.25">
      <c r="A290" t="s">
        <v>1793</v>
      </c>
      <c r="B290" t="s">
        <v>1794</v>
      </c>
      <c r="C290" s="1">
        <v>432</v>
      </c>
      <c r="D290" s="1">
        <v>1986</v>
      </c>
      <c r="E290" t="s">
        <v>64</v>
      </c>
      <c r="F290" t="s">
        <v>514</v>
      </c>
      <c r="G290" t="s">
        <v>1499</v>
      </c>
      <c r="H290" t="s">
        <v>1795</v>
      </c>
      <c r="I290" t="s">
        <v>1796</v>
      </c>
      <c r="J290" t="s">
        <v>1499</v>
      </c>
      <c r="K290" s="1">
        <v>3</v>
      </c>
      <c r="L290" t="s">
        <v>91</v>
      </c>
      <c r="M290" t="s">
        <v>70</v>
      </c>
      <c r="N290" t="s">
        <v>71</v>
      </c>
      <c r="P290" t="s">
        <v>72</v>
      </c>
      <c r="Q290" t="s">
        <v>264</v>
      </c>
      <c r="R290" t="s">
        <v>74</v>
      </c>
      <c r="S290" t="s">
        <v>517</v>
      </c>
      <c r="T290" s="2">
        <v>865</v>
      </c>
      <c r="U290" s="3">
        <v>1.75</v>
      </c>
      <c r="V290" s="4">
        <v>1511</v>
      </c>
      <c r="AF290" s="5">
        <v>5.5556000000000001</v>
      </c>
      <c r="AH290" s="1">
        <v>1995</v>
      </c>
      <c r="AI290" s="1">
        <v>3</v>
      </c>
      <c r="AJ290" t="s">
        <v>81</v>
      </c>
      <c r="AK290" t="s">
        <v>82</v>
      </c>
      <c r="AL290" t="s">
        <v>83</v>
      </c>
      <c r="AM290" s="3">
        <v>1.62</v>
      </c>
      <c r="AN290" s="4">
        <v>1698</v>
      </c>
      <c r="AO290" s="1">
        <v>1047</v>
      </c>
      <c r="AP290" s="3">
        <v>1.81</v>
      </c>
      <c r="AQ290" s="4">
        <v>2325</v>
      </c>
      <c r="AR290" s="1">
        <v>1285</v>
      </c>
      <c r="AS290" s="3">
        <v>1326650.8500000001</v>
      </c>
      <c r="AW290" t="s">
        <v>84</v>
      </c>
      <c r="AY290" s="3">
        <v>1.86</v>
      </c>
      <c r="AZ290" s="4">
        <v>1370</v>
      </c>
      <c r="BA290" s="1">
        <v>737</v>
      </c>
      <c r="BB290" s="1">
        <v>258</v>
      </c>
      <c r="BC290" s="1">
        <v>168</v>
      </c>
      <c r="BD290" s="1">
        <v>6</v>
      </c>
    </row>
    <row r="291" spans="1:59" x14ac:dyDescent="0.25">
      <c r="A291" t="s">
        <v>1797</v>
      </c>
      <c r="B291" t="s">
        <v>1798</v>
      </c>
      <c r="C291" s="1">
        <v>726</v>
      </c>
      <c r="D291" s="1">
        <v>1986</v>
      </c>
      <c r="E291" t="s">
        <v>64</v>
      </c>
      <c r="F291" t="s">
        <v>198</v>
      </c>
      <c r="G291" t="s">
        <v>169</v>
      </c>
      <c r="H291" t="s">
        <v>1799</v>
      </c>
      <c r="I291" t="s">
        <v>1800</v>
      </c>
      <c r="J291" t="s">
        <v>169</v>
      </c>
      <c r="K291" s="1">
        <v>3</v>
      </c>
      <c r="L291" t="s">
        <v>91</v>
      </c>
      <c r="M291" t="s">
        <v>70</v>
      </c>
      <c r="N291" t="s">
        <v>71</v>
      </c>
      <c r="P291" t="s">
        <v>72</v>
      </c>
      <c r="Q291" t="s">
        <v>152</v>
      </c>
      <c r="R291" t="s">
        <v>74</v>
      </c>
      <c r="S291" t="s">
        <v>1801</v>
      </c>
      <c r="T291" s="2">
        <v>545</v>
      </c>
      <c r="U291" s="3">
        <v>1.54</v>
      </c>
      <c r="V291" s="4">
        <v>842</v>
      </c>
      <c r="AF291" s="5">
        <v>12.396699999999999</v>
      </c>
      <c r="AH291" s="1">
        <v>2015</v>
      </c>
      <c r="AI291" s="1">
        <v>3</v>
      </c>
      <c r="AJ291" t="s">
        <v>81</v>
      </c>
      <c r="AK291" t="s">
        <v>82</v>
      </c>
      <c r="AL291" t="s">
        <v>83</v>
      </c>
      <c r="AM291" s="3">
        <v>1.62</v>
      </c>
      <c r="AN291" s="4">
        <v>1227</v>
      </c>
      <c r="AO291" s="1">
        <v>759</v>
      </c>
      <c r="AS291" s="3">
        <v>1466559.16</v>
      </c>
      <c r="AW291" t="s">
        <v>84</v>
      </c>
      <c r="AY291" s="3">
        <v>1.53</v>
      </c>
      <c r="AZ291" s="4">
        <v>795</v>
      </c>
      <c r="BA291" s="1">
        <v>519</v>
      </c>
      <c r="BB291" s="1">
        <v>648</v>
      </c>
      <c r="BC291" s="1">
        <v>78</v>
      </c>
      <c r="BF291" t="s">
        <v>1414</v>
      </c>
      <c r="BG291" t="s">
        <v>104</v>
      </c>
    </row>
    <row r="292" spans="1:59" x14ac:dyDescent="0.25">
      <c r="A292" t="s">
        <v>1802</v>
      </c>
      <c r="B292" t="s">
        <v>1803</v>
      </c>
      <c r="C292" s="1">
        <v>328</v>
      </c>
      <c r="D292" s="1">
        <v>1986</v>
      </c>
      <c r="E292" t="s">
        <v>64</v>
      </c>
      <c r="F292" t="s">
        <v>198</v>
      </c>
      <c r="G292" t="s">
        <v>1804</v>
      </c>
      <c r="H292" t="s">
        <v>1805</v>
      </c>
      <c r="I292" t="s">
        <v>1806</v>
      </c>
      <c r="J292" t="s">
        <v>1804</v>
      </c>
      <c r="K292" s="1">
        <v>3</v>
      </c>
      <c r="L292" t="s">
        <v>69</v>
      </c>
      <c r="M292" t="s">
        <v>70</v>
      </c>
      <c r="N292" t="s">
        <v>71</v>
      </c>
      <c r="P292" t="s">
        <v>72</v>
      </c>
      <c r="Q292" t="s">
        <v>152</v>
      </c>
      <c r="R292" t="s">
        <v>74</v>
      </c>
      <c r="S292" t="s">
        <v>1807</v>
      </c>
      <c r="T292" s="2">
        <v>741</v>
      </c>
      <c r="U292" s="3">
        <v>1.44</v>
      </c>
      <c r="V292" s="4">
        <v>1068</v>
      </c>
      <c r="AF292" s="5">
        <v>9.7561</v>
      </c>
      <c r="AI292" s="1">
        <v>2</v>
      </c>
      <c r="AJ292" t="s">
        <v>81</v>
      </c>
      <c r="AK292" t="s">
        <v>82</v>
      </c>
      <c r="AL292" t="s">
        <v>83</v>
      </c>
      <c r="AM292" s="3">
        <v>1.35</v>
      </c>
      <c r="AN292" s="4">
        <v>1269</v>
      </c>
      <c r="AO292" s="1">
        <v>937</v>
      </c>
      <c r="AS292" s="3">
        <v>810693.26</v>
      </c>
      <c r="AW292" t="s">
        <v>84</v>
      </c>
      <c r="AY292" s="3">
        <v>1.53</v>
      </c>
      <c r="AZ292" s="4">
        <v>925</v>
      </c>
      <c r="BA292" s="1">
        <v>603</v>
      </c>
      <c r="BB292" s="1">
        <v>192</v>
      </c>
      <c r="BC292" s="1">
        <v>136</v>
      </c>
      <c r="BG292" t="s">
        <v>131</v>
      </c>
    </row>
    <row r="293" spans="1:59" x14ac:dyDescent="0.25">
      <c r="A293" t="s">
        <v>1808</v>
      </c>
      <c r="B293" t="s">
        <v>1809</v>
      </c>
      <c r="C293" s="1">
        <v>164</v>
      </c>
      <c r="D293" s="1">
        <v>1985</v>
      </c>
      <c r="E293" t="s">
        <v>64</v>
      </c>
      <c r="F293" t="s">
        <v>259</v>
      </c>
      <c r="G293" t="s">
        <v>1810</v>
      </c>
      <c r="I293" t="s">
        <v>1810</v>
      </c>
      <c r="K293" s="1">
        <v>3</v>
      </c>
      <c r="L293" t="s">
        <v>91</v>
      </c>
      <c r="M293" t="s">
        <v>70</v>
      </c>
      <c r="N293" t="s">
        <v>71</v>
      </c>
      <c r="P293" t="s">
        <v>1335</v>
      </c>
      <c r="Q293" t="s">
        <v>259</v>
      </c>
      <c r="R293" t="s">
        <v>74</v>
      </c>
      <c r="S293" t="s">
        <v>1811</v>
      </c>
      <c r="T293" s="2">
        <v>776</v>
      </c>
      <c r="AH293" s="1">
        <v>2006</v>
      </c>
      <c r="AI293" s="1">
        <v>3</v>
      </c>
      <c r="AJ293" t="s">
        <v>81</v>
      </c>
      <c r="AK293" t="s">
        <v>82</v>
      </c>
      <c r="AL293" t="s">
        <v>83</v>
      </c>
      <c r="AO293" s="1">
        <v>920</v>
      </c>
      <c r="AS293" s="3">
        <v>176776.05</v>
      </c>
      <c r="AW293" t="s">
        <v>84</v>
      </c>
      <c r="BA293" s="1">
        <v>689</v>
      </c>
      <c r="BB293" s="1">
        <v>102</v>
      </c>
      <c r="BC293" s="1">
        <v>62</v>
      </c>
    </row>
    <row r="294" spans="1:59" x14ac:dyDescent="0.25">
      <c r="A294" t="s">
        <v>1812</v>
      </c>
      <c r="B294" t="s">
        <v>1813</v>
      </c>
      <c r="C294" s="1">
        <v>168</v>
      </c>
      <c r="D294" s="1">
        <v>1985</v>
      </c>
      <c r="E294" t="s">
        <v>64</v>
      </c>
      <c r="F294" t="s">
        <v>148</v>
      </c>
      <c r="G294" t="s">
        <v>1471</v>
      </c>
      <c r="H294" t="s">
        <v>1814</v>
      </c>
      <c r="I294" t="s">
        <v>1815</v>
      </c>
      <c r="J294" t="s">
        <v>1471</v>
      </c>
      <c r="K294" s="1">
        <v>3</v>
      </c>
      <c r="L294" t="s">
        <v>69</v>
      </c>
      <c r="M294" t="s">
        <v>70</v>
      </c>
      <c r="N294" t="s">
        <v>71</v>
      </c>
      <c r="P294" t="s">
        <v>72</v>
      </c>
      <c r="Q294" t="s">
        <v>152</v>
      </c>
      <c r="R294" t="s">
        <v>74</v>
      </c>
      <c r="S294" t="s">
        <v>1816</v>
      </c>
      <c r="T294" s="2">
        <v>752</v>
      </c>
      <c r="U294" s="3">
        <v>1.54</v>
      </c>
      <c r="V294" s="4">
        <v>1159</v>
      </c>
      <c r="AF294" s="5">
        <v>8.3332999999999995</v>
      </c>
      <c r="AI294" s="1">
        <v>2</v>
      </c>
      <c r="AJ294" t="s">
        <v>81</v>
      </c>
      <c r="AK294" t="s">
        <v>82</v>
      </c>
      <c r="AL294" t="s">
        <v>83</v>
      </c>
      <c r="AM294" s="3">
        <v>1.42</v>
      </c>
      <c r="AN294" s="4">
        <v>1252</v>
      </c>
      <c r="AO294" s="1">
        <v>880</v>
      </c>
      <c r="AP294" s="3">
        <v>1.59</v>
      </c>
      <c r="AQ294" s="4">
        <v>1658</v>
      </c>
      <c r="AR294" s="1">
        <v>1043</v>
      </c>
      <c r="AS294" s="3">
        <v>365502</v>
      </c>
      <c r="AW294" t="s">
        <v>84</v>
      </c>
      <c r="AY294" s="3">
        <v>1.69</v>
      </c>
      <c r="AZ294" s="4">
        <v>976</v>
      </c>
      <c r="BA294" s="1">
        <v>579</v>
      </c>
      <c r="BB294" s="1">
        <v>80</v>
      </c>
      <c r="BC294" s="1">
        <v>72</v>
      </c>
      <c r="BD294" s="1">
        <v>16</v>
      </c>
      <c r="BF294" t="s">
        <v>145</v>
      </c>
      <c r="BG294" t="s">
        <v>104</v>
      </c>
    </row>
    <row r="295" spans="1:59" x14ac:dyDescent="0.25">
      <c r="A295" t="s">
        <v>1817</v>
      </c>
      <c r="B295" t="s">
        <v>1818</v>
      </c>
      <c r="C295" s="1">
        <v>61</v>
      </c>
      <c r="D295" s="1">
        <v>1986</v>
      </c>
      <c r="E295" t="s">
        <v>64</v>
      </c>
      <c r="F295" t="s">
        <v>148</v>
      </c>
      <c r="G295" t="s">
        <v>1819</v>
      </c>
      <c r="H295" t="s">
        <v>1820</v>
      </c>
      <c r="I295" t="s">
        <v>1821</v>
      </c>
      <c r="J295" t="s">
        <v>1819</v>
      </c>
      <c r="K295" s="1">
        <v>2</v>
      </c>
      <c r="L295" t="s">
        <v>69</v>
      </c>
      <c r="M295" t="s">
        <v>70</v>
      </c>
      <c r="N295" t="s">
        <v>71</v>
      </c>
      <c r="P295" t="s">
        <v>72</v>
      </c>
      <c r="Q295" t="s">
        <v>152</v>
      </c>
      <c r="R295" t="s">
        <v>74</v>
      </c>
      <c r="S295" t="s">
        <v>1822</v>
      </c>
      <c r="T295" s="2">
        <v>875</v>
      </c>
      <c r="U295" s="3">
        <v>1.45</v>
      </c>
      <c r="V295" s="4">
        <v>1270</v>
      </c>
      <c r="AI295" s="1">
        <v>2</v>
      </c>
      <c r="AJ295" t="s">
        <v>81</v>
      </c>
      <c r="AK295" t="s">
        <v>82</v>
      </c>
      <c r="AL295" t="s">
        <v>83</v>
      </c>
      <c r="AM295" s="3">
        <v>1.37</v>
      </c>
      <c r="AN295" s="4">
        <v>1347</v>
      </c>
      <c r="AO295" s="1">
        <v>983</v>
      </c>
      <c r="AP295" s="3">
        <v>1.43</v>
      </c>
      <c r="AQ295" s="4">
        <v>1575</v>
      </c>
      <c r="AR295" s="1">
        <v>1100</v>
      </c>
      <c r="AS295" s="3">
        <v>123413.4</v>
      </c>
      <c r="AW295" t="s">
        <v>84</v>
      </c>
      <c r="AY295" s="3">
        <v>1.67</v>
      </c>
      <c r="AZ295" s="4">
        <v>1000</v>
      </c>
      <c r="BA295" s="1">
        <v>598</v>
      </c>
      <c r="BB295" s="1">
        <v>20</v>
      </c>
      <c r="BC295" s="1">
        <v>31</v>
      </c>
      <c r="BD295" s="1">
        <v>10</v>
      </c>
      <c r="BG295" t="s">
        <v>744</v>
      </c>
    </row>
    <row r="296" spans="1:59" x14ac:dyDescent="0.25">
      <c r="A296" t="s">
        <v>1823</v>
      </c>
      <c r="B296" t="s">
        <v>1824</v>
      </c>
      <c r="C296" s="1">
        <v>112</v>
      </c>
      <c r="D296" s="1">
        <v>1985</v>
      </c>
      <c r="E296" t="s">
        <v>64</v>
      </c>
      <c r="F296" t="s">
        <v>215</v>
      </c>
      <c r="G296" t="s">
        <v>220</v>
      </c>
      <c r="H296" t="s">
        <v>1825</v>
      </c>
      <c r="I296" t="s">
        <v>1826</v>
      </c>
      <c r="J296" t="s">
        <v>220</v>
      </c>
      <c r="K296" s="1">
        <v>3</v>
      </c>
      <c r="L296" t="s">
        <v>91</v>
      </c>
      <c r="M296" t="s">
        <v>70</v>
      </c>
      <c r="N296" t="s">
        <v>71</v>
      </c>
      <c r="P296" t="s">
        <v>72</v>
      </c>
      <c r="Q296" t="s">
        <v>215</v>
      </c>
      <c r="R296" t="s">
        <v>74</v>
      </c>
      <c r="S296" t="s">
        <v>1827</v>
      </c>
      <c r="T296" s="2">
        <v>714</v>
      </c>
      <c r="U296" s="3">
        <v>1.47</v>
      </c>
      <c r="V296" s="4">
        <v>1049</v>
      </c>
      <c r="AF296" s="5">
        <v>33.928600000000003</v>
      </c>
      <c r="AI296" s="1">
        <v>2</v>
      </c>
      <c r="AJ296" t="s">
        <v>81</v>
      </c>
      <c r="AK296" t="s">
        <v>82</v>
      </c>
      <c r="AL296" t="s">
        <v>83</v>
      </c>
      <c r="AM296" s="3">
        <v>1.36</v>
      </c>
      <c r="AN296" s="4">
        <v>1100</v>
      </c>
      <c r="AO296" s="1">
        <v>808</v>
      </c>
      <c r="AS296" s="3">
        <v>117902.53</v>
      </c>
      <c r="AW296" t="s">
        <v>84</v>
      </c>
      <c r="AY296" s="3">
        <v>1.6</v>
      </c>
      <c r="AZ296" s="4">
        <v>1000</v>
      </c>
      <c r="BA296" s="1">
        <v>625</v>
      </c>
      <c r="BB296" s="1">
        <v>57</v>
      </c>
      <c r="BC296" s="1">
        <v>55</v>
      </c>
    </row>
    <row r="297" spans="1:59" x14ac:dyDescent="0.25">
      <c r="A297" t="s">
        <v>1828</v>
      </c>
      <c r="B297" t="s">
        <v>1829</v>
      </c>
      <c r="C297" s="1">
        <v>384</v>
      </c>
      <c r="D297" s="1">
        <v>1985</v>
      </c>
      <c r="E297" t="s">
        <v>64</v>
      </c>
      <c r="F297" t="s">
        <v>215</v>
      </c>
      <c r="G297" t="s">
        <v>1155</v>
      </c>
      <c r="H297" t="s">
        <v>1830</v>
      </c>
      <c r="I297" t="s">
        <v>866</v>
      </c>
      <c r="J297" t="s">
        <v>1155</v>
      </c>
      <c r="K297" s="1">
        <v>2</v>
      </c>
      <c r="L297" t="s">
        <v>69</v>
      </c>
      <c r="M297" t="s">
        <v>70</v>
      </c>
      <c r="N297" t="s">
        <v>127</v>
      </c>
      <c r="P297" t="s">
        <v>72</v>
      </c>
      <c r="Q297" t="s">
        <v>215</v>
      </c>
      <c r="R297" t="s">
        <v>74</v>
      </c>
      <c r="S297" t="s">
        <v>1831</v>
      </c>
      <c r="AF297" s="5">
        <v>13.802099999999999</v>
      </c>
      <c r="AI297" s="1">
        <v>1</v>
      </c>
      <c r="AJ297" t="s">
        <v>81</v>
      </c>
      <c r="AK297" t="s">
        <v>82</v>
      </c>
      <c r="AL297" t="s">
        <v>83</v>
      </c>
      <c r="AS297" s="3">
        <v>364949.67</v>
      </c>
      <c r="AW297" t="s">
        <v>84</v>
      </c>
    </row>
    <row r="298" spans="1:59" x14ac:dyDescent="0.25">
      <c r="A298" t="s">
        <v>1832</v>
      </c>
      <c r="B298" t="s">
        <v>1833</v>
      </c>
      <c r="C298" s="1">
        <v>260</v>
      </c>
      <c r="D298" s="1">
        <v>1986</v>
      </c>
      <c r="E298" t="s">
        <v>64</v>
      </c>
      <c r="F298" t="s">
        <v>725</v>
      </c>
      <c r="G298" t="s">
        <v>1834</v>
      </c>
      <c r="H298" t="s">
        <v>1835</v>
      </c>
      <c r="I298" t="s">
        <v>1836</v>
      </c>
      <c r="J298" t="s">
        <v>1834</v>
      </c>
      <c r="K298" s="1">
        <v>3</v>
      </c>
      <c r="L298" t="s">
        <v>91</v>
      </c>
      <c r="M298" t="s">
        <v>70</v>
      </c>
      <c r="N298" t="s">
        <v>71</v>
      </c>
      <c r="P298" t="s">
        <v>72</v>
      </c>
      <c r="Q298" t="s">
        <v>73</v>
      </c>
      <c r="R298" t="s">
        <v>74</v>
      </c>
      <c r="S298" t="s">
        <v>730</v>
      </c>
      <c r="T298" s="2">
        <v>773</v>
      </c>
      <c r="U298" s="3">
        <v>1.46</v>
      </c>
      <c r="V298" s="4">
        <v>1132</v>
      </c>
      <c r="AF298" s="5">
        <v>15</v>
      </c>
      <c r="AH298" s="1">
        <v>2018</v>
      </c>
      <c r="AI298" s="1">
        <v>3</v>
      </c>
      <c r="AJ298" t="s">
        <v>81</v>
      </c>
      <c r="AK298" t="s">
        <v>82</v>
      </c>
      <c r="AL298" t="s">
        <v>83</v>
      </c>
      <c r="AM298" s="3">
        <v>1.32</v>
      </c>
      <c r="AN298" s="4">
        <v>1411</v>
      </c>
      <c r="AO298" s="1">
        <v>1071</v>
      </c>
      <c r="AS298" s="3">
        <v>610505.39</v>
      </c>
      <c r="AW298" t="s">
        <v>84</v>
      </c>
      <c r="AY298" s="3">
        <v>1.58</v>
      </c>
      <c r="AZ298" s="4">
        <v>998</v>
      </c>
      <c r="BA298" s="1">
        <v>632</v>
      </c>
      <c r="BB298" s="1">
        <v>176</v>
      </c>
      <c r="BC298" s="1">
        <v>84</v>
      </c>
      <c r="BG298" t="s">
        <v>131</v>
      </c>
    </row>
    <row r="299" spans="1:59" x14ac:dyDescent="0.25">
      <c r="A299" t="s">
        <v>1837</v>
      </c>
      <c r="B299" t="s">
        <v>1838</v>
      </c>
      <c r="C299" s="1">
        <v>80</v>
      </c>
      <c r="D299" s="1">
        <v>1990</v>
      </c>
      <c r="E299" t="s">
        <v>64</v>
      </c>
      <c r="F299" t="s">
        <v>140</v>
      </c>
      <c r="G299" t="s">
        <v>1839</v>
      </c>
      <c r="I299" t="s">
        <v>1839</v>
      </c>
      <c r="K299" s="1">
        <v>3</v>
      </c>
      <c r="L299" t="s">
        <v>91</v>
      </c>
      <c r="M299" t="s">
        <v>70</v>
      </c>
      <c r="N299" t="s">
        <v>71</v>
      </c>
      <c r="P299" t="s">
        <v>72</v>
      </c>
      <c r="Q299" t="s">
        <v>140</v>
      </c>
      <c r="R299" t="s">
        <v>74</v>
      </c>
      <c r="S299" t="s">
        <v>165</v>
      </c>
      <c r="AI299" s="1">
        <v>2</v>
      </c>
      <c r="AJ299" t="s">
        <v>81</v>
      </c>
      <c r="AK299" t="s">
        <v>82</v>
      </c>
      <c r="AL299" t="s">
        <v>83</v>
      </c>
      <c r="AS299" s="3">
        <v>16770.75</v>
      </c>
      <c r="AW299" t="s">
        <v>84</v>
      </c>
    </row>
    <row r="300" spans="1:59" x14ac:dyDescent="0.25">
      <c r="A300" t="s">
        <v>1840</v>
      </c>
      <c r="B300" t="s">
        <v>1841</v>
      </c>
      <c r="C300" s="1">
        <v>442</v>
      </c>
      <c r="D300" s="1">
        <v>1985</v>
      </c>
      <c r="E300" t="s">
        <v>64</v>
      </c>
      <c r="F300" t="s">
        <v>156</v>
      </c>
      <c r="G300" t="s">
        <v>257</v>
      </c>
      <c r="H300" t="s">
        <v>1842</v>
      </c>
      <c r="I300" t="s">
        <v>1843</v>
      </c>
      <c r="J300" t="s">
        <v>257</v>
      </c>
      <c r="K300" s="1">
        <v>3</v>
      </c>
      <c r="L300" t="s">
        <v>91</v>
      </c>
      <c r="M300" t="s">
        <v>70</v>
      </c>
      <c r="N300" t="s">
        <v>71</v>
      </c>
      <c r="P300" t="s">
        <v>72</v>
      </c>
      <c r="Q300" t="s">
        <v>427</v>
      </c>
      <c r="R300" t="s">
        <v>74</v>
      </c>
      <c r="S300" t="s">
        <v>600</v>
      </c>
      <c r="T300" s="2">
        <v>772</v>
      </c>
      <c r="U300" s="3">
        <v>1.27</v>
      </c>
      <c r="V300" s="4">
        <v>979</v>
      </c>
      <c r="AF300" s="5">
        <v>1.1312</v>
      </c>
      <c r="AH300" s="1">
        <v>1989</v>
      </c>
      <c r="AI300" s="1">
        <v>2</v>
      </c>
      <c r="AJ300" t="s">
        <v>81</v>
      </c>
      <c r="AK300" t="s">
        <v>82</v>
      </c>
      <c r="AL300" t="s">
        <v>83</v>
      </c>
      <c r="AM300" s="3">
        <v>1.21</v>
      </c>
      <c r="AN300" s="4">
        <v>1251</v>
      </c>
      <c r="AO300" s="1">
        <v>1030</v>
      </c>
      <c r="AS300" s="3">
        <v>1205817.4099999999</v>
      </c>
      <c r="AW300" t="s">
        <v>84</v>
      </c>
      <c r="AY300" s="3">
        <v>1.29</v>
      </c>
      <c r="AZ300" s="4">
        <v>899</v>
      </c>
      <c r="BA300" s="1">
        <v>697</v>
      </c>
      <c r="BB300" s="1">
        <v>342</v>
      </c>
      <c r="BC300" s="1">
        <v>100</v>
      </c>
      <c r="BF300" t="s">
        <v>261</v>
      </c>
      <c r="BG300" t="s">
        <v>131</v>
      </c>
    </row>
    <row r="301" spans="1:59" x14ac:dyDescent="0.25">
      <c r="A301" t="s">
        <v>1844</v>
      </c>
      <c r="B301" t="s">
        <v>1845</v>
      </c>
      <c r="C301" s="1">
        <v>61</v>
      </c>
      <c r="D301" s="1">
        <v>1985</v>
      </c>
      <c r="E301" t="s">
        <v>64</v>
      </c>
      <c r="F301" t="s">
        <v>872</v>
      </c>
      <c r="G301" t="s">
        <v>1846</v>
      </c>
      <c r="H301" t="s">
        <v>1847</v>
      </c>
      <c r="I301" t="s">
        <v>1848</v>
      </c>
      <c r="J301" t="s">
        <v>1846</v>
      </c>
      <c r="K301" s="1">
        <v>3</v>
      </c>
      <c r="L301" t="s">
        <v>91</v>
      </c>
      <c r="M301" t="s">
        <v>70</v>
      </c>
      <c r="N301" t="s">
        <v>71</v>
      </c>
      <c r="O301" t="s">
        <v>128</v>
      </c>
      <c r="P301" t="s">
        <v>72</v>
      </c>
      <c r="Q301" t="s">
        <v>710</v>
      </c>
      <c r="R301" t="s">
        <v>74</v>
      </c>
      <c r="S301" t="s">
        <v>1849</v>
      </c>
      <c r="T301" s="2">
        <v>1276</v>
      </c>
      <c r="U301" s="3">
        <v>1.25</v>
      </c>
      <c r="V301" s="4">
        <v>1598</v>
      </c>
      <c r="AF301" s="5">
        <v>9.8361000000000001</v>
      </c>
      <c r="AH301" s="1">
        <v>2006</v>
      </c>
      <c r="AI301" s="1">
        <v>2</v>
      </c>
      <c r="AJ301" t="s">
        <v>81</v>
      </c>
      <c r="AK301" t="s">
        <v>82</v>
      </c>
      <c r="AL301" t="s">
        <v>83</v>
      </c>
      <c r="AM301" s="3">
        <v>1.26</v>
      </c>
      <c r="AN301" s="4">
        <v>1568</v>
      </c>
      <c r="AO301" s="1">
        <v>1248</v>
      </c>
      <c r="AP301" s="3">
        <v>1.21</v>
      </c>
      <c r="AQ301" s="4">
        <v>1741</v>
      </c>
      <c r="AR301" s="1">
        <v>1435</v>
      </c>
      <c r="AS301" s="3">
        <v>109530.54</v>
      </c>
      <c r="AW301" t="s">
        <v>84</v>
      </c>
      <c r="AY301" s="3">
        <v>1.57</v>
      </c>
      <c r="AZ301" s="4">
        <v>1102</v>
      </c>
      <c r="BA301" s="1">
        <v>700</v>
      </c>
      <c r="BB301" s="1">
        <v>5</v>
      </c>
      <c r="BC301" s="1">
        <v>32</v>
      </c>
      <c r="BD301" s="1">
        <v>24</v>
      </c>
      <c r="BG301" t="s">
        <v>131</v>
      </c>
    </row>
    <row r="302" spans="1:59" x14ac:dyDescent="0.25">
      <c r="A302" t="s">
        <v>1850</v>
      </c>
      <c r="B302" t="s">
        <v>1851</v>
      </c>
      <c r="C302" s="1">
        <v>58</v>
      </c>
      <c r="D302" s="1">
        <v>1985</v>
      </c>
      <c r="E302" t="s">
        <v>64</v>
      </c>
      <c r="F302" t="s">
        <v>87</v>
      </c>
      <c r="G302" t="s">
        <v>1852</v>
      </c>
      <c r="I302" t="s">
        <v>1852</v>
      </c>
      <c r="K302" s="1">
        <v>3</v>
      </c>
      <c r="L302" t="s">
        <v>91</v>
      </c>
      <c r="M302" t="s">
        <v>70</v>
      </c>
      <c r="N302" t="s">
        <v>71</v>
      </c>
      <c r="P302" t="s">
        <v>72</v>
      </c>
      <c r="Q302" t="s">
        <v>73</v>
      </c>
      <c r="R302" t="s">
        <v>74</v>
      </c>
      <c r="S302" t="s">
        <v>92</v>
      </c>
      <c r="T302" s="2">
        <v>900</v>
      </c>
      <c r="AI302" s="1">
        <v>2</v>
      </c>
      <c r="AJ302" t="s">
        <v>81</v>
      </c>
      <c r="AK302" t="s">
        <v>82</v>
      </c>
      <c r="AL302" t="s">
        <v>83</v>
      </c>
      <c r="AS302" s="3">
        <v>30015.79</v>
      </c>
      <c r="AW302" t="s">
        <v>84</v>
      </c>
      <c r="BA302" s="1">
        <v>900</v>
      </c>
      <c r="BB302" s="1">
        <v>58</v>
      </c>
    </row>
    <row r="303" spans="1:59" x14ac:dyDescent="0.25">
      <c r="A303" t="s">
        <v>1853</v>
      </c>
      <c r="B303" t="s">
        <v>1854</v>
      </c>
      <c r="C303" s="1">
        <v>304</v>
      </c>
      <c r="D303" s="1">
        <v>1985</v>
      </c>
      <c r="E303" t="s">
        <v>64</v>
      </c>
      <c r="F303" t="s">
        <v>725</v>
      </c>
      <c r="G303" t="s">
        <v>199</v>
      </c>
      <c r="H303" t="s">
        <v>1855</v>
      </c>
      <c r="I303" t="s">
        <v>1856</v>
      </c>
      <c r="J303" t="s">
        <v>199</v>
      </c>
      <c r="K303" s="1">
        <v>3</v>
      </c>
      <c r="L303" t="s">
        <v>91</v>
      </c>
      <c r="M303" t="s">
        <v>70</v>
      </c>
      <c r="N303" t="s">
        <v>71</v>
      </c>
      <c r="P303" t="s">
        <v>72</v>
      </c>
      <c r="Q303" t="s">
        <v>73</v>
      </c>
      <c r="R303" t="s">
        <v>74</v>
      </c>
      <c r="S303" t="s">
        <v>730</v>
      </c>
      <c r="T303" s="2">
        <v>679</v>
      </c>
      <c r="U303" s="3">
        <v>1.9</v>
      </c>
      <c r="V303" s="4">
        <v>1293</v>
      </c>
      <c r="AF303" s="5">
        <v>9.5395000000000003</v>
      </c>
      <c r="AI303" s="1">
        <v>3</v>
      </c>
      <c r="AJ303" t="s">
        <v>81</v>
      </c>
      <c r="AK303" t="s">
        <v>82</v>
      </c>
      <c r="AL303" t="s">
        <v>83</v>
      </c>
      <c r="AM303" s="3">
        <v>1.71</v>
      </c>
      <c r="AN303" s="4">
        <v>1535</v>
      </c>
      <c r="AO303" s="1">
        <v>897</v>
      </c>
      <c r="AS303" s="3">
        <v>656659.15</v>
      </c>
      <c r="AW303" t="s">
        <v>84</v>
      </c>
      <c r="AY303" s="3">
        <v>2.06</v>
      </c>
      <c r="AZ303" s="4">
        <v>1168</v>
      </c>
      <c r="BA303" s="1">
        <v>567</v>
      </c>
      <c r="BB303" s="1">
        <v>200</v>
      </c>
      <c r="BC303" s="1">
        <v>104</v>
      </c>
      <c r="BF303" t="s">
        <v>1060</v>
      </c>
      <c r="BG303" t="s">
        <v>744</v>
      </c>
    </row>
    <row r="304" spans="1:59" x14ac:dyDescent="0.25">
      <c r="A304" t="s">
        <v>1857</v>
      </c>
      <c r="B304" t="s">
        <v>1858</v>
      </c>
      <c r="C304" s="1">
        <v>62</v>
      </c>
      <c r="D304" s="1">
        <v>1985</v>
      </c>
      <c r="E304" t="s">
        <v>64</v>
      </c>
      <c r="F304" t="s">
        <v>228</v>
      </c>
      <c r="G304" t="s">
        <v>1859</v>
      </c>
      <c r="H304" t="s">
        <v>1860</v>
      </c>
      <c r="I304" t="s">
        <v>1861</v>
      </c>
      <c r="J304" t="s">
        <v>1859</v>
      </c>
      <c r="K304" s="1">
        <v>3</v>
      </c>
      <c r="L304" t="s">
        <v>91</v>
      </c>
      <c r="M304" t="s">
        <v>70</v>
      </c>
      <c r="N304" t="s">
        <v>71</v>
      </c>
      <c r="O304" t="s">
        <v>118</v>
      </c>
      <c r="P304" t="s">
        <v>72</v>
      </c>
      <c r="Q304" t="s">
        <v>1862</v>
      </c>
      <c r="R304" t="s">
        <v>74</v>
      </c>
      <c r="S304" t="s">
        <v>1863</v>
      </c>
      <c r="T304" s="2">
        <v>799</v>
      </c>
      <c r="U304" s="3">
        <v>1.46</v>
      </c>
      <c r="V304" s="4">
        <v>1166</v>
      </c>
      <c r="W304" s="4">
        <v>8000000</v>
      </c>
      <c r="Y304" s="4">
        <v>129032</v>
      </c>
      <c r="Z304" t="s">
        <v>1864</v>
      </c>
      <c r="AA304" t="s">
        <v>1865</v>
      </c>
      <c r="AB304" t="s">
        <v>1866</v>
      </c>
      <c r="AC304" t="s">
        <v>1867</v>
      </c>
      <c r="AE304" t="s">
        <v>1868</v>
      </c>
      <c r="AF304" s="5">
        <v>9.6774000000000004</v>
      </c>
      <c r="AI304" s="1">
        <v>2</v>
      </c>
      <c r="AJ304" t="s">
        <v>81</v>
      </c>
      <c r="AK304" t="s">
        <v>82</v>
      </c>
      <c r="AL304" t="s">
        <v>83</v>
      </c>
      <c r="AM304" s="3">
        <v>1.45</v>
      </c>
      <c r="AN304" s="4">
        <v>1193</v>
      </c>
      <c r="AO304" s="1">
        <v>825</v>
      </c>
      <c r="AP304" s="3">
        <v>1.21</v>
      </c>
      <c r="AQ304" s="4">
        <v>1479</v>
      </c>
      <c r="AR304" s="1">
        <v>1224</v>
      </c>
      <c r="AS304" s="3">
        <v>76578.47</v>
      </c>
      <c r="AW304" t="s">
        <v>84</v>
      </c>
      <c r="AY304" s="3">
        <v>1.6</v>
      </c>
      <c r="AZ304" s="4">
        <v>1038</v>
      </c>
      <c r="BA304" s="1">
        <v>650</v>
      </c>
      <c r="BB304" s="1">
        <v>18</v>
      </c>
      <c r="BC304" s="1">
        <v>40</v>
      </c>
      <c r="BD304" s="1">
        <v>4</v>
      </c>
    </row>
    <row r="305" spans="1:62" x14ac:dyDescent="0.25">
      <c r="A305" t="s">
        <v>1869</v>
      </c>
      <c r="B305" t="s">
        <v>1870</v>
      </c>
      <c r="C305" s="1">
        <v>54</v>
      </c>
      <c r="D305" s="1">
        <v>1985</v>
      </c>
      <c r="E305" t="s">
        <v>64</v>
      </c>
      <c r="F305" t="s">
        <v>1871</v>
      </c>
      <c r="G305" t="s">
        <v>1872</v>
      </c>
      <c r="H305" t="s">
        <v>1870</v>
      </c>
      <c r="I305" t="s">
        <v>1872</v>
      </c>
      <c r="J305" t="s">
        <v>1872</v>
      </c>
      <c r="K305" s="1">
        <v>3</v>
      </c>
      <c r="L305" t="s">
        <v>69</v>
      </c>
      <c r="M305" t="s">
        <v>70</v>
      </c>
      <c r="N305" t="s">
        <v>71</v>
      </c>
      <c r="P305" t="s">
        <v>72</v>
      </c>
      <c r="Q305" t="s">
        <v>1873</v>
      </c>
      <c r="R305" t="s">
        <v>74</v>
      </c>
      <c r="S305" t="s">
        <v>1874</v>
      </c>
      <c r="T305" s="2">
        <v>516</v>
      </c>
      <c r="U305" s="3">
        <v>1.65</v>
      </c>
      <c r="V305" s="4">
        <v>851</v>
      </c>
      <c r="AF305" s="5">
        <v>0</v>
      </c>
      <c r="AI305" s="1">
        <v>2</v>
      </c>
      <c r="AJ305" t="s">
        <v>81</v>
      </c>
      <c r="AK305" t="s">
        <v>82</v>
      </c>
      <c r="AL305" t="s">
        <v>83</v>
      </c>
      <c r="AM305" s="3">
        <v>1.53</v>
      </c>
      <c r="AN305" s="4">
        <v>919</v>
      </c>
      <c r="AO305" s="1">
        <v>600</v>
      </c>
      <c r="AS305" s="3">
        <v>16156.98</v>
      </c>
      <c r="AW305" t="s">
        <v>84</v>
      </c>
      <c r="AY305" s="3">
        <v>1.72</v>
      </c>
      <c r="AZ305" s="4">
        <v>817</v>
      </c>
      <c r="BA305" s="1">
        <v>475</v>
      </c>
      <c r="BB305" s="1">
        <v>36</v>
      </c>
      <c r="BC305" s="1">
        <v>18</v>
      </c>
    </row>
    <row r="306" spans="1:62" x14ac:dyDescent="0.25">
      <c r="A306" t="s">
        <v>1875</v>
      </c>
      <c r="B306" t="s">
        <v>1876</v>
      </c>
      <c r="C306" s="1">
        <v>280</v>
      </c>
      <c r="D306" s="1">
        <v>1985</v>
      </c>
      <c r="E306" t="s">
        <v>64</v>
      </c>
      <c r="F306" t="s">
        <v>1388</v>
      </c>
      <c r="G306" t="s">
        <v>1400</v>
      </c>
      <c r="H306" t="s">
        <v>1877</v>
      </c>
      <c r="I306" t="s">
        <v>1878</v>
      </c>
      <c r="J306" t="s">
        <v>1400</v>
      </c>
      <c r="K306" s="1">
        <v>3</v>
      </c>
      <c r="L306" t="s">
        <v>91</v>
      </c>
      <c r="M306" t="s">
        <v>70</v>
      </c>
      <c r="N306" t="s">
        <v>71</v>
      </c>
      <c r="O306" t="s">
        <v>118</v>
      </c>
      <c r="P306" t="s">
        <v>1879</v>
      </c>
      <c r="Q306" t="s">
        <v>73</v>
      </c>
      <c r="R306" t="s">
        <v>74</v>
      </c>
      <c r="S306" t="s">
        <v>1880</v>
      </c>
      <c r="T306" s="2">
        <v>662</v>
      </c>
      <c r="U306" s="3">
        <v>1.67</v>
      </c>
      <c r="V306" s="4">
        <v>1106</v>
      </c>
      <c r="AF306" s="5">
        <v>8.2142999999999997</v>
      </c>
      <c r="AH306" s="1">
        <v>2026</v>
      </c>
      <c r="AI306" s="1">
        <v>2</v>
      </c>
      <c r="AJ306" t="s">
        <v>81</v>
      </c>
      <c r="AK306" t="s">
        <v>82</v>
      </c>
      <c r="AL306" t="s">
        <v>83</v>
      </c>
      <c r="AM306" s="3">
        <v>1.6</v>
      </c>
      <c r="AN306" s="4">
        <v>1165</v>
      </c>
      <c r="AO306" s="1">
        <v>728</v>
      </c>
      <c r="AS306" s="3">
        <v>509586.84</v>
      </c>
      <c r="AW306" t="s">
        <v>84</v>
      </c>
      <c r="AY306" s="3">
        <v>1.81</v>
      </c>
      <c r="AZ306" s="4">
        <v>1015</v>
      </c>
      <c r="BA306" s="1">
        <v>561</v>
      </c>
      <c r="BB306" s="1">
        <v>110</v>
      </c>
      <c r="BC306" s="1">
        <v>170</v>
      </c>
    </row>
    <row r="307" spans="1:62" x14ac:dyDescent="0.25">
      <c r="A307" t="s">
        <v>1881</v>
      </c>
      <c r="B307" t="s">
        <v>1882</v>
      </c>
      <c r="C307" s="1">
        <v>264</v>
      </c>
      <c r="D307" s="1">
        <v>1985</v>
      </c>
      <c r="E307" t="s">
        <v>64</v>
      </c>
      <c r="F307" t="s">
        <v>725</v>
      </c>
      <c r="G307" t="s">
        <v>1883</v>
      </c>
      <c r="H307" t="s">
        <v>1884</v>
      </c>
      <c r="I307" t="s">
        <v>1885</v>
      </c>
      <c r="J307" t="s">
        <v>1883</v>
      </c>
      <c r="K307" s="1">
        <v>3</v>
      </c>
      <c r="L307" t="s">
        <v>91</v>
      </c>
      <c r="M307" t="s">
        <v>70</v>
      </c>
      <c r="N307" t="s">
        <v>71</v>
      </c>
      <c r="P307" t="s">
        <v>72</v>
      </c>
      <c r="Q307" t="s">
        <v>73</v>
      </c>
      <c r="R307" t="s">
        <v>74</v>
      </c>
      <c r="S307" t="s">
        <v>1886</v>
      </c>
      <c r="T307" s="2">
        <v>652</v>
      </c>
      <c r="U307" s="3">
        <v>1.89</v>
      </c>
      <c r="V307" s="4">
        <v>1233</v>
      </c>
      <c r="AF307" s="5">
        <v>8.7120999999999995</v>
      </c>
      <c r="AI307" s="1">
        <v>2</v>
      </c>
      <c r="AJ307" t="s">
        <v>81</v>
      </c>
      <c r="AK307" t="s">
        <v>82</v>
      </c>
      <c r="AL307" t="s">
        <v>83</v>
      </c>
      <c r="AM307" s="3">
        <v>1.7</v>
      </c>
      <c r="AN307" s="4">
        <v>1594</v>
      </c>
      <c r="AO307" s="1">
        <v>940</v>
      </c>
      <c r="AS307" s="3">
        <v>742962.92</v>
      </c>
      <c r="AW307" t="s">
        <v>84</v>
      </c>
      <c r="AY307" s="3">
        <v>1.99</v>
      </c>
      <c r="AZ307" s="4">
        <v>1117</v>
      </c>
      <c r="BA307" s="1">
        <v>560</v>
      </c>
      <c r="BB307" s="1">
        <v>200</v>
      </c>
      <c r="BC307" s="1">
        <v>64</v>
      </c>
    </row>
    <row r="308" spans="1:62" x14ac:dyDescent="0.25">
      <c r="A308" t="s">
        <v>1887</v>
      </c>
      <c r="B308" t="s">
        <v>1888</v>
      </c>
      <c r="C308" s="1">
        <v>200</v>
      </c>
      <c r="D308" s="1">
        <v>1987</v>
      </c>
      <c r="E308" t="s">
        <v>64</v>
      </c>
      <c r="F308" t="s">
        <v>123</v>
      </c>
      <c r="G308" t="s">
        <v>236</v>
      </c>
      <c r="H308" t="s">
        <v>1889</v>
      </c>
      <c r="I308" t="s">
        <v>1890</v>
      </c>
      <c r="J308" t="s">
        <v>236</v>
      </c>
      <c r="K308" s="1">
        <v>3</v>
      </c>
      <c r="L308" t="s">
        <v>91</v>
      </c>
      <c r="M308" t="s">
        <v>70</v>
      </c>
      <c r="N308" t="s">
        <v>71</v>
      </c>
      <c r="P308" t="s">
        <v>72</v>
      </c>
      <c r="Q308" t="s">
        <v>129</v>
      </c>
      <c r="R308" t="s">
        <v>74</v>
      </c>
      <c r="S308" t="s">
        <v>1891</v>
      </c>
      <c r="T308" s="2">
        <v>800</v>
      </c>
      <c r="U308" s="3">
        <v>1.66</v>
      </c>
      <c r="V308" s="4">
        <v>1329</v>
      </c>
      <c r="AF308" s="5">
        <v>11.5</v>
      </c>
      <c r="AI308" s="1">
        <v>2</v>
      </c>
      <c r="AJ308" t="s">
        <v>81</v>
      </c>
      <c r="AK308" t="s">
        <v>82</v>
      </c>
      <c r="AL308" t="s">
        <v>83</v>
      </c>
      <c r="AM308" s="3">
        <v>1.54</v>
      </c>
      <c r="AN308" s="4">
        <v>1456</v>
      </c>
      <c r="AO308" s="1">
        <v>945</v>
      </c>
      <c r="AS308" s="3">
        <v>405039.64</v>
      </c>
      <c r="AW308" t="s">
        <v>84</v>
      </c>
      <c r="AY308" s="3">
        <v>1.79</v>
      </c>
      <c r="AZ308" s="4">
        <v>1229</v>
      </c>
      <c r="BA308" s="1">
        <v>687</v>
      </c>
      <c r="BB308" s="1">
        <v>112</v>
      </c>
      <c r="BC308" s="1">
        <v>88</v>
      </c>
    </row>
    <row r="309" spans="1:62" x14ac:dyDescent="0.25">
      <c r="A309" t="s">
        <v>1892</v>
      </c>
      <c r="B309" t="s">
        <v>1893</v>
      </c>
      <c r="C309" s="1">
        <v>516</v>
      </c>
      <c r="D309" s="1">
        <v>1986</v>
      </c>
      <c r="E309" t="s">
        <v>64</v>
      </c>
      <c r="F309" t="s">
        <v>1133</v>
      </c>
      <c r="G309" t="s">
        <v>1894</v>
      </c>
      <c r="H309" t="s">
        <v>1895</v>
      </c>
      <c r="I309" t="s">
        <v>1896</v>
      </c>
      <c r="J309" t="s">
        <v>1894</v>
      </c>
      <c r="K309" s="1">
        <v>3</v>
      </c>
      <c r="L309" t="s">
        <v>91</v>
      </c>
      <c r="M309" t="s">
        <v>70</v>
      </c>
      <c r="N309" t="s">
        <v>71</v>
      </c>
      <c r="P309" t="s">
        <v>72</v>
      </c>
      <c r="Q309" t="s">
        <v>264</v>
      </c>
      <c r="R309" t="s">
        <v>74</v>
      </c>
      <c r="S309" t="s">
        <v>1897</v>
      </c>
      <c r="T309" s="2">
        <v>764</v>
      </c>
      <c r="U309" s="3">
        <v>1.83</v>
      </c>
      <c r="V309" s="4">
        <v>1404</v>
      </c>
      <c r="AF309" s="5">
        <v>9.3023000000000007</v>
      </c>
      <c r="AI309" s="1">
        <v>2</v>
      </c>
      <c r="AJ309" t="s">
        <v>81</v>
      </c>
      <c r="AK309" t="s">
        <v>82</v>
      </c>
      <c r="AL309" t="s">
        <v>83</v>
      </c>
      <c r="AM309" s="3">
        <v>1.76</v>
      </c>
      <c r="AN309" s="4">
        <v>1844</v>
      </c>
      <c r="AO309" s="1">
        <v>1047</v>
      </c>
      <c r="AP309" s="3">
        <v>1.68</v>
      </c>
      <c r="AQ309" s="4">
        <v>2183</v>
      </c>
      <c r="AR309" s="1">
        <v>1300</v>
      </c>
      <c r="AS309" s="3">
        <v>1805604.07</v>
      </c>
      <c r="AW309" t="s">
        <v>84</v>
      </c>
      <c r="AY309" s="3">
        <v>1.88</v>
      </c>
      <c r="AZ309" s="4">
        <v>1232</v>
      </c>
      <c r="BA309" s="1">
        <v>655</v>
      </c>
      <c r="BB309" s="1">
        <v>376</v>
      </c>
      <c r="BC309" s="1">
        <v>132</v>
      </c>
      <c r="BD309" s="1">
        <v>8</v>
      </c>
      <c r="BF309" t="s">
        <v>174</v>
      </c>
      <c r="BG309" t="s">
        <v>131</v>
      </c>
    </row>
    <row r="310" spans="1:62" x14ac:dyDescent="0.25">
      <c r="A310" t="s">
        <v>1898</v>
      </c>
      <c r="B310" t="s">
        <v>1899</v>
      </c>
      <c r="C310" s="1">
        <v>216</v>
      </c>
      <c r="D310" s="1">
        <v>1985</v>
      </c>
      <c r="E310" t="s">
        <v>64</v>
      </c>
      <c r="F310" t="s">
        <v>1133</v>
      </c>
      <c r="G310" t="s">
        <v>882</v>
      </c>
      <c r="H310" t="s">
        <v>1900</v>
      </c>
      <c r="I310" t="s">
        <v>1901</v>
      </c>
      <c r="J310" t="s">
        <v>882</v>
      </c>
      <c r="K310" s="1">
        <v>3</v>
      </c>
      <c r="L310" t="s">
        <v>91</v>
      </c>
      <c r="M310" t="s">
        <v>70</v>
      </c>
      <c r="N310" t="s">
        <v>71</v>
      </c>
      <c r="P310" t="s">
        <v>72</v>
      </c>
      <c r="Q310" t="s">
        <v>264</v>
      </c>
      <c r="R310" t="s">
        <v>74</v>
      </c>
      <c r="S310" t="s">
        <v>1902</v>
      </c>
      <c r="T310" s="2">
        <v>807</v>
      </c>
      <c r="U310" s="3">
        <v>1.77</v>
      </c>
      <c r="V310" s="4">
        <v>1432</v>
      </c>
      <c r="AF310" s="5">
        <v>2.7778</v>
      </c>
      <c r="AI310" s="1">
        <v>2</v>
      </c>
      <c r="AJ310" t="s">
        <v>81</v>
      </c>
      <c r="AK310" t="s">
        <v>82</v>
      </c>
      <c r="AL310" t="s">
        <v>83</v>
      </c>
      <c r="AM310" s="3">
        <v>1.8</v>
      </c>
      <c r="AN310" s="4">
        <v>1608</v>
      </c>
      <c r="AO310" s="1">
        <v>893</v>
      </c>
      <c r="AS310" s="3">
        <v>736323.97</v>
      </c>
      <c r="AW310" t="s">
        <v>84</v>
      </c>
      <c r="AY310" s="3">
        <v>1.74</v>
      </c>
      <c r="AZ310" s="4">
        <v>1256</v>
      </c>
      <c r="BA310" s="1">
        <v>722</v>
      </c>
      <c r="BB310" s="1">
        <v>108</v>
      </c>
      <c r="BC310" s="1">
        <v>108</v>
      </c>
      <c r="BF310" t="s">
        <v>887</v>
      </c>
      <c r="BG310" t="s">
        <v>104</v>
      </c>
    </row>
    <row r="311" spans="1:62" x14ac:dyDescent="0.25">
      <c r="A311" t="s">
        <v>1903</v>
      </c>
      <c r="B311" t="s">
        <v>1904</v>
      </c>
      <c r="C311" s="1">
        <v>150</v>
      </c>
      <c r="D311" s="1">
        <v>1985</v>
      </c>
      <c r="E311" t="s">
        <v>64</v>
      </c>
      <c r="F311" t="s">
        <v>123</v>
      </c>
      <c r="G311" t="s">
        <v>763</v>
      </c>
      <c r="H311" t="s">
        <v>1905</v>
      </c>
      <c r="I311" t="s">
        <v>1906</v>
      </c>
      <c r="J311" t="s">
        <v>763</v>
      </c>
      <c r="K311" s="1">
        <v>3</v>
      </c>
      <c r="L311" t="s">
        <v>91</v>
      </c>
      <c r="M311" t="s">
        <v>70</v>
      </c>
      <c r="N311" t="s">
        <v>71</v>
      </c>
      <c r="P311" t="s">
        <v>72</v>
      </c>
      <c r="Q311" t="s">
        <v>129</v>
      </c>
      <c r="R311" t="s">
        <v>74</v>
      </c>
      <c r="S311" t="s">
        <v>1907</v>
      </c>
      <c r="T311" s="2">
        <v>799</v>
      </c>
      <c r="U311" s="3">
        <v>1.59</v>
      </c>
      <c r="V311" s="4">
        <v>1270</v>
      </c>
      <c r="AF311" s="5">
        <v>7.3333000000000004</v>
      </c>
      <c r="AG311" s="1">
        <v>3</v>
      </c>
      <c r="AH311" s="1">
        <v>2014</v>
      </c>
      <c r="AI311" s="1">
        <v>2</v>
      </c>
      <c r="AJ311" t="s">
        <v>81</v>
      </c>
      <c r="AK311" t="s">
        <v>82</v>
      </c>
      <c r="AL311" t="s">
        <v>83</v>
      </c>
      <c r="AM311" s="3">
        <v>1.54</v>
      </c>
      <c r="AN311" s="4">
        <v>1431</v>
      </c>
      <c r="AO311" s="1">
        <v>929</v>
      </c>
      <c r="AS311" s="3">
        <v>350805.11</v>
      </c>
      <c r="AW311" t="s">
        <v>84</v>
      </c>
      <c r="AY311" s="3">
        <v>1.63</v>
      </c>
      <c r="AZ311" s="4">
        <v>1150</v>
      </c>
      <c r="BA311" s="1">
        <v>704</v>
      </c>
      <c r="BB311" s="1">
        <v>86</v>
      </c>
      <c r="BC311" s="1">
        <v>64</v>
      </c>
    </row>
    <row r="312" spans="1:62" x14ac:dyDescent="0.25">
      <c r="A312" t="s">
        <v>1908</v>
      </c>
      <c r="B312" t="s">
        <v>1909</v>
      </c>
      <c r="C312" s="1">
        <v>408</v>
      </c>
      <c r="D312" s="1">
        <v>1985</v>
      </c>
      <c r="E312" t="s">
        <v>64</v>
      </c>
      <c r="F312" t="s">
        <v>264</v>
      </c>
      <c r="G312" t="s">
        <v>1910</v>
      </c>
      <c r="H312" t="s">
        <v>1911</v>
      </c>
      <c r="J312" t="s">
        <v>1910</v>
      </c>
      <c r="K312" s="1">
        <v>3</v>
      </c>
      <c r="L312" t="s">
        <v>91</v>
      </c>
      <c r="M312" t="s">
        <v>70</v>
      </c>
      <c r="N312" t="s">
        <v>71</v>
      </c>
      <c r="P312" t="s">
        <v>72</v>
      </c>
      <c r="Q312" t="s">
        <v>264</v>
      </c>
      <c r="R312" t="s">
        <v>74</v>
      </c>
      <c r="S312" t="s">
        <v>1912</v>
      </c>
      <c r="T312" s="2">
        <v>772</v>
      </c>
      <c r="U312" s="3">
        <v>1.33</v>
      </c>
      <c r="V312" s="4">
        <v>1027</v>
      </c>
      <c r="AF312" s="5">
        <v>10.539199999999999</v>
      </c>
      <c r="AH312" s="1">
        <v>2011</v>
      </c>
      <c r="AI312" s="1">
        <v>3</v>
      </c>
      <c r="AJ312" t="s">
        <v>81</v>
      </c>
      <c r="AK312" t="s">
        <v>82</v>
      </c>
      <c r="AL312" t="s">
        <v>83</v>
      </c>
      <c r="AM312" s="3">
        <v>1.3</v>
      </c>
      <c r="AN312" s="4">
        <v>1310</v>
      </c>
      <c r="AO312" s="1">
        <v>1005</v>
      </c>
      <c r="AS312" s="3">
        <v>1144949.8700000001</v>
      </c>
      <c r="AW312" t="s">
        <v>84</v>
      </c>
      <c r="AY312" s="3">
        <v>1.36</v>
      </c>
      <c r="AZ312" s="4">
        <v>853</v>
      </c>
      <c r="BA312" s="1">
        <v>629</v>
      </c>
      <c r="BB312" s="1">
        <v>252</v>
      </c>
      <c r="BC312" s="1">
        <v>156</v>
      </c>
      <c r="BF312" t="s">
        <v>1913</v>
      </c>
    </row>
    <row r="313" spans="1:62" x14ac:dyDescent="0.25">
      <c r="A313" t="s">
        <v>1914</v>
      </c>
      <c r="B313" t="s">
        <v>1915</v>
      </c>
      <c r="C313" s="1">
        <v>224</v>
      </c>
      <c r="D313" s="1">
        <v>1986</v>
      </c>
      <c r="E313" t="s">
        <v>64</v>
      </c>
      <c r="F313" t="s">
        <v>409</v>
      </c>
      <c r="G313" t="s">
        <v>1916</v>
      </c>
      <c r="H313" t="s">
        <v>1917</v>
      </c>
      <c r="I313" t="s">
        <v>1918</v>
      </c>
      <c r="J313" t="s">
        <v>1916</v>
      </c>
      <c r="K313" s="1">
        <v>3</v>
      </c>
      <c r="L313" t="s">
        <v>91</v>
      </c>
      <c r="M313" t="s">
        <v>70</v>
      </c>
      <c r="N313" t="s">
        <v>71</v>
      </c>
      <c r="P313" t="s">
        <v>72</v>
      </c>
      <c r="Q313" t="s">
        <v>110</v>
      </c>
      <c r="R313" t="s">
        <v>74</v>
      </c>
      <c r="S313" t="s">
        <v>1919</v>
      </c>
      <c r="T313" s="2">
        <v>807</v>
      </c>
      <c r="U313" s="3">
        <v>1.65</v>
      </c>
      <c r="V313" s="4">
        <v>1331</v>
      </c>
      <c r="AF313" s="5">
        <v>6.6963999999999997</v>
      </c>
      <c r="AI313" s="1">
        <v>2</v>
      </c>
      <c r="AJ313" t="s">
        <v>81</v>
      </c>
      <c r="AK313" t="s">
        <v>82</v>
      </c>
      <c r="AL313" t="s">
        <v>83</v>
      </c>
      <c r="AM313" s="3">
        <v>1.6</v>
      </c>
      <c r="AN313" s="4">
        <v>1545</v>
      </c>
      <c r="AO313" s="1">
        <v>966</v>
      </c>
      <c r="AS313" s="3">
        <v>675380.94</v>
      </c>
      <c r="AW313" t="s">
        <v>84</v>
      </c>
      <c r="AY313" s="3">
        <v>1.69</v>
      </c>
      <c r="AZ313" s="4">
        <v>1213</v>
      </c>
      <c r="BA313" s="1">
        <v>719</v>
      </c>
      <c r="BB313" s="1">
        <v>144</v>
      </c>
      <c r="BC313" s="1">
        <v>80</v>
      </c>
    </row>
    <row r="314" spans="1:62" x14ac:dyDescent="0.25">
      <c r="A314" t="s">
        <v>1920</v>
      </c>
      <c r="B314" t="s">
        <v>1921</v>
      </c>
      <c r="C314" s="1">
        <v>408</v>
      </c>
      <c r="D314" s="1">
        <v>1987</v>
      </c>
      <c r="E314" t="s">
        <v>64</v>
      </c>
      <c r="F314" t="s">
        <v>409</v>
      </c>
      <c r="G314" t="s">
        <v>1922</v>
      </c>
      <c r="H314" t="s">
        <v>1923</v>
      </c>
      <c r="I314" t="s">
        <v>1924</v>
      </c>
      <c r="J314" t="s">
        <v>1922</v>
      </c>
      <c r="K314" s="1">
        <v>3</v>
      </c>
      <c r="L314" t="s">
        <v>91</v>
      </c>
      <c r="M314" t="s">
        <v>70</v>
      </c>
      <c r="N314" t="s">
        <v>71</v>
      </c>
      <c r="P314" t="s">
        <v>72</v>
      </c>
      <c r="Q314" t="s">
        <v>110</v>
      </c>
      <c r="R314" t="s">
        <v>74</v>
      </c>
      <c r="S314" t="s">
        <v>412</v>
      </c>
      <c r="T314" s="2">
        <v>786</v>
      </c>
      <c r="U314" s="3">
        <v>1.67</v>
      </c>
      <c r="V314" s="4">
        <v>1313</v>
      </c>
      <c r="AF314" s="5">
        <v>8.3332999999999995</v>
      </c>
      <c r="AI314" s="1">
        <v>2</v>
      </c>
      <c r="AJ314" t="s">
        <v>81</v>
      </c>
      <c r="AK314" t="s">
        <v>82</v>
      </c>
      <c r="AL314" t="s">
        <v>83</v>
      </c>
      <c r="AM314" s="3">
        <v>1.66</v>
      </c>
      <c r="AN314" s="4">
        <v>1640</v>
      </c>
      <c r="AO314" s="1">
        <v>987</v>
      </c>
      <c r="AS314" s="3">
        <v>1277205.54</v>
      </c>
      <c r="AW314" t="s">
        <v>84</v>
      </c>
      <c r="AY314" s="3">
        <v>1.67</v>
      </c>
      <c r="AZ314" s="4">
        <v>1176</v>
      </c>
      <c r="BA314" s="1">
        <v>704</v>
      </c>
      <c r="BB314" s="1">
        <v>288</v>
      </c>
      <c r="BC314" s="1">
        <v>120</v>
      </c>
    </row>
    <row r="315" spans="1:62" x14ac:dyDescent="0.25">
      <c r="A315" t="s">
        <v>1925</v>
      </c>
      <c r="B315" t="s">
        <v>1926</v>
      </c>
      <c r="C315" s="1">
        <v>67</v>
      </c>
      <c r="D315" s="1">
        <v>1987</v>
      </c>
      <c r="E315" t="s">
        <v>64</v>
      </c>
      <c r="F315" t="s">
        <v>545</v>
      </c>
      <c r="G315" t="s">
        <v>1927</v>
      </c>
      <c r="H315" t="s">
        <v>1928</v>
      </c>
      <c r="I315" t="s">
        <v>1927</v>
      </c>
      <c r="J315" t="s">
        <v>1927</v>
      </c>
      <c r="K315" s="1">
        <v>3</v>
      </c>
      <c r="L315" t="s">
        <v>69</v>
      </c>
      <c r="M315" t="s">
        <v>70</v>
      </c>
      <c r="N315" t="s">
        <v>71</v>
      </c>
      <c r="P315" t="s">
        <v>72</v>
      </c>
      <c r="Q315" t="s">
        <v>73</v>
      </c>
      <c r="R315" t="s">
        <v>74</v>
      </c>
      <c r="S315" t="s">
        <v>1929</v>
      </c>
      <c r="T315" s="2">
        <v>619</v>
      </c>
      <c r="U315" s="3">
        <v>2.21</v>
      </c>
      <c r="V315" s="4">
        <v>1372</v>
      </c>
      <c r="AI315" s="1">
        <v>1</v>
      </c>
      <c r="AJ315" t="s">
        <v>81</v>
      </c>
      <c r="AK315" t="s">
        <v>82</v>
      </c>
      <c r="AL315" t="s">
        <v>83</v>
      </c>
      <c r="AM315" s="3">
        <v>1.84</v>
      </c>
      <c r="AN315" s="4">
        <v>1656</v>
      </c>
      <c r="AO315" s="1">
        <v>900</v>
      </c>
      <c r="AS315" s="3">
        <v>128156.62</v>
      </c>
      <c r="AT315" s="3">
        <v>2.38</v>
      </c>
      <c r="AU315" s="4">
        <v>953</v>
      </c>
      <c r="AV315" s="6">
        <v>400</v>
      </c>
      <c r="AW315" t="s">
        <v>84</v>
      </c>
      <c r="AY315" s="3">
        <v>2.2599999999999998</v>
      </c>
      <c r="AZ315" s="4">
        <v>1355</v>
      </c>
      <c r="BA315" s="1">
        <v>600</v>
      </c>
      <c r="BB315" s="1">
        <v>61</v>
      </c>
      <c r="BC315" s="1">
        <v>5</v>
      </c>
    </row>
    <row r="316" spans="1:62" x14ac:dyDescent="0.25">
      <c r="A316" t="s">
        <v>1930</v>
      </c>
      <c r="B316" t="s">
        <v>1931</v>
      </c>
      <c r="C316" s="1">
        <v>71</v>
      </c>
      <c r="D316" s="1">
        <v>1985</v>
      </c>
      <c r="E316" t="s">
        <v>64</v>
      </c>
      <c r="F316" t="s">
        <v>477</v>
      </c>
      <c r="G316" t="s">
        <v>1932</v>
      </c>
      <c r="H316" t="s">
        <v>1933</v>
      </c>
      <c r="I316" t="s">
        <v>1932</v>
      </c>
      <c r="K316" s="1">
        <v>3</v>
      </c>
      <c r="L316" t="s">
        <v>91</v>
      </c>
      <c r="M316" t="s">
        <v>70</v>
      </c>
      <c r="N316" t="s">
        <v>71</v>
      </c>
      <c r="P316" t="s">
        <v>72</v>
      </c>
      <c r="Q316" t="s">
        <v>110</v>
      </c>
      <c r="R316" t="s">
        <v>74</v>
      </c>
      <c r="S316" t="s">
        <v>1934</v>
      </c>
      <c r="T316" s="2">
        <v>1302</v>
      </c>
      <c r="U316" s="3">
        <v>1.52</v>
      </c>
      <c r="V316" s="4">
        <v>1978</v>
      </c>
      <c r="AF316" s="5">
        <v>4.2253999999999996</v>
      </c>
      <c r="AI316" s="1">
        <v>2</v>
      </c>
      <c r="AJ316" t="s">
        <v>81</v>
      </c>
      <c r="AK316" t="s">
        <v>82</v>
      </c>
      <c r="AL316" t="s">
        <v>83</v>
      </c>
      <c r="AM316" s="3">
        <v>1.51</v>
      </c>
      <c r="AN316" s="4">
        <v>1966</v>
      </c>
      <c r="AO316" s="1">
        <v>1298</v>
      </c>
      <c r="AP316" s="3">
        <v>1.45</v>
      </c>
      <c r="AQ316" s="4">
        <v>2259</v>
      </c>
      <c r="AR316" s="1">
        <v>1556</v>
      </c>
      <c r="AS316" s="3">
        <v>280109.48</v>
      </c>
      <c r="AW316" t="s">
        <v>84</v>
      </c>
      <c r="AY316" s="3">
        <v>1.71</v>
      </c>
      <c r="AZ316" s="4">
        <v>1709</v>
      </c>
      <c r="BA316" s="1">
        <v>998</v>
      </c>
      <c r="BB316" s="1">
        <v>9</v>
      </c>
      <c r="BC316" s="1">
        <v>52</v>
      </c>
      <c r="BD316" s="1">
        <v>8</v>
      </c>
      <c r="BE316" s="1">
        <v>2</v>
      </c>
      <c r="BG316" t="s">
        <v>131</v>
      </c>
      <c r="BH316" s="3">
        <v>1.37</v>
      </c>
      <c r="BI316" s="4">
        <v>2396</v>
      </c>
      <c r="BJ316" s="1">
        <v>1754</v>
      </c>
    </row>
    <row r="317" spans="1:62" x14ac:dyDescent="0.25">
      <c r="A317" t="s">
        <v>1935</v>
      </c>
      <c r="B317" t="s">
        <v>1936</v>
      </c>
      <c r="C317" s="1">
        <v>240</v>
      </c>
      <c r="D317" s="1">
        <v>1985</v>
      </c>
      <c r="E317" t="s">
        <v>64</v>
      </c>
      <c r="F317" t="s">
        <v>486</v>
      </c>
      <c r="G317" t="s">
        <v>1937</v>
      </c>
      <c r="H317" t="s">
        <v>1938</v>
      </c>
      <c r="I317" t="s">
        <v>1939</v>
      </c>
      <c r="J317" t="s">
        <v>1937</v>
      </c>
      <c r="K317" s="1">
        <v>3</v>
      </c>
      <c r="L317" t="s">
        <v>91</v>
      </c>
      <c r="M317" t="s">
        <v>70</v>
      </c>
      <c r="N317" t="s">
        <v>71</v>
      </c>
      <c r="P317" t="s">
        <v>72</v>
      </c>
      <c r="Q317" t="s">
        <v>73</v>
      </c>
      <c r="R317" t="s">
        <v>74</v>
      </c>
      <c r="S317" t="s">
        <v>743</v>
      </c>
      <c r="T317" s="2">
        <v>771</v>
      </c>
      <c r="U317" s="3">
        <v>1.61</v>
      </c>
      <c r="V317" s="4">
        <v>1244</v>
      </c>
      <c r="AF317" s="5">
        <v>7.5</v>
      </c>
      <c r="AI317" s="1">
        <v>2</v>
      </c>
      <c r="AJ317" t="s">
        <v>81</v>
      </c>
      <c r="AK317" t="s">
        <v>82</v>
      </c>
      <c r="AL317" t="s">
        <v>83</v>
      </c>
      <c r="AM317" s="3">
        <v>1.5</v>
      </c>
      <c r="AN317" s="4">
        <v>1415</v>
      </c>
      <c r="AO317" s="1">
        <v>942</v>
      </c>
      <c r="AS317" s="3">
        <v>605693.14</v>
      </c>
      <c r="AW317" t="s">
        <v>84</v>
      </c>
      <c r="AY317" s="3">
        <v>1.72</v>
      </c>
      <c r="AZ317" s="4">
        <v>1130</v>
      </c>
      <c r="BA317" s="1">
        <v>658</v>
      </c>
      <c r="BB317" s="1">
        <v>144</v>
      </c>
      <c r="BC317" s="1">
        <v>96</v>
      </c>
      <c r="BF317" t="s">
        <v>350</v>
      </c>
      <c r="BG317" t="s">
        <v>104</v>
      </c>
    </row>
    <row r="318" spans="1:62" x14ac:dyDescent="0.25">
      <c r="A318" t="s">
        <v>1940</v>
      </c>
      <c r="C318" s="1">
        <v>65</v>
      </c>
      <c r="D318" s="1">
        <v>1990</v>
      </c>
      <c r="E318" t="s">
        <v>64</v>
      </c>
      <c r="F318" t="s">
        <v>97</v>
      </c>
      <c r="G318" t="s">
        <v>1941</v>
      </c>
      <c r="I318" t="s">
        <v>1942</v>
      </c>
      <c r="J318" t="s">
        <v>1941</v>
      </c>
      <c r="K318" s="1">
        <v>3</v>
      </c>
      <c r="L318" t="s">
        <v>91</v>
      </c>
      <c r="M318" t="s">
        <v>70</v>
      </c>
      <c r="N318" t="s">
        <v>127</v>
      </c>
      <c r="P318" t="s">
        <v>72</v>
      </c>
      <c r="Q318" t="s">
        <v>1943</v>
      </c>
      <c r="R318" t="s">
        <v>74</v>
      </c>
      <c r="S318" t="s">
        <v>1944</v>
      </c>
      <c r="AF318" s="5">
        <v>9.2308000000000003</v>
      </c>
      <c r="AI318" s="1">
        <v>1</v>
      </c>
      <c r="AJ318" t="s">
        <v>81</v>
      </c>
      <c r="AK318" t="s">
        <v>82</v>
      </c>
      <c r="AL318" t="s">
        <v>83</v>
      </c>
      <c r="AS318" s="3">
        <v>46727.49</v>
      </c>
      <c r="AW318" t="s">
        <v>84</v>
      </c>
      <c r="BB318" s="1">
        <v>65</v>
      </c>
    </row>
    <row r="319" spans="1:62" x14ac:dyDescent="0.25">
      <c r="A319" t="s">
        <v>1945</v>
      </c>
      <c r="B319" t="s">
        <v>1946</v>
      </c>
      <c r="C319" s="1">
        <v>272</v>
      </c>
      <c r="D319" s="1">
        <v>1985</v>
      </c>
      <c r="E319" t="s">
        <v>64</v>
      </c>
      <c r="F319" t="s">
        <v>148</v>
      </c>
      <c r="G319" t="s">
        <v>784</v>
      </c>
      <c r="H319" t="s">
        <v>1947</v>
      </c>
      <c r="I319" t="s">
        <v>1948</v>
      </c>
      <c r="J319" t="s">
        <v>784</v>
      </c>
      <c r="K319" s="1">
        <v>3</v>
      </c>
      <c r="L319" t="s">
        <v>91</v>
      </c>
      <c r="M319" t="s">
        <v>70</v>
      </c>
      <c r="N319" t="s">
        <v>71</v>
      </c>
      <c r="P319" t="s">
        <v>72</v>
      </c>
      <c r="Q319" t="s">
        <v>152</v>
      </c>
      <c r="R319" t="s">
        <v>74</v>
      </c>
      <c r="S319" t="s">
        <v>1822</v>
      </c>
      <c r="T319" s="2">
        <v>676</v>
      </c>
      <c r="U319" s="3">
        <v>1.67</v>
      </c>
      <c r="V319" s="4">
        <v>1129</v>
      </c>
      <c r="AF319" s="5">
        <v>14.7059</v>
      </c>
      <c r="AI319" s="1">
        <v>2</v>
      </c>
      <c r="AJ319" t="s">
        <v>81</v>
      </c>
      <c r="AK319" t="s">
        <v>82</v>
      </c>
      <c r="AL319" t="s">
        <v>83</v>
      </c>
      <c r="AM319" s="3">
        <v>1.43</v>
      </c>
      <c r="AN319" s="4">
        <v>1260</v>
      </c>
      <c r="AO319" s="1">
        <v>881</v>
      </c>
      <c r="AS319" s="3">
        <v>0</v>
      </c>
      <c r="AW319" t="s">
        <v>84</v>
      </c>
      <c r="AY319" s="3">
        <v>1.87</v>
      </c>
      <c r="AZ319" s="4">
        <v>1059</v>
      </c>
      <c r="BA319" s="1">
        <v>565</v>
      </c>
      <c r="BB319" s="1">
        <v>176</v>
      </c>
      <c r="BC319" s="1">
        <v>96</v>
      </c>
    </row>
    <row r="320" spans="1:62" x14ac:dyDescent="0.25">
      <c r="A320" t="s">
        <v>1949</v>
      </c>
      <c r="B320" t="s">
        <v>1950</v>
      </c>
      <c r="C320" s="1">
        <v>50</v>
      </c>
      <c r="D320" s="1">
        <v>1985</v>
      </c>
      <c r="E320" t="s">
        <v>64</v>
      </c>
      <c r="F320" t="s">
        <v>148</v>
      </c>
      <c r="G320" t="s">
        <v>1951</v>
      </c>
      <c r="H320" t="s">
        <v>1952</v>
      </c>
      <c r="I320" t="s">
        <v>1953</v>
      </c>
      <c r="J320" t="s">
        <v>1951</v>
      </c>
      <c r="K320" s="1">
        <v>3</v>
      </c>
      <c r="L320" t="s">
        <v>69</v>
      </c>
      <c r="M320" t="s">
        <v>70</v>
      </c>
      <c r="N320" t="s">
        <v>71</v>
      </c>
      <c r="P320" t="s">
        <v>72</v>
      </c>
      <c r="Q320" t="s">
        <v>152</v>
      </c>
      <c r="R320" t="s">
        <v>74</v>
      </c>
      <c r="S320" t="s">
        <v>1822</v>
      </c>
      <c r="T320" s="2">
        <v>1500</v>
      </c>
      <c r="U320" s="3">
        <v>1.02</v>
      </c>
      <c r="V320" s="4">
        <v>1536</v>
      </c>
      <c r="AF320" s="5">
        <v>4</v>
      </c>
      <c r="AH320" s="1">
        <v>2016</v>
      </c>
      <c r="AI320" s="1">
        <v>2</v>
      </c>
      <c r="AJ320" t="s">
        <v>81</v>
      </c>
      <c r="AK320" t="s">
        <v>82</v>
      </c>
      <c r="AL320" t="s">
        <v>83</v>
      </c>
      <c r="AM320" s="3">
        <v>1.02</v>
      </c>
      <c r="AN320" s="4">
        <v>1536</v>
      </c>
      <c r="AO320" s="1">
        <v>1500</v>
      </c>
      <c r="AS320" s="3">
        <v>195666.34</v>
      </c>
      <c r="AW320" t="s">
        <v>84</v>
      </c>
      <c r="BC320" s="1">
        <v>50</v>
      </c>
    </row>
    <row r="321" spans="1:59" x14ac:dyDescent="0.25">
      <c r="A321" t="s">
        <v>1954</v>
      </c>
      <c r="B321" t="s">
        <v>1955</v>
      </c>
      <c r="C321" s="1">
        <v>424</v>
      </c>
      <c r="D321" s="1">
        <v>1990</v>
      </c>
      <c r="E321" t="s">
        <v>64</v>
      </c>
      <c r="F321" t="s">
        <v>228</v>
      </c>
      <c r="G321" t="s">
        <v>1956</v>
      </c>
      <c r="H321" t="s">
        <v>1957</v>
      </c>
      <c r="I321" t="s">
        <v>1958</v>
      </c>
      <c r="J321" t="s">
        <v>1956</v>
      </c>
      <c r="K321" s="1">
        <v>4</v>
      </c>
      <c r="L321" t="s">
        <v>729</v>
      </c>
      <c r="M321" t="s">
        <v>70</v>
      </c>
      <c r="N321" t="s">
        <v>71</v>
      </c>
      <c r="P321" t="s">
        <v>72</v>
      </c>
      <c r="Q321" t="s">
        <v>152</v>
      </c>
      <c r="R321" t="s">
        <v>74</v>
      </c>
      <c r="S321" t="s">
        <v>233</v>
      </c>
      <c r="T321" s="2">
        <v>845</v>
      </c>
      <c r="U321" s="3">
        <v>1.6</v>
      </c>
      <c r="V321" s="4">
        <v>1350</v>
      </c>
      <c r="AF321" s="5">
        <v>10.613200000000001</v>
      </c>
      <c r="AH321" s="1">
        <v>2014</v>
      </c>
      <c r="AI321" s="1">
        <v>3</v>
      </c>
      <c r="AJ321" t="s">
        <v>81</v>
      </c>
      <c r="AK321" t="s">
        <v>82</v>
      </c>
      <c r="AL321" t="s">
        <v>83</v>
      </c>
      <c r="AM321" s="3">
        <v>1.44</v>
      </c>
      <c r="AN321" s="4">
        <v>1445</v>
      </c>
      <c r="AO321" s="1">
        <v>1001</v>
      </c>
      <c r="AP321" s="3">
        <v>1.36</v>
      </c>
      <c r="AQ321" s="4">
        <v>1878</v>
      </c>
      <c r="AR321" s="1">
        <v>1384</v>
      </c>
      <c r="AS321" s="3">
        <v>825108.7</v>
      </c>
      <c r="AW321" t="s">
        <v>84</v>
      </c>
      <c r="AY321" s="3">
        <v>1.81</v>
      </c>
      <c r="AZ321" s="4">
        <v>1242</v>
      </c>
      <c r="BA321" s="1">
        <v>686</v>
      </c>
      <c r="BB321" s="1">
        <v>224</v>
      </c>
      <c r="BC321" s="1">
        <v>188</v>
      </c>
      <c r="BD321" s="1">
        <v>12</v>
      </c>
    </row>
    <row r="322" spans="1:59" x14ac:dyDescent="0.25">
      <c r="A322" t="s">
        <v>1959</v>
      </c>
      <c r="B322" t="s">
        <v>1960</v>
      </c>
      <c r="C322" s="1">
        <v>322</v>
      </c>
      <c r="D322" s="1">
        <v>1985</v>
      </c>
      <c r="E322" t="s">
        <v>64</v>
      </c>
      <c r="F322" t="s">
        <v>259</v>
      </c>
      <c r="G322" t="s">
        <v>1277</v>
      </c>
      <c r="H322" t="s">
        <v>1961</v>
      </c>
      <c r="I322" t="s">
        <v>1962</v>
      </c>
      <c r="J322" t="s">
        <v>1277</v>
      </c>
      <c r="K322" s="1">
        <v>4</v>
      </c>
      <c r="L322" t="s">
        <v>91</v>
      </c>
      <c r="M322" t="s">
        <v>70</v>
      </c>
      <c r="N322" t="s">
        <v>71</v>
      </c>
      <c r="P322" t="s">
        <v>72</v>
      </c>
      <c r="Q322" t="s">
        <v>259</v>
      </c>
      <c r="R322" t="s">
        <v>74</v>
      </c>
      <c r="S322" t="s">
        <v>1811</v>
      </c>
      <c r="T322" s="2">
        <v>833</v>
      </c>
      <c r="U322" s="3">
        <v>1.59</v>
      </c>
      <c r="V322" s="4">
        <v>1324</v>
      </c>
      <c r="AF322" s="5">
        <v>6.5217000000000001</v>
      </c>
      <c r="AH322" s="1">
        <v>2003</v>
      </c>
      <c r="AI322" s="1">
        <v>3</v>
      </c>
      <c r="AJ322" t="s">
        <v>81</v>
      </c>
      <c r="AK322" t="s">
        <v>82</v>
      </c>
      <c r="AL322" t="s">
        <v>83</v>
      </c>
      <c r="AM322" s="3">
        <v>1.54</v>
      </c>
      <c r="AN322" s="4">
        <v>1340</v>
      </c>
      <c r="AO322" s="1">
        <v>868</v>
      </c>
      <c r="AP322" s="3">
        <v>1.44</v>
      </c>
      <c r="AQ322" s="4">
        <v>1963</v>
      </c>
      <c r="AR322" s="1">
        <v>1361</v>
      </c>
      <c r="AS322" s="3">
        <v>846817.97</v>
      </c>
      <c r="AW322" t="s">
        <v>84</v>
      </c>
      <c r="AY322" s="3">
        <v>1.82</v>
      </c>
      <c r="AZ322" s="4">
        <v>1198</v>
      </c>
      <c r="BA322" s="1">
        <v>660</v>
      </c>
      <c r="BB322" s="1">
        <v>72</v>
      </c>
      <c r="BC322" s="1">
        <v>242</v>
      </c>
      <c r="BD322" s="1">
        <v>8</v>
      </c>
      <c r="BF322" t="s">
        <v>1214</v>
      </c>
      <c r="BG322" t="s">
        <v>104</v>
      </c>
    </row>
    <row r="323" spans="1:59" x14ac:dyDescent="0.25">
      <c r="A323" t="s">
        <v>1963</v>
      </c>
      <c r="B323" t="s">
        <v>1964</v>
      </c>
      <c r="C323" s="1">
        <v>98</v>
      </c>
      <c r="D323" s="1">
        <v>1985</v>
      </c>
      <c r="E323" t="s">
        <v>64</v>
      </c>
      <c r="F323" t="s">
        <v>995</v>
      </c>
      <c r="G323" t="s">
        <v>1965</v>
      </c>
      <c r="H323" t="s">
        <v>1966</v>
      </c>
      <c r="I323" t="s">
        <v>1967</v>
      </c>
      <c r="J323" t="s">
        <v>1965</v>
      </c>
      <c r="K323" s="1">
        <v>3</v>
      </c>
      <c r="L323" t="s">
        <v>91</v>
      </c>
      <c r="M323" t="s">
        <v>70</v>
      </c>
      <c r="N323" t="s">
        <v>71</v>
      </c>
      <c r="P323" t="s">
        <v>72</v>
      </c>
      <c r="Q323" t="s">
        <v>73</v>
      </c>
      <c r="R323" t="s">
        <v>74</v>
      </c>
      <c r="S323" t="s">
        <v>1968</v>
      </c>
      <c r="T323" s="2">
        <v>744</v>
      </c>
      <c r="U323" s="3">
        <v>1.55</v>
      </c>
      <c r="V323" s="4">
        <v>1156</v>
      </c>
      <c r="AF323" s="5">
        <v>14.2857</v>
      </c>
      <c r="AH323" s="1">
        <v>2017</v>
      </c>
      <c r="AI323" s="1">
        <v>2</v>
      </c>
      <c r="AJ323" t="s">
        <v>81</v>
      </c>
      <c r="AK323" t="s">
        <v>82</v>
      </c>
      <c r="AL323" t="s">
        <v>83</v>
      </c>
      <c r="AM323" s="3">
        <v>1.51</v>
      </c>
      <c r="AN323" s="4">
        <v>1490</v>
      </c>
      <c r="AO323" s="1">
        <v>987</v>
      </c>
      <c r="AS323" s="3">
        <v>1257.99</v>
      </c>
      <c r="AW323" t="s">
        <v>84</v>
      </c>
      <c r="AY323" s="3">
        <v>1.57</v>
      </c>
      <c r="AZ323" s="4">
        <v>1070</v>
      </c>
      <c r="BA323" s="1">
        <v>682</v>
      </c>
      <c r="BB323" s="1">
        <v>78</v>
      </c>
      <c r="BC323" s="1">
        <v>20</v>
      </c>
      <c r="BG323" t="s">
        <v>131</v>
      </c>
    </row>
    <row r="324" spans="1:59" x14ac:dyDescent="0.25">
      <c r="A324" t="s">
        <v>1969</v>
      </c>
      <c r="B324" t="s">
        <v>1970</v>
      </c>
      <c r="C324" s="1">
        <v>179</v>
      </c>
      <c r="D324" s="1">
        <v>1985</v>
      </c>
      <c r="E324" t="s">
        <v>64</v>
      </c>
      <c r="F324" t="s">
        <v>501</v>
      </c>
      <c r="G324" t="s">
        <v>1941</v>
      </c>
      <c r="I324" t="s">
        <v>1971</v>
      </c>
      <c r="J324" t="s">
        <v>1941</v>
      </c>
      <c r="K324" s="1">
        <v>3</v>
      </c>
      <c r="L324" t="s">
        <v>69</v>
      </c>
      <c r="M324" t="s">
        <v>70</v>
      </c>
      <c r="N324" t="s">
        <v>127</v>
      </c>
      <c r="O324" t="s">
        <v>128</v>
      </c>
      <c r="P324" t="s">
        <v>72</v>
      </c>
      <c r="Q324" t="s">
        <v>152</v>
      </c>
      <c r="R324" t="s">
        <v>74</v>
      </c>
      <c r="S324" t="s">
        <v>1972</v>
      </c>
      <c r="AF324" s="5">
        <v>8.3798999999999992</v>
      </c>
      <c r="AI324" s="1">
        <v>1</v>
      </c>
      <c r="AJ324" t="s">
        <v>81</v>
      </c>
      <c r="AK324" t="s">
        <v>82</v>
      </c>
      <c r="AL324" t="s">
        <v>83</v>
      </c>
      <c r="AW324" t="s">
        <v>84</v>
      </c>
      <c r="BB324" s="1">
        <v>179</v>
      </c>
      <c r="BF324" t="s">
        <v>1973</v>
      </c>
      <c r="BG324" t="s">
        <v>131</v>
      </c>
    </row>
    <row r="325" spans="1:59" x14ac:dyDescent="0.25">
      <c r="A325" t="s">
        <v>1974</v>
      </c>
      <c r="B325" t="s">
        <v>1975</v>
      </c>
      <c r="C325" s="1">
        <v>248</v>
      </c>
      <c r="D325" s="1">
        <v>1986</v>
      </c>
      <c r="E325" t="s">
        <v>64</v>
      </c>
      <c r="F325" t="s">
        <v>409</v>
      </c>
      <c r="G325" t="s">
        <v>1976</v>
      </c>
      <c r="H325" t="s">
        <v>1977</v>
      </c>
      <c r="I325" t="s">
        <v>1978</v>
      </c>
      <c r="J325" t="s">
        <v>1976</v>
      </c>
      <c r="K325" s="1">
        <v>3</v>
      </c>
      <c r="L325" t="s">
        <v>91</v>
      </c>
      <c r="M325" t="s">
        <v>70</v>
      </c>
      <c r="N325" t="s">
        <v>71</v>
      </c>
      <c r="P325" t="s">
        <v>72</v>
      </c>
      <c r="Q325" t="s">
        <v>110</v>
      </c>
      <c r="R325" t="s">
        <v>74</v>
      </c>
      <c r="S325" t="s">
        <v>412</v>
      </c>
      <c r="T325" s="2">
        <v>765</v>
      </c>
      <c r="U325" s="3">
        <v>1.65</v>
      </c>
      <c r="V325" s="4">
        <v>1264</v>
      </c>
      <c r="AF325" s="5">
        <v>8.8710000000000004</v>
      </c>
      <c r="AI325" s="1">
        <v>3</v>
      </c>
      <c r="AJ325" t="s">
        <v>81</v>
      </c>
      <c r="AK325" t="s">
        <v>82</v>
      </c>
      <c r="AL325" t="s">
        <v>83</v>
      </c>
      <c r="AM325" s="3">
        <v>1.67</v>
      </c>
      <c r="AN325" s="4">
        <v>1727</v>
      </c>
      <c r="AO325" s="1">
        <v>1034</v>
      </c>
      <c r="AS325" s="3">
        <v>760082.18</v>
      </c>
      <c r="AW325" t="s">
        <v>84</v>
      </c>
      <c r="AY325" s="3">
        <v>1.64</v>
      </c>
      <c r="AZ325" s="4">
        <v>1102</v>
      </c>
      <c r="BA325" s="1">
        <v>673</v>
      </c>
      <c r="BB325" s="1">
        <v>184</v>
      </c>
      <c r="BC325" s="1">
        <v>64</v>
      </c>
      <c r="BF325" t="s">
        <v>1979</v>
      </c>
      <c r="BG325" t="s">
        <v>365</v>
      </c>
    </row>
    <row r="326" spans="1:59" x14ac:dyDescent="0.25">
      <c r="A326" t="s">
        <v>1980</v>
      </c>
      <c r="B326" t="s">
        <v>1981</v>
      </c>
      <c r="C326" s="1">
        <v>318</v>
      </c>
      <c r="D326" s="1">
        <v>1987</v>
      </c>
      <c r="E326" t="s">
        <v>64</v>
      </c>
      <c r="F326" t="s">
        <v>360</v>
      </c>
      <c r="G326" t="s">
        <v>1982</v>
      </c>
      <c r="H326" t="s">
        <v>1983</v>
      </c>
      <c r="I326" t="s">
        <v>1984</v>
      </c>
      <c r="J326" t="s">
        <v>1982</v>
      </c>
      <c r="K326" s="1">
        <v>3</v>
      </c>
      <c r="L326" t="s">
        <v>69</v>
      </c>
      <c r="M326" t="s">
        <v>70</v>
      </c>
      <c r="N326" t="s">
        <v>71</v>
      </c>
      <c r="O326" t="s">
        <v>118</v>
      </c>
      <c r="P326" t="s">
        <v>72</v>
      </c>
      <c r="Q326" t="s">
        <v>73</v>
      </c>
      <c r="R326" t="s">
        <v>74</v>
      </c>
      <c r="S326" t="s">
        <v>379</v>
      </c>
      <c r="T326" s="2">
        <v>774</v>
      </c>
      <c r="U326" s="3">
        <v>1.54</v>
      </c>
      <c r="V326" s="4">
        <v>1194</v>
      </c>
      <c r="AF326" s="5">
        <v>5.3459000000000003</v>
      </c>
      <c r="AH326" s="1">
        <v>2004</v>
      </c>
      <c r="AI326" s="1">
        <v>3</v>
      </c>
      <c r="AJ326" t="s">
        <v>81</v>
      </c>
      <c r="AK326" t="s">
        <v>82</v>
      </c>
      <c r="AL326" t="s">
        <v>83</v>
      </c>
      <c r="AM326" s="3">
        <v>1.45</v>
      </c>
      <c r="AN326" s="4">
        <v>1404</v>
      </c>
      <c r="AO326" s="1">
        <v>965</v>
      </c>
      <c r="AS326" s="3">
        <v>439183.4</v>
      </c>
      <c r="AW326" t="s">
        <v>84</v>
      </c>
      <c r="AY326" s="3">
        <v>1.59</v>
      </c>
      <c r="AZ326" s="4">
        <v>1104</v>
      </c>
      <c r="BA326" s="1">
        <v>692</v>
      </c>
      <c r="BB326" s="1">
        <v>222</v>
      </c>
      <c r="BC326" s="1">
        <v>96</v>
      </c>
      <c r="BF326" t="s">
        <v>1985</v>
      </c>
      <c r="BG326" t="s">
        <v>104</v>
      </c>
    </row>
    <row r="327" spans="1:59" x14ac:dyDescent="0.25">
      <c r="A327" t="s">
        <v>1986</v>
      </c>
      <c r="B327" t="s">
        <v>1987</v>
      </c>
      <c r="C327" s="1">
        <v>220</v>
      </c>
      <c r="D327" s="1">
        <v>1986</v>
      </c>
      <c r="E327" t="s">
        <v>64</v>
      </c>
      <c r="F327" t="s">
        <v>409</v>
      </c>
      <c r="G327" t="s">
        <v>929</v>
      </c>
      <c r="H327" t="s">
        <v>1988</v>
      </c>
      <c r="I327" t="s">
        <v>1989</v>
      </c>
      <c r="J327" t="s">
        <v>929</v>
      </c>
      <c r="K327" s="1">
        <v>3</v>
      </c>
      <c r="L327" t="s">
        <v>69</v>
      </c>
      <c r="M327" t="s">
        <v>70</v>
      </c>
      <c r="N327" t="s">
        <v>71</v>
      </c>
      <c r="P327" t="s">
        <v>72</v>
      </c>
      <c r="Q327" t="s">
        <v>110</v>
      </c>
      <c r="R327" t="s">
        <v>74</v>
      </c>
      <c r="S327" t="s">
        <v>1990</v>
      </c>
      <c r="T327" s="2">
        <v>867</v>
      </c>
      <c r="U327" s="3">
        <v>1.71</v>
      </c>
      <c r="V327" s="4">
        <v>1487</v>
      </c>
      <c r="AF327" s="5">
        <v>5</v>
      </c>
      <c r="AI327" s="1">
        <v>2</v>
      </c>
      <c r="AJ327" t="s">
        <v>81</v>
      </c>
      <c r="AK327" t="s">
        <v>82</v>
      </c>
      <c r="AL327" t="s">
        <v>83</v>
      </c>
      <c r="AM327" s="3">
        <v>1.65</v>
      </c>
      <c r="AN327" s="4">
        <v>1619</v>
      </c>
      <c r="AO327" s="1">
        <v>983</v>
      </c>
      <c r="AP327" s="3">
        <v>1.52</v>
      </c>
      <c r="AQ327" s="4">
        <v>1906</v>
      </c>
      <c r="AR327" s="1">
        <v>1255</v>
      </c>
      <c r="AS327" s="3">
        <v>657859.57999999996</v>
      </c>
      <c r="AW327" t="s">
        <v>84</v>
      </c>
      <c r="AY327" s="3">
        <v>1.85</v>
      </c>
      <c r="AZ327" s="4">
        <v>1310</v>
      </c>
      <c r="BA327" s="1">
        <v>707</v>
      </c>
      <c r="BB327" s="1">
        <v>116</v>
      </c>
      <c r="BC327" s="1">
        <v>80</v>
      </c>
      <c r="BD327" s="1">
        <v>24</v>
      </c>
      <c r="BG327" t="s">
        <v>131</v>
      </c>
    </row>
    <row r="328" spans="1:59" x14ac:dyDescent="0.25">
      <c r="A328" t="s">
        <v>1991</v>
      </c>
      <c r="B328" t="s">
        <v>1992</v>
      </c>
      <c r="C328" s="1">
        <v>113</v>
      </c>
      <c r="D328" s="1">
        <v>1985</v>
      </c>
      <c r="E328" t="s">
        <v>64</v>
      </c>
      <c r="F328" t="s">
        <v>97</v>
      </c>
      <c r="G328" t="s">
        <v>1993</v>
      </c>
      <c r="H328" t="s">
        <v>1994</v>
      </c>
      <c r="I328" t="s">
        <v>1995</v>
      </c>
      <c r="J328" t="s">
        <v>1993</v>
      </c>
      <c r="K328" s="1">
        <v>3</v>
      </c>
      <c r="L328" t="s">
        <v>69</v>
      </c>
      <c r="M328" t="s">
        <v>70</v>
      </c>
      <c r="N328" t="s">
        <v>71</v>
      </c>
      <c r="P328" t="s">
        <v>72</v>
      </c>
      <c r="Q328" t="s">
        <v>1662</v>
      </c>
      <c r="R328" t="s">
        <v>74</v>
      </c>
      <c r="S328" t="s">
        <v>1996</v>
      </c>
      <c r="T328" s="2">
        <v>774</v>
      </c>
      <c r="U328" s="3">
        <v>1.68</v>
      </c>
      <c r="V328" s="4">
        <v>1297</v>
      </c>
      <c r="AF328" s="5">
        <v>9.7345000000000006</v>
      </c>
      <c r="AI328" s="1">
        <v>2</v>
      </c>
      <c r="AJ328" t="s">
        <v>81</v>
      </c>
      <c r="AK328" t="s">
        <v>82</v>
      </c>
      <c r="AL328" t="s">
        <v>83</v>
      </c>
      <c r="AM328" s="3">
        <v>1.61</v>
      </c>
      <c r="AN328" s="4">
        <v>1395</v>
      </c>
      <c r="AO328" s="1">
        <v>868</v>
      </c>
      <c r="AP328" s="3">
        <v>1.43</v>
      </c>
      <c r="AQ328" s="4">
        <v>1575</v>
      </c>
      <c r="AR328" s="1">
        <v>1100</v>
      </c>
      <c r="AS328" s="3">
        <v>280837.17</v>
      </c>
      <c r="AW328" t="s">
        <v>84</v>
      </c>
      <c r="AY328" s="3">
        <v>1.81</v>
      </c>
      <c r="AZ328" s="4">
        <v>1160</v>
      </c>
      <c r="BA328" s="1">
        <v>642</v>
      </c>
      <c r="BB328" s="1">
        <v>48</v>
      </c>
      <c r="BC328" s="1">
        <v>64</v>
      </c>
      <c r="BD328" s="1">
        <v>1</v>
      </c>
      <c r="BF328" t="s">
        <v>1997</v>
      </c>
      <c r="BG328" t="s">
        <v>365</v>
      </c>
    </row>
    <row r="329" spans="1:59" x14ac:dyDescent="0.25">
      <c r="A329" t="s">
        <v>1998</v>
      </c>
      <c r="B329" t="s">
        <v>1999</v>
      </c>
      <c r="C329" s="1">
        <v>160</v>
      </c>
      <c r="D329" s="1">
        <v>1985</v>
      </c>
      <c r="E329" t="s">
        <v>64</v>
      </c>
      <c r="F329" t="s">
        <v>439</v>
      </c>
      <c r="G329" t="s">
        <v>929</v>
      </c>
      <c r="H329" t="s">
        <v>2000</v>
      </c>
      <c r="I329" t="s">
        <v>1999</v>
      </c>
      <c r="J329" t="s">
        <v>929</v>
      </c>
      <c r="K329" s="1">
        <v>3</v>
      </c>
      <c r="L329" t="s">
        <v>69</v>
      </c>
      <c r="M329" t="s">
        <v>70</v>
      </c>
      <c r="N329" t="s">
        <v>71</v>
      </c>
      <c r="P329" t="s">
        <v>72</v>
      </c>
      <c r="Q329" t="s">
        <v>442</v>
      </c>
      <c r="R329" t="s">
        <v>74</v>
      </c>
      <c r="S329" t="s">
        <v>443</v>
      </c>
      <c r="T329" s="2">
        <v>765</v>
      </c>
      <c r="U329" s="3">
        <v>1.41</v>
      </c>
      <c r="V329" s="4">
        <v>1081</v>
      </c>
      <c r="AF329" s="5">
        <v>6.25</v>
      </c>
      <c r="AI329" s="1">
        <v>2</v>
      </c>
      <c r="AJ329" t="s">
        <v>81</v>
      </c>
      <c r="AK329" t="s">
        <v>82</v>
      </c>
      <c r="AL329" t="s">
        <v>83</v>
      </c>
      <c r="AM329" s="3">
        <v>1.39</v>
      </c>
      <c r="AN329" s="4">
        <v>1285</v>
      </c>
      <c r="AO329" s="1">
        <v>922</v>
      </c>
      <c r="AS329" s="3">
        <v>94216.82</v>
      </c>
      <c r="AW329" t="s">
        <v>84</v>
      </c>
      <c r="AY329" s="3">
        <v>1.43</v>
      </c>
      <c r="AZ329" s="4">
        <v>945</v>
      </c>
      <c r="BA329" s="1">
        <v>661</v>
      </c>
      <c r="BB329" s="1">
        <v>96</v>
      </c>
      <c r="BC329" s="1">
        <v>64</v>
      </c>
    </row>
    <row r="330" spans="1:59" x14ac:dyDescent="0.25">
      <c r="A330" t="s">
        <v>2001</v>
      </c>
      <c r="B330" t="s">
        <v>2002</v>
      </c>
      <c r="C330" s="1">
        <v>309</v>
      </c>
      <c r="D330" s="1">
        <v>1985</v>
      </c>
      <c r="E330" t="s">
        <v>64</v>
      </c>
      <c r="F330" t="s">
        <v>156</v>
      </c>
      <c r="G330" t="s">
        <v>2003</v>
      </c>
      <c r="H330" t="s">
        <v>2004</v>
      </c>
      <c r="I330" t="s">
        <v>2005</v>
      </c>
      <c r="J330" t="s">
        <v>2003</v>
      </c>
      <c r="K330" s="1">
        <v>3</v>
      </c>
      <c r="L330" t="s">
        <v>91</v>
      </c>
      <c r="M330" t="s">
        <v>70</v>
      </c>
      <c r="N330" t="s">
        <v>71</v>
      </c>
      <c r="P330" t="s">
        <v>72</v>
      </c>
      <c r="Q330" t="s">
        <v>73</v>
      </c>
      <c r="R330" t="s">
        <v>74</v>
      </c>
      <c r="S330" t="s">
        <v>461</v>
      </c>
      <c r="T330" s="2">
        <v>710</v>
      </c>
      <c r="U330" s="3">
        <v>1.48</v>
      </c>
      <c r="V330" s="4">
        <v>1051</v>
      </c>
      <c r="AF330" s="5">
        <v>22.330100000000002</v>
      </c>
      <c r="AH330" s="1">
        <v>1999</v>
      </c>
      <c r="AI330" s="1">
        <v>3</v>
      </c>
      <c r="AJ330" t="s">
        <v>81</v>
      </c>
      <c r="AK330" t="s">
        <v>82</v>
      </c>
      <c r="AL330" t="s">
        <v>83</v>
      </c>
      <c r="AM330" s="3">
        <v>1.44</v>
      </c>
      <c r="AN330" s="4">
        <v>1315</v>
      </c>
      <c r="AO330" s="1">
        <v>911</v>
      </c>
      <c r="AS330" s="3">
        <v>726384.76</v>
      </c>
      <c r="AW330" t="s">
        <v>84</v>
      </c>
      <c r="AY330" s="3">
        <v>1.5</v>
      </c>
      <c r="AZ330" s="4">
        <v>932</v>
      </c>
      <c r="BA330" s="1">
        <v>620</v>
      </c>
      <c r="BB330" s="1">
        <v>213</v>
      </c>
      <c r="BC330" s="1">
        <v>96</v>
      </c>
      <c r="BG330" t="s">
        <v>131</v>
      </c>
    </row>
    <row r="331" spans="1:59" x14ac:dyDescent="0.25">
      <c r="A331" t="s">
        <v>2006</v>
      </c>
      <c r="B331" t="s">
        <v>2007</v>
      </c>
      <c r="C331" s="1">
        <v>241</v>
      </c>
      <c r="D331" s="1">
        <v>1986</v>
      </c>
      <c r="E331" t="s">
        <v>64</v>
      </c>
      <c r="F331" t="s">
        <v>156</v>
      </c>
      <c r="G331" t="s">
        <v>2008</v>
      </c>
      <c r="H331" t="s">
        <v>2009</v>
      </c>
      <c r="J331" t="s">
        <v>2008</v>
      </c>
      <c r="K331" s="1">
        <v>3</v>
      </c>
      <c r="L331" t="s">
        <v>91</v>
      </c>
      <c r="M331" t="s">
        <v>70</v>
      </c>
      <c r="N331" t="s">
        <v>71</v>
      </c>
      <c r="P331" t="s">
        <v>72</v>
      </c>
      <c r="Q331" t="s">
        <v>73</v>
      </c>
      <c r="R331" t="s">
        <v>74</v>
      </c>
      <c r="S331" t="s">
        <v>461</v>
      </c>
      <c r="T331" s="2">
        <v>550</v>
      </c>
      <c r="U331" s="3">
        <v>1.79</v>
      </c>
      <c r="V331" s="4">
        <v>986</v>
      </c>
      <c r="AF331" s="5">
        <v>14.937799999999999</v>
      </c>
      <c r="AI331" s="1">
        <v>3</v>
      </c>
      <c r="AJ331" t="s">
        <v>81</v>
      </c>
      <c r="AK331" t="s">
        <v>82</v>
      </c>
      <c r="AL331" t="s">
        <v>83</v>
      </c>
      <c r="AM331" s="3">
        <v>1.4</v>
      </c>
      <c r="AN331" s="4">
        <v>1466</v>
      </c>
      <c r="AO331" s="1">
        <v>1048</v>
      </c>
      <c r="AS331" s="3">
        <v>531937.14</v>
      </c>
      <c r="AW331" t="s">
        <v>84</v>
      </c>
      <c r="AY331" s="3">
        <v>1.79</v>
      </c>
      <c r="AZ331" s="4">
        <v>984</v>
      </c>
      <c r="BA331" s="1">
        <v>549</v>
      </c>
      <c r="BB331" s="1">
        <v>240</v>
      </c>
      <c r="BC331" s="1">
        <v>1</v>
      </c>
      <c r="BG331" t="s">
        <v>131</v>
      </c>
    </row>
    <row r="332" spans="1:59" x14ac:dyDescent="0.25">
      <c r="A332" t="s">
        <v>2010</v>
      </c>
      <c r="B332" t="s">
        <v>2011</v>
      </c>
      <c r="C332" s="1">
        <v>80</v>
      </c>
      <c r="D332" s="1">
        <v>1985</v>
      </c>
      <c r="E332" t="s">
        <v>64</v>
      </c>
      <c r="F332" t="s">
        <v>156</v>
      </c>
      <c r="G332" t="s">
        <v>2012</v>
      </c>
      <c r="H332" t="s">
        <v>2013</v>
      </c>
      <c r="I332" t="s">
        <v>2014</v>
      </c>
      <c r="J332" t="s">
        <v>2012</v>
      </c>
      <c r="K332" s="1">
        <v>3</v>
      </c>
      <c r="L332" t="s">
        <v>91</v>
      </c>
      <c r="M332" t="s">
        <v>70</v>
      </c>
      <c r="N332" t="s">
        <v>71</v>
      </c>
      <c r="P332" t="s">
        <v>72</v>
      </c>
      <c r="Q332" t="s">
        <v>73</v>
      </c>
      <c r="R332" t="s">
        <v>74</v>
      </c>
      <c r="S332" t="s">
        <v>2015</v>
      </c>
      <c r="T332" s="2">
        <v>1054</v>
      </c>
      <c r="U332" s="3">
        <v>1.26</v>
      </c>
      <c r="V332" s="4">
        <v>1327</v>
      </c>
      <c r="AF332" s="5">
        <v>13.75</v>
      </c>
      <c r="AI332" s="1">
        <v>3</v>
      </c>
      <c r="AJ332" t="s">
        <v>81</v>
      </c>
      <c r="AK332" t="s">
        <v>82</v>
      </c>
      <c r="AL332" t="s">
        <v>83</v>
      </c>
      <c r="AM332" s="3">
        <v>1.22</v>
      </c>
      <c r="AN332" s="4">
        <v>1341</v>
      </c>
      <c r="AO332" s="1">
        <v>1103</v>
      </c>
      <c r="AS332" s="3">
        <v>219032.94</v>
      </c>
      <c r="AW332" t="s">
        <v>84</v>
      </c>
      <c r="AY332" s="3">
        <v>1.93</v>
      </c>
      <c r="AZ332" s="4">
        <v>1200</v>
      </c>
      <c r="BA332" s="1">
        <v>621</v>
      </c>
      <c r="BB332" s="1">
        <v>8</v>
      </c>
      <c r="BC332" s="1">
        <v>72</v>
      </c>
      <c r="BG332" t="s">
        <v>131</v>
      </c>
    </row>
    <row r="333" spans="1:59" x14ac:dyDescent="0.25">
      <c r="A333" t="s">
        <v>2016</v>
      </c>
      <c r="B333" t="s">
        <v>2017</v>
      </c>
      <c r="C333" s="1">
        <v>288</v>
      </c>
      <c r="D333" s="1">
        <v>1986</v>
      </c>
      <c r="E333" t="s">
        <v>64</v>
      </c>
      <c r="F333" t="s">
        <v>156</v>
      </c>
      <c r="G333" t="s">
        <v>2018</v>
      </c>
      <c r="H333" t="s">
        <v>2019</v>
      </c>
      <c r="I333" t="s">
        <v>2020</v>
      </c>
      <c r="J333" t="s">
        <v>2018</v>
      </c>
      <c r="K333" s="1">
        <v>3</v>
      </c>
      <c r="L333" t="s">
        <v>91</v>
      </c>
      <c r="M333" t="s">
        <v>70</v>
      </c>
      <c r="N333" t="s">
        <v>71</v>
      </c>
      <c r="P333" t="s">
        <v>72</v>
      </c>
      <c r="Q333" t="s">
        <v>73</v>
      </c>
      <c r="R333" t="s">
        <v>74</v>
      </c>
      <c r="S333" t="s">
        <v>461</v>
      </c>
      <c r="T333" s="2">
        <v>666</v>
      </c>
      <c r="U333" s="3">
        <v>1.54</v>
      </c>
      <c r="V333" s="4">
        <v>1024</v>
      </c>
      <c r="AF333" s="5">
        <v>15.625</v>
      </c>
      <c r="AI333" s="1">
        <v>3</v>
      </c>
      <c r="AJ333" t="s">
        <v>81</v>
      </c>
      <c r="AK333" t="s">
        <v>82</v>
      </c>
      <c r="AL333" t="s">
        <v>83</v>
      </c>
      <c r="AM333" s="3">
        <v>1.31</v>
      </c>
      <c r="AN333" s="4">
        <v>1210</v>
      </c>
      <c r="AO333" s="1">
        <v>926</v>
      </c>
      <c r="AS333" s="3">
        <v>575520.22</v>
      </c>
      <c r="AW333" t="s">
        <v>84</v>
      </c>
      <c r="AY333" s="3">
        <v>1.66</v>
      </c>
      <c r="AZ333" s="4">
        <v>962</v>
      </c>
      <c r="BA333" s="1">
        <v>581</v>
      </c>
      <c r="BB333" s="1">
        <v>216</v>
      </c>
      <c r="BC333" s="1">
        <v>72</v>
      </c>
      <c r="BG333" t="s">
        <v>94</v>
      </c>
    </row>
    <row r="334" spans="1:59" x14ac:dyDescent="0.25">
      <c r="A334" t="s">
        <v>2021</v>
      </c>
      <c r="B334" t="s">
        <v>2022</v>
      </c>
      <c r="C334" s="1">
        <v>152</v>
      </c>
      <c r="D334" s="1">
        <v>1986</v>
      </c>
      <c r="E334" t="s">
        <v>64</v>
      </c>
      <c r="F334" t="s">
        <v>156</v>
      </c>
      <c r="G334" t="s">
        <v>1000</v>
      </c>
      <c r="H334" t="s">
        <v>2023</v>
      </c>
      <c r="J334" t="s">
        <v>1000</v>
      </c>
      <c r="K334" s="1">
        <v>3</v>
      </c>
      <c r="L334" t="s">
        <v>69</v>
      </c>
      <c r="M334" t="s">
        <v>70</v>
      </c>
      <c r="N334" t="s">
        <v>71</v>
      </c>
      <c r="P334" t="s">
        <v>72</v>
      </c>
      <c r="Q334" t="s">
        <v>73</v>
      </c>
      <c r="R334" t="s">
        <v>74</v>
      </c>
      <c r="S334" t="s">
        <v>2024</v>
      </c>
      <c r="T334" s="2">
        <v>696</v>
      </c>
      <c r="U334" s="3">
        <v>1.59</v>
      </c>
      <c r="V334" s="4">
        <v>1105</v>
      </c>
      <c r="AF334" s="5">
        <v>11.184200000000001</v>
      </c>
      <c r="AI334" s="1">
        <v>3</v>
      </c>
      <c r="AJ334" t="s">
        <v>81</v>
      </c>
      <c r="AK334" t="s">
        <v>82</v>
      </c>
      <c r="AL334" t="s">
        <v>83</v>
      </c>
      <c r="AM334" s="3">
        <v>1.45</v>
      </c>
      <c r="AN334" s="4">
        <v>1398</v>
      </c>
      <c r="AO334" s="1">
        <v>963</v>
      </c>
      <c r="AS334" s="3">
        <v>320726.8</v>
      </c>
      <c r="AW334" t="s">
        <v>84</v>
      </c>
      <c r="AY334" s="3">
        <v>1.64</v>
      </c>
      <c r="AZ334" s="4">
        <v>1027</v>
      </c>
      <c r="BA334" s="1">
        <v>625</v>
      </c>
      <c r="BB334" s="1">
        <v>120</v>
      </c>
      <c r="BC334" s="1">
        <v>32</v>
      </c>
    </row>
    <row r="335" spans="1:59" x14ac:dyDescent="0.25">
      <c r="A335" t="s">
        <v>2025</v>
      </c>
      <c r="B335" t="s">
        <v>2026</v>
      </c>
      <c r="C335" s="1">
        <v>331</v>
      </c>
      <c r="D335" s="1">
        <v>1987</v>
      </c>
      <c r="E335" t="s">
        <v>64</v>
      </c>
      <c r="F335" t="s">
        <v>2027</v>
      </c>
      <c r="G335" t="s">
        <v>1155</v>
      </c>
      <c r="H335" t="s">
        <v>2028</v>
      </c>
      <c r="J335" t="s">
        <v>1155</v>
      </c>
      <c r="K335" s="1">
        <v>2</v>
      </c>
      <c r="L335" t="s">
        <v>69</v>
      </c>
      <c r="M335" t="s">
        <v>70</v>
      </c>
      <c r="N335" t="s">
        <v>127</v>
      </c>
      <c r="P335" t="s">
        <v>72</v>
      </c>
      <c r="Q335" t="s">
        <v>710</v>
      </c>
      <c r="R335" t="s">
        <v>74</v>
      </c>
      <c r="S335" t="s">
        <v>2029</v>
      </c>
      <c r="AF335" s="5">
        <v>10.876099999999999</v>
      </c>
      <c r="AJ335" t="s">
        <v>81</v>
      </c>
      <c r="AK335" t="s">
        <v>82</v>
      </c>
      <c r="AL335" t="s">
        <v>83</v>
      </c>
      <c r="AW335" t="s">
        <v>84</v>
      </c>
    </row>
    <row r="336" spans="1:59" x14ac:dyDescent="0.25">
      <c r="A336" t="s">
        <v>2030</v>
      </c>
      <c r="B336" t="s">
        <v>2031</v>
      </c>
      <c r="C336" s="1">
        <v>111</v>
      </c>
      <c r="D336" s="1">
        <v>1985</v>
      </c>
      <c r="E336" t="s">
        <v>64</v>
      </c>
      <c r="F336" t="s">
        <v>264</v>
      </c>
      <c r="G336" t="s">
        <v>2032</v>
      </c>
      <c r="I336" t="s">
        <v>2033</v>
      </c>
      <c r="J336" t="s">
        <v>2032</v>
      </c>
      <c r="K336" s="1">
        <v>3</v>
      </c>
      <c r="L336" t="s">
        <v>69</v>
      </c>
      <c r="M336" t="s">
        <v>70</v>
      </c>
      <c r="N336" t="s">
        <v>127</v>
      </c>
      <c r="P336" t="s">
        <v>72</v>
      </c>
      <c r="Q336" t="s">
        <v>531</v>
      </c>
      <c r="R336" t="s">
        <v>74</v>
      </c>
      <c r="S336" t="s">
        <v>2034</v>
      </c>
      <c r="AF336" s="5">
        <v>9.0090000000000003</v>
      </c>
      <c r="AI336" s="1">
        <v>1</v>
      </c>
      <c r="AJ336" t="s">
        <v>81</v>
      </c>
      <c r="AK336" t="s">
        <v>82</v>
      </c>
      <c r="AL336" t="s">
        <v>83</v>
      </c>
      <c r="AS336" s="3">
        <v>323338.84999999998</v>
      </c>
      <c r="AW336" t="s">
        <v>84</v>
      </c>
      <c r="BB336" s="1">
        <v>111</v>
      </c>
    </row>
    <row r="337" spans="1:62" x14ac:dyDescent="0.25">
      <c r="A337" t="s">
        <v>2035</v>
      </c>
      <c r="B337" t="s">
        <v>2036</v>
      </c>
      <c r="C337" s="1">
        <v>111</v>
      </c>
      <c r="D337" s="1">
        <v>1989</v>
      </c>
      <c r="E337" t="s">
        <v>64</v>
      </c>
      <c r="F337" t="s">
        <v>123</v>
      </c>
      <c r="G337" t="s">
        <v>2032</v>
      </c>
      <c r="I337" t="s">
        <v>2037</v>
      </c>
      <c r="J337" t="s">
        <v>2032</v>
      </c>
      <c r="K337" s="1">
        <v>3</v>
      </c>
      <c r="L337" t="s">
        <v>91</v>
      </c>
      <c r="M337" t="s">
        <v>70</v>
      </c>
      <c r="N337" t="s">
        <v>127</v>
      </c>
      <c r="P337" t="s">
        <v>72</v>
      </c>
      <c r="Q337" t="s">
        <v>2038</v>
      </c>
      <c r="R337" t="s">
        <v>74</v>
      </c>
      <c r="S337" t="s">
        <v>2039</v>
      </c>
      <c r="AF337" s="5">
        <v>8.1081000000000003</v>
      </c>
      <c r="AI337" s="1">
        <v>1</v>
      </c>
      <c r="AJ337" t="s">
        <v>81</v>
      </c>
      <c r="AK337" t="s">
        <v>82</v>
      </c>
      <c r="AL337" t="s">
        <v>83</v>
      </c>
      <c r="AS337" s="3">
        <v>99903.32</v>
      </c>
      <c r="AW337" t="s">
        <v>84</v>
      </c>
    </row>
    <row r="338" spans="1:62" x14ac:dyDescent="0.25">
      <c r="A338" t="s">
        <v>2040</v>
      </c>
      <c r="B338" t="s">
        <v>1751</v>
      </c>
      <c r="C338" s="1">
        <v>356</v>
      </c>
      <c r="D338" s="1">
        <v>1989</v>
      </c>
      <c r="E338" t="s">
        <v>64</v>
      </c>
      <c r="F338" t="s">
        <v>215</v>
      </c>
      <c r="G338" t="s">
        <v>1155</v>
      </c>
      <c r="H338" t="s">
        <v>1752</v>
      </c>
      <c r="I338" t="s">
        <v>2041</v>
      </c>
      <c r="J338" t="s">
        <v>1155</v>
      </c>
      <c r="K338" s="1">
        <v>2</v>
      </c>
      <c r="L338" t="s">
        <v>69</v>
      </c>
      <c r="M338" t="s">
        <v>70</v>
      </c>
      <c r="N338" t="s">
        <v>127</v>
      </c>
      <c r="P338" t="s">
        <v>72</v>
      </c>
      <c r="Q338" t="s">
        <v>215</v>
      </c>
      <c r="R338" t="s">
        <v>74</v>
      </c>
      <c r="S338" t="s">
        <v>2042</v>
      </c>
      <c r="AF338" s="5">
        <v>13.763999999999999</v>
      </c>
      <c r="AI338" s="1">
        <v>1</v>
      </c>
      <c r="AJ338" t="s">
        <v>81</v>
      </c>
      <c r="AK338" t="s">
        <v>82</v>
      </c>
      <c r="AL338" t="s">
        <v>83</v>
      </c>
      <c r="AS338" s="3">
        <v>258529.4</v>
      </c>
      <c r="AW338" t="s">
        <v>84</v>
      </c>
    </row>
    <row r="339" spans="1:62" x14ac:dyDescent="0.25">
      <c r="A339" t="s">
        <v>2043</v>
      </c>
      <c r="B339" t="s">
        <v>2044</v>
      </c>
      <c r="C339" s="1">
        <v>205</v>
      </c>
      <c r="D339" s="1">
        <v>1990</v>
      </c>
      <c r="E339" t="s">
        <v>64</v>
      </c>
      <c r="F339" t="s">
        <v>97</v>
      </c>
      <c r="G339" t="s">
        <v>1941</v>
      </c>
      <c r="I339" t="s">
        <v>2045</v>
      </c>
      <c r="J339" t="s">
        <v>1941</v>
      </c>
      <c r="K339" s="1">
        <v>2</v>
      </c>
      <c r="L339" t="s">
        <v>69</v>
      </c>
      <c r="M339" t="s">
        <v>70</v>
      </c>
      <c r="N339" t="s">
        <v>127</v>
      </c>
      <c r="P339" t="s">
        <v>72</v>
      </c>
      <c r="Q339" t="s">
        <v>2046</v>
      </c>
      <c r="R339" t="s">
        <v>74</v>
      </c>
      <c r="S339" t="s">
        <v>2047</v>
      </c>
      <c r="AF339" s="5">
        <v>9.2683</v>
      </c>
      <c r="AJ339" t="s">
        <v>81</v>
      </c>
      <c r="AK339" t="s">
        <v>82</v>
      </c>
      <c r="AL339" t="s">
        <v>83</v>
      </c>
      <c r="AS339" s="3">
        <v>318421.59999999998</v>
      </c>
      <c r="AW339" t="s">
        <v>84</v>
      </c>
      <c r="BC339" s="1">
        <v>205</v>
      </c>
      <c r="BG339" t="s">
        <v>131</v>
      </c>
    </row>
    <row r="340" spans="1:62" x14ac:dyDescent="0.25">
      <c r="A340" t="s">
        <v>2048</v>
      </c>
      <c r="B340" t="s">
        <v>2049</v>
      </c>
      <c r="C340" s="1">
        <v>76</v>
      </c>
      <c r="D340" s="1">
        <v>1998</v>
      </c>
      <c r="E340" t="s">
        <v>64</v>
      </c>
      <c r="F340" t="s">
        <v>215</v>
      </c>
      <c r="G340" t="s">
        <v>2050</v>
      </c>
      <c r="H340" t="s">
        <v>2051</v>
      </c>
      <c r="J340" t="s">
        <v>2050</v>
      </c>
      <c r="K340" s="1">
        <v>3</v>
      </c>
      <c r="L340" t="s">
        <v>91</v>
      </c>
      <c r="M340" t="s">
        <v>70</v>
      </c>
      <c r="N340" t="s">
        <v>71</v>
      </c>
      <c r="P340" t="s">
        <v>72</v>
      </c>
      <c r="Q340" t="s">
        <v>152</v>
      </c>
      <c r="R340" t="s">
        <v>74</v>
      </c>
      <c r="S340" t="s">
        <v>2052</v>
      </c>
      <c r="AI340" s="1">
        <v>10</v>
      </c>
      <c r="AJ340" t="s">
        <v>81</v>
      </c>
      <c r="AK340" t="s">
        <v>82</v>
      </c>
      <c r="AL340" t="s">
        <v>83</v>
      </c>
      <c r="AS340" s="3">
        <v>36097.83</v>
      </c>
      <c r="AW340" t="s">
        <v>2053</v>
      </c>
      <c r="BB340" s="1">
        <v>76</v>
      </c>
    </row>
    <row r="341" spans="1:62" x14ac:dyDescent="0.25">
      <c r="A341" t="s">
        <v>2054</v>
      </c>
      <c r="B341" t="s">
        <v>2055</v>
      </c>
      <c r="C341" s="1">
        <v>908</v>
      </c>
      <c r="D341" s="1">
        <v>1992</v>
      </c>
      <c r="E341" t="s">
        <v>64</v>
      </c>
      <c r="F341" t="s">
        <v>2056</v>
      </c>
      <c r="G341" t="s">
        <v>2057</v>
      </c>
      <c r="H341" t="s">
        <v>2058</v>
      </c>
      <c r="I341" t="s">
        <v>2059</v>
      </c>
      <c r="J341" t="s">
        <v>2057</v>
      </c>
      <c r="K341" s="1">
        <v>4</v>
      </c>
      <c r="L341" t="s">
        <v>729</v>
      </c>
      <c r="M341" t="s">
        <v>70</v>
      </c>
      <c r="N341" t="s">
        <v>71</v>
      </c>
      <c r="P341" t="s">
        <v>72</v>
      </c>
      <c r="Q341" t="s">
        <v>264</v>
      </c>
      <c r="R341" t="s">
        <v>74</v>
      </c>
      <c r="S341" t="s">
        <v>2060</v>
      </c>
      <c r="T341" s="2">
        <v>865</v>
      </c>
      <c r="U341" s="3">
        <v>1.75</v>
      </c>
      <c r="V341" s="4">
        <v>1515</v>
      </c>
      <c r="AF341" s="5">
        <v>8.5902999999999992</v>
      </c>
      <c r="AH341" s="1">
        <v>2016</v>
      </c>
      <c r="AI341" s="1">
        <v>4</v>
      </c>
      <c r="AJ341" t="s">
        <v>81</v>
      </c>
      <c r="AK341" t="s">
        <v>82</v>
      </c>
      <c r="AL341" t="s">
        <v>83</v>
      </c>
      <c r="AM341" s="3">
        <v>1.62</v>
      </c>
      <c r="AN341" s="4">
        <v>1736</v>
      </c>
      <c r="AO341" s="1">
        <v>1069</v>
      </c>
      <c r="AP341" s="3">
        <v>1.87</v>
      </c>
      <c r="AQ341" s="4">
        <v>3895</v>
      </c>
      <c r="AR341" s="1">
        <v>2088</v>
      </c>
      <c r="AS341" s="3">
        <v>3399571.05</v>
      </c>
      <c r="AT341" s="3">
        <v>1.8</v>
      </c>
      <c r="AU341" s="4">
        <v>1295</v>
      </c>
      <c r="AV341" s="6">
        <v>721</v>
      </c>
      <c r="AW341" t="s">
        <v>84</v>
      </c>
      <c r="AY341" s="3">
        <v>1.85</v>
      </c>
      <c r="AZ341" s="4">
        <v>1379</v>
      </c>
      <c r="BA341" s="1">
        <v>745</v>
      </c>
      <c r="BB341" s="1">
        <v>558</v>
      </c>
      <c r="BC341" s="1">
        <v>323</v>
      </c>
      <c r="BD341" s="1">
        <v>4</v>
      </c>
      <c r="BG341" t="s">
        <v>131</v>
      </c>
    </row>
    <row r="342" spans="1:62" x14ac:dyDescent="0.25">
      <c r="A342" t="s">
        <v>2061</v>
      </c>
      <c r="B342" t="s">
        <v>2062</v>
      </c>
      <c r="C342" s="1">
        <v>350</v>
      </c>
      <c r="D342" s="1">
        <v>1999</v>
      </c>
      <c r="E342" t="s">
        <v>64</v>
      </c>
      <c r="F342" t="s">
        <v>2063</v>
      </c>
      <c r="G342" t="s">
        <v>339</v>
      </c>
      <c r="H342" t="s">
        <v>2064</v>
      </c>
      <c r="I342" t="s">
        <v>2065</v>
      </c>
      <c r="J342" t="s">
        <v>339</v>
      </c>
      <c r="K342" s="1">
        <v>4</v>
      </c>
      <c r="L342" t="s">
        <v>91</v>
      </c>
      <c r="M342" t="s">
        <v>70</v>
      </c>
      <c r="N342" t="s">
        <v>71</v>
      </c>
      <c r="P342" t="s">
        <v>72</v>
      </c>
      <c r="Q342" t="s">
        <v>152</v>
      </c>
      <c r="R342" t="s">
        <v>74</v>
      </c>
      <c r="S342" t="s">
        <v>2066</v>
      </c>
      <c r="T342" s="2">
        <v>935</v>
      </c>
      <c r="U342" s="3">
        <v>1.63</v>
      </c>
      <c r="V342" s="4">
        <v>1525</v>
      </c>
      <c r="AF342" s="5">
        <v>16.857099999999999</v>
      </c>
      <c r="AI342" s="1">
        <v>3</v>
      </c>
      <c r="AJ342" t="s">
        <v>81</v>
      </c>
      <c r="AK342" t="s">
        <v>82</v>
      </c>
      <c r="AL342" t="s">
        <v>83</v>
      </c>
      <c r="AM342" s="3">
        <v>1.53</v>
      </c>
      <c r="AN342" s="4">
        <v>1844</v>
      </c>
      <c r="AO342" s="1">
        <v>1204</v>
      </c>
      <c r="AS342" s="3">
        <v>1899104</v>
      </c>
      <c r="AW342" t="s">
        <v>84</v>
      </c>
      <c r="AY342" s="3">
        <v>1.7</v>
      </c>
      <c r="AZ342" s="4">
        <v>1369</v>
      </c>
      <c r="BA342" s="1">
        <v>804</v>
      </c>
      <c r="BB342" s="1">
        <v>235</v>
      </c>
      <c r="BC342" s="1">
        <v>115</v>
      </c>
      <c r="BG342" t="s">
        <v>131</v>
      </c>
    </row>
    <row r="343" spans="1:62" x14ac:dyDescent="0.25">
      <c r="A343" t="s">
        <v>2067</v>
      </c>
      <c r="B343" t="s">
        <v>2068</v>
      </c>
      <c r="C343" s="1">
        <v>189</v>
      </c>
      <c r="D343" s="1">
        <v>1998</v>
      </c>
      <c r="E343" t="s">
        <v>64</v>
      </c>
      <c r="F343" t="s">
        <v>2069</v>
      </c>
      <c r="G343" t="s">
        <v>1976</v>
      </c>
      <c r="H343" t="s">
        <v>2070</v>
      </c>
      <c r="I343" t="s">
        <v>2071</v>
      </c>
      <c r="J343" t="s">
        <v>1976</v>
      </c>
      <c r="K343" s="1">
        <v>4</v>
      </c>
      <c r="L343" t="s">
        <v>91</v>
      </c>
      <c r="M343" t="s">
        <v>70</v>
      </c>
      <c r="N343" t="s">
        <v>71</v>
      </c>
      <c r="P343" t="s">
        <v>72</v>
      </c>
      <c r="Q343" t="s">
        <v>152</v>
      </c>
      <c r="R343" t="s">
        <v>74</v>
      </c>
      <c r="S343" t="s">
        <v>2072</v>
      </c>
      <c r="T343" s="2">
        <v>1059</v>
      </c>
      <c r="U343" s="3">
        <v>1.63</v>
      </c>
      <c r="V343" s="4">
        <v>1733</v>
      </c>
      <c r="AF343" s="5">
        <v>5.8201000000000001</v>
      </c>
      <c r="AI343" s="1">
        <v>3</v>
      </c>
      <c r="AJ343" t="s">
        <v>81</v>
      </c>
      <c r="AK343" t="s">
        <v>82</v>
      </c>
      <c r="AL343" t="s">
        <v>83</v>
      </c>
      <c r="AM343" s="3">
        <v>1.55</v>
      </c>
      <c r="AN343" s="4">
        <v>1859</v>
      </c>
      <c r="AO343" s="1">
        <v>1199</v>
      </c>
      <c r="AP343" s="3">
        <v>1.42</v>
      </c>
      <c r="AQ343" s="4">
        <v>2227</v>
      </c>
      <c r="AR343" s="1">
        <v>1565</v>
      </c>
      <c r="AS343" s="3">
        <v>845942.76</v>
      </c>
      <c r="AW343" t="s">
        <v>84</v>
      </c>
      <c r="AY343" s="3">
        <v>1.88</v>
      </c>
      <c r="AZ343" s="4">
        <v>1482</v>
      </c>
      <c r="BA343" s="1">
        <v>790</v>
      </c>
      <c r="BB343" s="1">
        <v>75</v>
      </c>
      <c r="BC343" s="1">
        <v>102</v>
      </c>
      <c r="BD343" s="1">
        <v>12</v>
      </c>
      <c r="BG343" t="s">
        <v>131</v>
      </c>
    </row>
    <row r="344" spans="1:62" x14ac:dyDescent="0.25">
      <c r="A344" t="s">
        <v>2073</v>
      </c>
      <c r="B344" t="s">
        <v>2074</v>
      </c>
      <c r="C344" s="1">
        <v>149</v>
      </c>
      <c r="D344" s="1">
        <v>1999</v>
      </c>
      <c r="E344" t="s">
        <v>64</v>
      </c>
      <c r="F344" t="s">
        <v>140</v>
      </c>
      <c r="G344" t="s">
        <v>1155</v>
      </c>
      <c r="H344" t="s">
        <v>2075</v>
      </c>
      <c r="I344" t="s">
        <v>2076</v>
      </c>
      <c r="J344" t="s">
        <v>1155</v>
      </c>
      <c r="K344" s="1">
        <v>2</v>
      </c>
      <c r="L344" t="s">
        <v>69</v>
      </c>
      <c r="M344" t="s">
        <v>70</v>
      </c>
      <c r="N344" t="s">
        <v>127</v>
      </c>
      <c r="P344" t="s">
        <v>72</v>
      </c>
      <c r="Q344" t="s">
        <v>140</v>
      </c>
      <c r="R344" t="s">
        <v>74</v>
      </c>
      <c r="S344" t="s">
        <v>1050</v>
      </c>
      <c r="T344" s="2">
        <v>1400</v>
      </c>
      <c r="AF344" s="5">
        <v>7.3826000000000001</v>
      </c>
      <c r="AI344" s="1">
        <v>1</v>
      </c>
      <c r="AJ344" t="s">
        <v>81</v>
      </c>
      <c r="AK344" t="s">
        <v>82</v>
      </c>
      <c r="AL344" t="s">
        <v>83</v>
      </c>
      <c r="AR344" s="1">
        <v>1400</v>
      </c>
      <c r="AS344" s="3">
        <v>88766.89</v>
      </c>
      <c r="AW344" t="s">
        <v>84</v>
      </c>
      <c r="BD344" s="1">
        <v>149</v>
      </c>
    </row>
    <row r="345" spans="1:62" x14ac:dyDescent="0.25">
      <c r="A345" t="s">
        <v>2077</v>
      </c>
      <c r="B345" t="s">
        <v>2078</v>
      </c>
      <c r="C345" s="1">
        <v>498</v>
      </c>
      <c r="D345" s="1">
        <v>2000</v>
      </c>
      <c r="E345" t="s">
        <v>64</v>
      </c>
      <c r="F345" t="s">
        <v>140</v>
      </c>
      <c r="G345" t="s">
        <v>801</v>
      </c>
      <c r="H345" t="s">
        <v>2079</v>
      </c>
      <c r="I345" t="s">
        <v>2080</v>
      </c>
      <c r="J345" t="s">
        <v>801</v>
      </c>
      <c r="K345" s="1">
        <v>3</v>
      </c>
      <c r="L345" t="s">
        <v>91</v>
      </c>
      <c r="M345" t="s">
        <v>70</v>
      </c>
      <c r="N345" t="s">
        <v>71</v>
      </c>
      <c r="P345" t="s">
        <v>72</v>
      </c>
      <c r="Q345" t="s">
        <v>140</v>
      </c>
      <c r="R345" t="s">
        <v>74</v>
      </c>
      <c r="S345" t="s">
        <v>1050</v>
      </c>
      <c r="T345" s="2">
        <v>943</v>
      </c>
      <c r="U345" s="3">
        <v>1.53</v>
      </c>
      <c r="V345" s="4">
        <v>1443</v>
      </c>
      <c r="AF345" s="5">
        <v>5.0201000000000002</v>
      </c>
      <c r="AI345" s="1">
        <v>3</v>
      </c>
      <c r="AJ345" t="s">
        <v>81</v>
      </c>
      <c r="AK345" t="s">
        <v>82</v>
      </c>
      <c r="AL345" t="s">
        <v>83</v>
      </c>
      <c r="AM345" s="3">
        <v>1.57</v>
      </c>
      <c r="AN345" s="4">
        <v>1575</v>
      </c>
      <c r="AO345" s="1">
        <v>1001</v>
      </c>
      <c r="AP345" s="3">
        <v>1.4</v>
      </c>
      <c r="AQ345" s="4">
        <v>1830</v>
      </c>
      <c r="AR345" s="1">
        <v>1311</v>
      </c>
      <c r="AS345" s="3">
        <v>1289323.31</v>
      </c>
      <c r="AW345" t="s">
        <v>84</v>
      </c>
      <c r="AY345" s="3">
        <v>1.63</v>
      </c>
      <c r="AZ345" s="4">
        <v>1145</v>
      </c>
      <c r="BA345" s="1">
        <v>705</v>
      </c>
      <c r="BB345" s="1">
        <v>228</v>
      </c>
      <c r="BC345" s="1">
        <v>144</v>
      </c>
      <c r="BD345" s="1">
        <v>126</v>
      </c>
    </row>
    <row r="346" spans="1:62" x14ac:dyDescent="0.25">
      <c r="A346" t="s">
        <v>2081</v>
      </c>
      <c r="B346" t="s">
        <v>2082</v>
      </c>
      <c r="C346" s="1">
        <v>1331</v>
      </c>
      <c r="D346" s="1">
        <v>1998</v>
      </c>
      <c r="E346" t="s">
        <v>64</v>
      </c>
      <c r="F346" t="s">
        <v>2083</v>
      </c>
      <c r="G346" t="s">
        <v>801</v>
      </c>
      <c r="H346" t="s">
        <v>2084</v>
      </c>
      <c r="J346" t="s">
        <v>801</v>
      </c>
      <c r="K346" s="1">
        <v>4</v>
      </c>
      <c r="L346" t="s">
        <v>91</v>
      </c>
      <c r="M346" t="s">
        <v>70</v>
      </c>
      <c r="N346" t="s">
        <v>71</v>
      </c>
      <c r="P346" t="s">
        <v>72</v>
      </c>
      <c r="Q346" t="s">
        <v>2085</v>
      </c>
      <c r="R346" t="s">
        <v>74</v>
      </c>
      <c r="S346" t="s">
        <v>2086</v>
      </c>
      <c r="T346" s="2">
        <v>861</v>
      </c>
      <c r="U346" s="3">
        <v>1.92</v>
      </c>
      <c r="V346" s="4">
        <v>1653</v>
      </c>
      <c r="AF346" s="5">
        <v>3.456</v>
      </c>
      <c r="AI346" s="1">
        <v>4</v>
      </c>
      <c r="AJ346" t="s">
        <v>81</v>
      </c>
      <c r="AK346" t="s">
        <v>82</v>
      </c>
      <c r="AL346" t="s">
        <v>83</v>
      </c>
      <c r="AM346" s="3">
        <v>1.87</v>
      </c>
      <c r="AN346" s="4">
        <v>2112</v>
      </c>
      <c r="AO346" s="1">
        <v>1127</v>
      </c>
      <c r="AP346" s="3">
        <v>1.92</v>
      </c>
      <c r="AQ346" s="4">
        <v>2742</v>
      </c>
      <c r="AR346" s="1">
        <v>1427</v>
      </c>
      <c r="AS346" s="3">
        <v>4845932.99</v>
      </c>
      <c r="AT346" s="3">
        <v>1.89</v>
      </c>
      <c r="AU346" s="4">
        <v>1266</v>
      </c>
      <c r="AV346" s="6">
        <v>670</v>
      </c>
      <c r="AW346" t="s">
        <v>84</v>
      </c>
      <c r="AY346" s="3">
        <v>1.96</v>
      </c>
      <c r="AZ346" s="4">
        <v>1685</v>
      </c>
      <c r="BA346" s="1">
        <v>862</v>
      </c>
      <c r="BB346" s="1">
        <v>635</v>
      </c>
      <c r="BC346" s="1">
        <v>269</v>
      </c>
      <c r="BD346" s="1">
        <v>14</v>
      </c>
    </row>
    <row r="347" spans="1:62" x14ac:dyDescent="0.25">
      <c r="A347" t="s">
        <v>2087</v>
      </c>
      <c r="B347" t="s">
        <v>2088</v>
      </c>
      <c r="C347" s="1">
        <v>264</v>
      </c>
      <c r="D347" s="1">
        <v>1997</v>
      </c>
      <c r="E347" t="s">
        <v>64</v>
      </c>
      <c r="F347" t="s">
        <v>734</v>
      </c>
      <c r="G347" t="s">
        <v>1894</v>
      </c>
      <c r="H347" t="s">
        <v>2089</v>
      </c>
      <c r="I347" t="s">
        <v>2090</v>
      </c>
      <c r="J347" t="s">
        <v>1894</v>
      </c>
      <c r="K347" s="1">
        <v>4</v>
      </c>
      <c r="L347" t="s">
        <v>729</v>
      </c>
      <c r="M347" t="s">
        <v>70</v>
      </c>
      <c r="N347" t="s">
        <v>71</v>
      </c>
      <c r="P347" t="s">
        <v>72</v>
      </c>
      <c r="Q347" t="s">
        <v>73</v>
      </c>
      <c r="R347" t="s">
        <v>74</v>
      </c>
      <c r="S347" t="s">
        <v>730</v>
      </c>
      <c r="T347" s="2">
        <v>920</v>
      </c>
      <c r="U347" s="3">
        <v>2.0299999999999998</v>
      </c>
      <c r="V347" s="4">
        <v>1868</v>
      </c>
      <c r="AF347" s="5">
        <v>12.8788</v>
      </c>
      <c r="AH347" s="1">
        <v>2005</v>
      </c>
      <c r="AI347" s="1">
        <v>2</v>
      </c>
      <c r="AJ347" t="s">
        <v>81</v>
      </c>
      <c r="AK347" t="s">
        <v>82</v>
      </c>
      <c r="AL347" t="s">
        <v>83</v>
      </c>
      <c r="AM347" s="3">
        <v>1.97</v>
      </c>
      <c r="AN347" s="4">
        <v>2112</v>
      </c>
      <c r="AO347" s="1">
        <v>1076</v>
      </c>
      <c r="AS347" s="3">
        <v>724074.72</v>
      </c>
      <c r="AW347" t="s">
        <v>84</v>
      </c>
      <c r="AY347" s="3">
        <v>2.1</v>
      </c>
      <c r="AZ347" s="4">
        <v>1664</v>
      </c>
      <c r="BA347" s="1">
        <v>794</v>
      </c>
      <c r="BB347" s="1">
        <v>144</v>
      </c>
      <c r="BC347" s="1">
        <v>120</v>
      </c>
      <c r="BF347" t="s">
        <v>2091</v>
      </c>
      <c r="BG347" t="s">
        <v>104</v>
      </c>
    </row>
    <row r="348" spans="1:62" x14ac:dyDescent="0.25">
      <c r="A348" t="s">
        <v>2092</v>
      </c>
      <c r="B348" t="s">
        <v>2093</v>
      </c>
      <c r="C348" s="1">
        <v>478</v>
      </c>
      <c r="D348" s="1">
        <v>1996</v>
      </c>
      <c r="E348" t="s">
        <v>64</v>
      </c>
      <c r="F348" t="s">
        <v>177</v>
      </c>
      <c r="G348" t="s">
        <v>801</v>
      </c>
      <c r="H348" t="s">
        <v>2094</v>
      </c>
      <c r="I348" t="s">
        <v>2095</v>
      </c>
      <c r="J348" t="s">
        <v>801</v>
      </c>
      <c r="K348" s="1">
        <v>4</v>
      </c>
      <c r="L348" t="s">
        <v>91</v>
      </c>
      <c r="M348" t="s">
        <v>70</v>
      </c>
      <c r="N348" t="s">
        <v>71</v>
      </c>
      <c r="P348" t="s">
        <v>72</v>
      </c>
      <c r="Q348" t="s">
        <v>181</v>
      </c>
      <c r="R348" t="s">
        <v>74</v>
      </c>
      <c r="S348" t="s">
        <v>182</v>
      </c>
      <c r="T348" s="2">
        <v>916</v>
      </c>
      <c r="U348" s="3">
        <v>1.65</v>
      </c>
      <c r="V348" s="4">
        <v>1509</v>
      </c>
      <c r="AF348" s="5">
        <v>7.5313999999999997</v>
      </c>
      <c r="AI348" s="1">
        <v>3</v>
      </c>
      <c r="AJ348" t="s">
        <v>81</v>
      </c>
      <c r="AK348" t="s">
        <v>82</v>
      </c>
      <c r="AL348" t="s">
        <v>83</v>
      </c>
      <c r="AM348" s="3">
        <v>1.55</v>
      </c>
      <c r="AN348" s="4">
        <v>1682</v>
      </c>
      <c r="AO348" s="1">
        <v>1084</v>
      </c>
      <c r="AP348" s="3">
        <v>1.42</v>
      </c>
      <c r="AQ348" s="4">
        <v>1927</v>
      </c>
      <c r="AR348" s="1">
        <v>1352</v>
      </c>
      <c r="AS348" s="3">
        <v>1907189.12</v>
      </c>
      <c r="AW348" t="s">
        <v>84</v>
      </c>
      <c r="AY348" s="3">
        <v>1.79</v>
      </c>
      <c r="AZ348" s="4">
        <v>1334</v>
      </c>
      <c r="BA348" s="1">
        <v>745</v>
      </c>
      <c r="BB348" s="1">
        <v>246</v>
      </c>
      <c r="BC348" s="1">
        <v>220</v>
      </c>
      <c r="BD348" s="1">
        <v>12</v>
      </c>
    </row>
    <row r="349" spans="1:62" x14ac:dyDescent="0.25">
      <c r="A349" t="s">
        <v>2096</v>
      </c>
      <c r="B349" t="s">
        <v>2097</v>
      </c>
      <c r="C349" s="1">
        <v>133</v>
      </c>
      <c r="D349" s="1">
        <v>1991</v>
      </c>
      <c r="E349" t="s">
        <v>64</v>
      </c>
      <c r="F349" t="s">
        <v>87</v>
      </c>
      <c r="G349" t="s">
        <v>801</v>
      </c>
      <c r="H349" t="s">
        <v>2098</v>
      </c>
      <c r="I349" t="s">
        <v>2099</v>
      </c>
      <c r="J349" t="s">
        <v>801</v>
      </c>
      <c r="K349" s="1">
        <v>3</v>
      </c>
      <c r="L349" t="s">
        <v>91</v>
      </c>
      <c r="M349" t="s">
        <v>70</v>
      </c>
      <c r="N349" t="s">
        <v>71</v>
      </c>
      <c r="P349" t="s">
        <v>72</v>
      </c>
      <c r="Q349" t="s">
        <v>73</v>
      </c>
      <c r="R349" t="s">
        <v>74</v>
      </c>
      <c r="S349" t="s">
        <v>92</v>
      </c>
      <c r="T349" s="2">
        <v>769</v>
      </c>
      <c r="U349" s="3">
        <v>2.5</v>
      </c>
      <c r="V349" s="4">
        <v>1922</v>
      </c>
      <c r="AF349" s="5">
        <v>3.7593999999999999</v>
      </c>
      <c r="AI349" s="1">
        <v>4</v>
      </c>
      <c r="AJ349" t="s">
        <v>81</v>
      </c>
      <c r="AK349" t="s">
        <v>82</v>
      </c>
      <c r="AL349" t="s">
        <v>83</v>
      </c>
      <c r="AM349" s="3">
        <v>2.35</v>
      </c>
      <c r="AN349" s="4">
        <v>2305</v>
      </c>
      <c r="AO349" s="1">
        <v>981</v>
      </c>
      <c r="AS349" s="3">
        <v>706809.3</v>
      </c>
      <c r="AT349" s="3">
        <v>3.18</v>
      </c>
      <c r="AU349" s="4">
        <v>1547</v>
      </c>
      <c r="AV349" s="6">
        <v>486</v>
      </c>
      <c r="AW349" t="s">
        <v>84</v>
      </c>
      <c r="AY349" s="3">
        <v>2.5499999999999998</v>
      </c>
      <c r="AZ349" s="4">
        <v>1804</v>
      </c>
      <c r="BA349" s="1">
        <v>708</v>
      </c>
      <c r="BB349" s="1">
        <v>94</v>
      </c>
      <c r="BC349" s="1">
        <v>34</v>
      </c>
    </row>
    <row r="350" spans="1:62" x14ac:dyDescent="0.25">
      <c r="A350" t="s">
        <v>2100</v>
      </c>
      <c r="B350" t="s">
        <v>2101</v>
      </c>
      <c r="C350" s="1">
        <v>290</v>
      </c>
      <c r="D350" s="1">
        <v>1999</v>
      </c>
      <c r="E350" t="s">
        <v>64</v>
      </c>
      <c r="F350" t="s">
        <v>87</v>
      </c>
      <c r="G350" t="s">
        <v>2102</v>
      </c>
      <c r="H350" t="s">
        <v>2103</v>
      </c>
      <c r="J350" t="s">
        <v>2102</v>
      </c>
      <c r="K350" s="1">
        <v>4</v>
      </c>
      <c r="L350" t="s">
        <v>729</v>
      </c>
      <c r="M350" t="s">
        <v>70</v>
      </c>
      <c r="N350" t="s">
        <v>71</v>
      </c>
      <c r="P350" t="s">
        <v>72</v>
      </c>
      <c r="Q350" t="s">
        <v>73</v>
      </c>
      <c r="R350" t="s">
        <v>74</v>
      </c>
      <c r="S350" t="s">
        <v>92</v>
      </c>
      <c r="T350" s="2">
        <v>1143</v>
      </c>
      <c r="U350" s="3">
        <v>2.44</v>
      </c>
      <c r="V350" s="4">
        <v>2794</v>
      </c>
      <c r="AF350" s="5">
        <v>6.8966000000000003</v>
      </c>
      <c r="AI350" s="1">
        <v>7</v>
      </c>
      <c r="AJ350" t="s">
        <v>81</v>
      </c>
      <c r="AK350" t="s">
        <v>82</v>
      </c>
      <c r="AL350" t="s">
        <v>83</v>
      </c>
      <c r="AM350" s="3">
        <v>2.41</v>
      </c>
      <c r="AN350" s="4">
        <v>3262</v>
      </c>
      <c r="AO350" s="1">
        <v>1352</v>
      </c>
      <c r="AP350" s="3">
        <v>1.97</v>
      </c>
      <c r="AQ350" s="4">
        <v>5036</v>
      </c>
      <c r="AR350" s="1">
        <v>2560</v>
      </c>
      <c r="AS350" s="3">
        <v>1915225.2</v>
      </c>
      <c r="AW350" t="s">
        <v>84</v>
      </c>
      <c r="AY350" s="3">
        <v>2.58</v>
      </c>
      <c r="AZ350" s="4">
        <v>2247</v>
      </c>
      <c r="BA350" s="1">
        <v>870</v>
      </c>
      <c r="BB350" s="1">
        <v>166</v>
      </c>
      <c r="BC350" s="1">
        <v>108</v>
      </c>
      <c r="BD350" s="1">
        <v>12</v>
      </c>
      <c r="BE350" s="1">
        <v>4</v>
      </c>
      <c r="BG350" t="s">
        <v>94</v>
      </c>
      <c r="BH350" s="3">
        <v>2.39</v>
      </c>
      <c r="BI350" s="4">
        <v>6164</v>
      </c>
      <c r="BJ350" s="1">
        <v>2582</v>
      </c>
    </row>
    <row r="351" spans="1:62" x14ac:dyDescent="0.25">
      <c r="A351" t="s">
        <v>2104</v>
      </c>
      <c r="B351" t="s">
        <v>2105</v>
      </c>
      <c r="C351" s="1">
        <v>494</v>
      </c>
      <c r="D351" s="1">
        <v>1996</v>
      </c>
      <c r="E351" t="s">
        <v>64</v>
      </c>
      <c r="F351" t="s">
        <v>87</v>
      </c>
      <c r="G351" t="s">
        <v>801</v>
      </c>
      <c r="H351" t="s">
        <v>2106</v>
      </c>
      <c r="I351" t="s">
        <v>2099</v>
      </c>
      <c r="J351" t="s">
        <v>801</v>
      </c>
      <c r="K351" s="1">
        <v>4</v>
      </c>
      <c r="L351" t="s">
        <v>91</v>
      </c>
      <c r="M351" t="s">
        <v>70</v>
      </c>
      <c r="N351" t="s">
        <v>71</v>
      </c>
      <c r="P351" t="s">
        <v>72</v>
      </c>
      <c r="Q351" t="s">
        <v>73</v>
      </c>
      <c r="R351" t="s">
        <v>74</v>
      </c>
      <c r="S351" t="s">
        <v>92</v>
      </c>
      <c r="T351" s="2">
        <v>801</v>
      </c>
      <c r="U351" s="3">
        <v>2.2400000000000002</v>
      </c>
      <c r="V351" s="4">
        <v>1795</v>
      </c>
      <c r="AF351" s="5">
        <v>5.0606999999999998</v>
      </c>
      <c r="AI351" s="1">
        <v>4</v>
      </c>
      <c r="AJ351" t="s">
        <v>81</v>
      </c>
      <c r="AK351" t="s">
        <v>82</v>
      </c>
      <c r="AL351" t="s">
        <v>83</v>
      </c>
      <c r="AM351" s="3">
        <v>2.06</v>
      </c>
      <c r="AN351" s="4">
        <v>2244</v>
      </c>
      <c r="AO351" s="1">
        <v>1090</v>
      </c>
      <c r="AS351" s="3">
        <v>2441912.12</v>
      </c>
      <c r="AT351" s="3">
        <v>2.17</v>
      </c>
      <c r="AU351" s="4">
        <v>1599</v>
      </c>
      <c r="AV351" s="6">
        <v>737</v>
      </c>
      <c r="AW351" t="s">
        <v>84</v>
      </c>
      <c r="AY351" s="3">
        <v>2.35</v>
      </c>
      <c r="AZ351" s="4">
        <v>1665</v>
      </c>
      <c r="BA351" s="1">
        <v>709</v>
      </c>
      <c r="BB351" s="1">
        <v>337</v>
      </c>
      <c r="BC351" s="1">
        <v>116</v>
      </c>
    </row>
    <row r="352" spans="1:62" x14ac:dyDescent="0.25">
      <c r="A352" t="s">
        <v>2107</v>
      </c>
      <c r="B352" t="s">
        <v>2108</v>
      </c>
      <c r="C352" s="1">
        <v>464</v>
      </c>
      <c r="D352" s="1">
        <v>1998</v>
      </c>
      <c r="E352" t="s">
        <v>64</v>
      </c>
      <c r="F352" t="s">
        <v>140</v>
      </c>
      <c r="G352" t="s">
        <v>1277</v>
      </c>
      <c r="H352" t="s">
        <v>2109</v>
      </c>
      <c r="I352" t="s">
        <v>2110</v>
      </c>
      <c r="J352" t="s">
        <v>1277</v>
      </c>
      <c r="K352" s="1">
        <v>4</v>
      </c>
      <c r="L352" t="s">
        <v>91</v>
      </c>
      <c r="M352" t="s">
        <v>70</v>
      </c>
      <c r="N352" t="s">
        <v>71</v>
      </c>
      <c r="P352" t="s">
        <v>72</v>
      </c>
      <c r="Q352" t="s">
        <v>134</v>
      </c>
      <c r="R352" t="s">
        <v>74</v>
      </c>
      <c r="S352" t="s">
        <v>2111</v>
      </c>
      <c r="T352" s="2">
        <v>1000</v>
      </c>
      <c r="U352" s="3">
        <v>1.88</v>
      </c>
      <c r="V352" s="4">
        <v>1876</v>
      </c>
      <c r="AF352" s="5">
        <v>7.9741</v>
      </c>
      <c r="AI352" s="1">
        <v>2</v>
      </c>
      <c r="AJ352" t="s">
        <v>81</v>
      </c>
      <c r="AK352" t="s">
        <v>82</v>
      </c>
      <c r="AL352" t="s">
        <v>83</v>
      </c>
      <c r="AM352" s="3">
        <v>1.84</v>
      </c>
      <c r="AN352" s="4">
        <v>2022</v>
      </c>
      <c r="AO352" s="1">
        <v>1096</v>
      </c>
      <c r="AP352" s="3">
        <v>1.72</v>
      </c>
      <c r="AQ352" s="4">
        <v>2495</v>
      </c>
      <c r="AR352" s="1">
        <v>1454</v>
      </c>
      <c r="AS352" s="3">
        <v>1438977.35</v>
      </c>
      <c r="AW352" t="s">
        <v>84</v>
      </c>
      <c r="AY352" s="3">
        <v>1.99</v>
      </c>
      <c r="AZ352" s="4">
        <v>1581</v>
      </c>
      <c r="BA352" s="1">
        <v>795</v>
      </c>
      <c r="BB352" s="1">
        <v>211</v>
      </c>
      <c r="BC352" s="1">
        <v>200</v>
      </c>
      <c r="BD352" s="1">
        <v>53</v>
      </c>
    </row>
    <row r="353" spans="1:62" x14ac:dyDescent="0.25">
      <c r="A353" t="s">
        <v>2112</v>
      </c>
      <c r="B353" t="s">
        <v>2113</v>
      </c>
      <c r="C353" s="1">
        <v>167</v>
      </c>
      <c r="D353" s="1">
        <v>1996</v>
      </c>
      <c r="E353" t="s">
        <v>64</v>
      </c>
      <c r="F353" t="s">
        <v>140</v>
      </c>
      <c r="G353" t="s">
        <v>1047</v>
      </c>
      <c r="H353" t="s">
        <v>1047</v>
      </c>
      <c r="I353" t="s">
        <v>2114</v>
      </c>
      <c r="J353" t="s">
        <v>1047</v>
      </c>
      <c r="K353" s="1">
        <v>3</v>
      </c>
      <c r="L353" t="s">
        <v>91</v>
      </c>
      <c r="M353" t="s">
        <v>70</v>
      </c>
      <c r="N353" t="s">
        <v>71</v>
      </c>
      <c r="O353" t="s">
        <v>426</v>
      </c>
      <c r="P353" t="s">
        <v>72</v>
      </c>
      <c r="Q353" t="s">
        <v>140</v>
      </c>
      <c r="R353" t="s">
        <v>74</v>
      </c>
      <c r="S353" t="s">
        <v>2115</v>
      </c>
      <c r="T353" s="2">
        <v>520</v>
      </c>
      <c r="AF353" s="5">
        <v>6.5868000000000002</v>
      </c>
      <c r="AI353" s="1">
        <v>1</v>
      </c>
      <c r="AJ353" t="s">
        <v>81</v>
      </c>
      <c r="AK353" t="s">
        <v>82</v>
      </c>
      <c r="AL353" t="s">
        <v>83</v>
      </c>
      <c r="AS353" s="3">
        <v>84428.72</v>
      </c>
      <c r="AW353" t="s">
        <v>84</v>
      </c>
      <c r="BA353" s="1">
        <v>520</v>
      </c>
      <c r="BB353" s="1">
        <v>167</v>
      </c>
    </row>
    <row r="354" spans="1:62" x14ac:dyDescent="0.25">
      <c r="A354" t="s">
        <v>2116</v>
      </c>
      <c r="B354" t="s">
        <v>2117</v>
      </c>
      <c r="C354" s="1">
        <v>392</v>
      </c>
      <c r="D354" s="1">
        <v>1997</v>
      </c>
      <c r="E354" t="s">
        <v>64</v>
      </c>
      <c r="F354" t="s">
        <v>269</v>
      </c>
      <c r="G354" t="s">
        <v>2118</v>
      </c>
      <c r="H354" t="s">
        <v>2119</v>
      </c>
      <c r="I354" t="s">
        <v>2120</v>
      </c>
      <c r="J354" t="s">
        <v>2118</v>
      </c>
      <c r="K354" s="1">
        <v>3</v>
      </c>
      <c r="L354" t="s">
        <v>91</v>
      </c>
      <c r="M354" t="s">
        <v>70</v>
      </c>
      <c r="N354" t="s">
        <v>71</v>
      </c>
      <c r="P354" t="s">
        <v>72</v>
      </c>
      <c r="Q354" t="s">
        <v>73</v>
      </c>
      <c r="R354" t="s">
        <v>74</v>
      </c>
      <c r="S354" t="s">
        <v>272</v>
      </c>
      <c r="T354" s="2">
        <v>1116</v>
      </c>
      <c r="U354" s="3">
        <v>1.87</v>
      </c>
      <c r="V354" s="4">
        <v>2086</v>
      </c>
      <c r="AF354" s="5">
        <v>5.1020000000000003</v>
      </c>
      <c r="AI354" s="1">
        <v>3</v>
      </c>
      <c r="AJ354" t="s">
        <v>81</v>
      </c>
      <c r="AK354" t="s">
        <v>82</v>
      </c>
      <c r="AL354" t="s">
        <v>83</v>
      </c>
      <c r="AM354" s="3">
        <v>1.8</v>
      </c>
      <c r="AN354" s="4">
        <v>2203</v>
      </c>
      <c r="AO354" s="1">
        <v>1222</v>
      </c>
      <c r="AP354" s="3">
        <v>1.69</v>
      </c>
      <c r="AQ354" s="4">
        <v>2607</v>
      </c>
      <c r="AR354" s="1">
        <v>1540</v>
      </c>
      <c r="AS354" s="3">
        <v>1978001.56</v>
      </c>
      <c r="AW354" t="s">
        <v>84</v>
      </c>
      <c r="AY354" s="3">
        <v>2.12</v>
      </c>
      <c r="AZ354" s="4">
        <v>1756</v>
      </c>
      <c r="BA354" s="1">
        <v>827</v>
      </c>
      <c r="BB354" s="1">
        <v>148</v>
      </c>
      <c r="BC354" s="1">
        <v>190</v>
      </c>
      <c r="BD354" s="1">
        <v>54</v>
      </c>
    </row>
    <row r="355" spans="1:62" x14ac:dyDescent="0.25">
      <c r="A355" t="s">
        <v>2121</v>
      </c>
      <c r="B355" t="s">
        <v>2122</v>
      </c>
      <c r="C355" s="1">
        <v>104</v>
      </c>
      <c r="D355" s="1">
        <v>1996</v>
      </c>
      <c r="E355" t="s">
        <v>64</v>
      </c>
      <c r="F355" t="s">
        <v>134</v>
      </c>
      <c r="G355" t="s">
        <v>1493</v>
      </c>
      <c r="H355" t="s">
        <v>2123</v>
      </c>
      <c r="I355" t="s">
        <v>2124</v>
      </c>
      <c r="J355" t="s">
        <v>1493</v>
      </c>
      <c r="K355" s="1">
        <v>3</v>
      </c>
      <c r="L355" t="s">
        <v>91</v>
      </c>
      <c r="M355" t="s">
        <v>70</v>
      </c>
      <c r="N355" t="s">
        <v>71</v>
      </c>
      <c r="P355" t="s">
        <v>72</v>
      </c>
      <c r="Q355" t="s">
        <v>134</v>
      </c>
      <c r="R355" t="s">
        <v>74</v>
      </c>
      <c r="S355" t="s">
        <v>2125</v>
      </c>
      <c r="T355" s="2">
        <v>695</v>
      </c>
      <c r="U355" s="3">
        <v>4.1100000000000003</v>
      </c>
      <c r="V355" s="4">
        <v>2860</v>
      </c>
      <c r="AF355" s="5">
        <v>16.3462</v>
      </c>
      <c r="AI355" s="1">
        <v>2</v>
      </c>
      <c r="AJ355" t="s">
        <v>81</v>
      </c>
      <c r="AK355" t="s">
        <v>82</v>
      </c>
      <c r="AL355" t="s">
        <v>83</v>
      </c>
      <c r="AM355" s="3">
        <v>3.61</v>
      </c>
      <c r="AN355" s="4">
        <v>3930</v>
      </c>
      <c r="AO355" s="1">
        <v>1089</v>
      </c>
      <c r="AS355" s="3">
        <v>152633.25</v>
      </c>
      <c r="AT355" s="3">
        <v>4.5</v>
      </c>
      <c r="AU355" s="4">
        <v>2419</v>
      </c>
      <c r="AV355" s="6">
        <v>537</v>
      </c>
      <c r="AW355" t="s">
        <v>84</v>
      </c>
      <c r="AY355" s="3">
        <v>4.01</v>
      </c>
      <c r="AZ355" s="4">
        <v>3023</v>
      </c>
      <c r="BA355" s="1">
        <v>753</v>
      </c>
      <c r="BB355" s="1">
        <v>56</v>
      </c>
      <c r="BC355" s="1">
        <v>8</v>
      </c>
    </row>
    <row r="356" spans="1:62" x14ac:dyDescent="0.25">
      <c r="A356" t="s">
        <v>2126</v>
      </c>
      <c r="B356" t="s">
        <v>2127</v>
      </c>
      <c r="C356" s="1">
        <v>524</v>
      </c>
      <c r="D356" s="1">
        <v>1997</v>
      </c>
      <c r="E356" t="s">
        <v>64</v>
      </c>
      <c r="F356" t="s">
        <v>477</v>
      </c>
      <c r="G356" t="s">
        <v>1976</v>
      </c>
      <c r="H356" t="s">
        <v>2128</v>
      </c>
      <c r="I356" t="s">
        <v>2129</v>
      </c>
      <c r="J356" t="s">
        <v>1976</v>
      </c>
      <c r="K356" s="1">
        <v>4</v>
      </c>
      <c r="L356" t="s">
        <v>729</v>
      </c>
      <c r="M356" t="s">
        <v>70</v>
      </c>
      <c r="N356" t="s">
        <v>71</v>
      </c>
      <c r="P356" t="s">
        <v>72</v>
      </c>
      <c r="Q356" t="s">
        <v>110</v>
      </c>
      <c r="R356" t="s">
        <v>74</v>
      </c>
      <c r="S356" t="s">
        <v>704</v>
      </c>
      <c r="T356" s="2">
        <v>889</v>
      </c>
      <c r="U356" s="3">
        <v>1.77</v>
      </c>
      <c r="V356" s="4">
        <v>1574</v>
      </c>
      <c r="AF356" s="5">
        <v>7.0610999999999997</v>
      </c>
      <c r="AI356" s="1">
        <v>3</v>
      </c>
      <c r="AJ356" t="s">
        <v>81</v>
      </c>
      <c r="AK356" t="s">
        <v>82</v>
      </c>
      <c r="AL356" t="s">
        <v>83</v>
      </c>
      <c r="AM356" s="3">
        <v>1.72</v>
      </c>
      <c r="AN356" s="4">
        <v>1800</v>
      </c>
      <c r="AO356" s="1">
        <v>1048</v>
      </c>
      <c r="AP356" s="3">
        <v>1.57</v>
      </c>
      <c r="AQ356" s="4">
        <v>2050</v>
      </c>
      <c r="AR356" s="1">
        <v>1302</v>
      </c>
      <c r="AS356" s="3">
        <v>2141868.4</v>
      </c>
      <c r="AW356" t="s">
        <v>84</v>
      </c>
      <c r="AY356" s="3">
        <v>1.89</v>
      </c>
      <c r="AZ356" s="4">
        <v>1330</v>
      </c>
      <c r="BA356" s="1">
        <v>704</v>
      </c>
      <c r="BB356" s="1">
        <v>277</v>
      </c>
      <c r="BC356" s="1">
        <v>199</v>
      </c>
      <c r="BD356" s="1">
        <v>48</v>
      </c>
      <c r="BG356" t="s">
        <v>131</v>
      </c>
    </row>
    <row r="357" spans="1:62" x14ac:dyDescent="0.25">
      <c r="A357" t="s">
        <v>2130</v>
      </c>
      <c r="B357" t="s">
        <v>2131</v>
      </c>
      <c r="C357" s="1">
        <v>178</v>
      </c>
      <c r="D357" s="1">
        <v>1995</v>
      </c>
      <c r="E357" t="s">
        <v>64</v>
      </c>
      <c r="F357" t="s">
        <v>198</v>
      </c>
      <c r="G357" t="s">
        <v>2132</v>
      </c>
      <c r="H357" t="s">
        <v>2133</v>
      </c>
      <c r="I357" t="s">
        <v>2134</v>
      </c>
      <c r="J357" t="s">
        <v>2132</v>
      </c>
      <c r="K357" s="1">
        <v>3</v>
      </c>
      <c r="L357" t="s">
        <v>91</v>
      </c>
      <c r="M357" t="s">
        <v>70</v>
      </c>
      <c r="N357" t="s">
        <v>71</v>
      </c>
      <c r="P357" t="s">
        <v>72</v>
      </c>
      <c r="Q357" t="s">
        <v>110</v>
      </c>
      <c r="R357" t="s">
        <v>74</v>
      </c>
      <c r="S357" t="s">
        <v>202</v>
      </c>
      <c r="T357" s="2">
        <v>907</v>
      </c>
      <c r="U357" s="3">
        <v>1.6</v>
      </c>
      <c r="V357" s="4">
        <v>1451</v>
      </c>
      <c r="AF357" s="5">
        <v>7.6271000000000004</v>
      </c>
      <c r="AH357" s="1">
        <v>2019</v>
      </c>
      <c r="AI357" s="1">
        <v>3</v>
      </c>
      <c r="AJ357" t="s">
        <v>81</v>
      </c>
      <c r="AK357" t="s">
        <v>82</v>
      </c>
      <c r="AL357" t="s">
        <v>83</v>
      </c>
      <c r="AM357" s="3">
        <v>1.57</v>
      </c>
      <c r="AN357" s="4">
        <v>1568</v>
      </c>
      <c r="AO357" s="1">
        <v>1001</v>
      </c>
      <c r="AP357" s="3">
        <v>1.55</v>
      </c>
      <c r="AQ357" s="4">
        <v>1966</v>
      </c>
      <c r="AR357" s="1">
        <v>1270</v>
      </c>
      <c r="AS357" s="3">
        <v>6192.75</v>
      </c>
      <c r="AW357" t="s">
        <v>84</v>
      </c>
      <c r="AY357" s="3">
        <v>1.64</v>
      </c>
      <c r="AZ357" s="4">
        <v>1310</v>
      </c>
      <c r="BA357" s="1">
        <v>797</v>
      </c>
      <c r="BB357" s="1">
        <v>61</v>
      </c>
      <c r="BC357" s="1">
        <v>52</v>
      </c>
      <c r="BD357" s="1">
        <v>5</v>
      </c>
    </row>
    <row r="358" spans="1:62" x14ac:dyDescent="0.25">
      <c r="A358" t="s">
        <v>2135</v>
      </c>
      <c r="B358" t="s">
        <v>2136</v>
      </c>
      <c r="C358" s="1">
        <v>250</v>
      </c>
      <c r="D358" s="1">
        <v>1996</v>
      </c>
      <c r="E358" t="s">
        <v>64</v>
      </c>
      <c r="F358" t="s">
        <v>177</v>
      </c>
      <c r="G358" t="s">
        <v>2137</v>
      </c>
      <c r="H358" t="s">
        <v>2138</v>
      </c>
      <c r="I358" t="s">
        <v>2139</v>
      </c>
      <c r="J358" t="s">
        <v>2137</v>
      </c>
      <c r="K358" s="1">
        <v>3</v>
      </c>
      <c r="L358" t="s">
        <v>69</v>
      </c>
      <c r="M358" t="s">
        <v>70</v>
      </c>
      <c r="N358" t="s">
        <v>71</v>
      </c>
      <c r="O358" t="s">
        <v>118</v>
      </c>
      <c r="P358" t="s">
        <v>72</v>
      </c>
      <c r="Q358" t="s">
        <v>172</v>
      </c>
      <c r="R358" t="s">
        <v>74</v>
      </c>
      <c r="S358" t="s">
        <v>189</v>
      </c>
      <c r="T358" s="2">
        <v>820</v>
      </c>
      <c r="U358" s="3">
        <v>1.56</v>
      </c>
      <c r="V358" s="4">
        <v>1284</v>
      </c>
      <c r="AF358" s="5">
        <v>7.6</v>
      </c>
      <c r="AI358" s="1">
        <v>2</v>
      </c>
      <c r="AJ358" t="s">
        <v>81</v>
      </c>
      <c r="AK358" t="s">
        <v>82</v>
      </c>
      <c r="AL358" t="s">
        <v>83</v>
      </c>
      <c r="AM358" s="3">
        <v>1.48</v>
      </c>
      <c r="AN358" s="4">
        <v>1358</v>
      </c>
      <c r="AO358" s="1">
        <v>916</v>
      </c>
      <c r="AP358" s="3">
        <v>1.37</v>
      </c>
      <c r="AQ358" s="4">
        <v>1561</v>
      </c>
      <c r="AR358" s="1">
        <v>1139</v>
      </c>
      <c r="AS358" s="3">
        <v>0</v>
      </c>
      <c r="AW358" t="s">
        <v>84</v>
      </c>
      <c r="AY358" s="3">
        <v>1.77</v>
      </c>
      <c r="AZ358" s="4">
        <v>1135</v>
      </c>
      <c r="BA358" s="1">
        <v>640</v>
      </c>
      <c r="BB358" s="1">
        <v>112</v>
      </c>
      <c r="BC358" s="1">
        <v>106</v>
      </c>
      <c r="BD358" s="1">
        <v>32</v>
      </c>
    </row>
    <row r="359" spans="1:62" x14ac:dyDescent="0.25">
      <c r="A359" t="s">
        <v>2140</v>
      </c>
      <c r="B359" t="s">
        <v>2141</v>
      </c>
      <c r="C359" s="1">
        <v>256</v>
      </c>
      <c r="D359" s="1">
        <v>1997</v>
      </c>
      <c r="E359" t="s">
        <v>64</v>
      </c>
      <c r="F359" t="s">
        <v>177</v>
      </c>
      <c r="G359" t="s">
        <v>784</v>
      </c>
      <c r="H359" t="s">
        <v>2142</v>
      </c>
      <c r="I359" t="s">
        <v>2143</v>
      </c>
      <c r="J359" t="s">
        <v>784</v>
      </c>
      <c r="K359" s="1">
        <v>3</v>
      </c>
      <c r="L359" t="s">
        <v>91</v>
      </c>
      <c r="M359" t="s">
        <v>70</v>
      </c>
      <c r="N359" t="s">
        <v>71</v>
      </c>
      <c r="P359" t="s">
        <v>72</v>
      </c>
      <c r="Q359" t="s">
        <v>172</v>
      </c>
      <c r="R359" t="s">
        <v>74</v>
      </c>
      <c r="S359" t="s">
        <v>189</v>
      </c>
      <c r="T359" s="2">
        <v>856</v>
      </c>
      <c r="U359" s="3">
        <v>1.52</v>
      </c>
      <c r="V359" s="4">
        <v>1376</v>
      </c>
      <c r="AF359" s="5">
        <v>5.0781000000000001</v>
      </c>
      <c r="AI359" s="1">
        <v>3</v>
      </c>
      <c r="AJ359" t="s">
        <v>81</v>
      </c>
      <c r="AK359" t="s">
        <v>82</v>
      </c>
      <c r="AL359" t="s">
        <v>83</v>
      </c>
      <c r="AM359" s="3">
        <v>1.65</v>
      </c>
      <c r="AN359" s="4">
        <v>1549</v>
      </c>
      <c r="AO359" s="1">
        <v>900</v>
      </c>
      <c r="AP359" s="3">
        <v>1.48</v>
      </c>
      <c r="AQ359" s="4">
        <v>1929</v>
      </c>
      <c r="AR359" s="1">
        <v>1300</v>
      </c>
      <c r="AS359" s="3">
        <v>873024.8</v>
      </c>
      <c r="AW359" t="s">
        <v>84</v>
      </c>
      <c r="AY359" s="3">
        <v>1.49</v>
      </c>
      <c r="AZ359" s="4">
        <v>1103</v>
      </c>
      <c r="BA359" s="1">
        <v>740</v>
      </c>
      <c r="BB359" s="1">
        <v>112</v>
      </c>
      <c r="BC359" s="1">
        <v>120</v>
      </c>
      <c r="BD359" s="1">
        <v>24</v>
      </c>
      <c r="BG359" t="s">
        <v>131</v>
      </c>
    </row>
    <row r="360" spans="1:62" x14ac:dyDescent="0.25">
      <c r="A360" t="s">
        <v>2144</v>
      </c>
      <c r="B360" t="s">
        <v>2145</v>
      </c>
      <c r="C360" s="1">
        <v>75</v>
      </c>
      <c r="D360" s="1">
        <v>1995</v>
      </c>
      <c r="E360" t="s">
        <v>64</v>
      </c>
      <c r="F360" t="s">
        <v>308</v>
      </c>
      <c r="G360" t="s">
        <v>309</v>
      </c>
      <c r="H360" t="s">
        <v>2146</v>
      </c>
      <c r="I360" t="s">
        <v>2147</v>
      </c>
      <c r="J360" t="s">
        <v>309</v>
      </c>
      <c r="K360" s="1">
        <v>3</v>
      </c>
      <c r="L360" t="s">
        <v>69</v>
      </c>
      <c r="M360" t="s">
        <v>70</v>
      </c>
      <c r="N360" t="s">
        <v>71</v>
      </c>
      <c r="O360" t="s">
        <v>426</v>
      </c>
      <c r="P360" t="s">
        <v>72</v>
      </c>
      <c r="Q360" t="s">
        <v>152</v>
      </c>
      <c r="R360" t="s">
        <v>74</v>
      </c>
      <c r="S360" t="s">
        <v>321</v>
      </c>
      <c r="T360" s="2">
        <v>686</v>
      </c>
      <c r="U360" s="3">
        <v>1.56</v>
      </c>
      <c r="V360" s="4">
        <v>1068</v>
      </c>
      <c r="AF360" s="5">
        <v>4</v>
      </c>
      <c r="AH360" s="1">
        <v>2017</v>
      </c>
      <c r="AI360" s="1">
        <v>1</v>
      </c>
      <c r="AJ360" t="s">
        <v>81</v>
      </c>
      <c r="AK360" t="s">
        <v>82</v>
      </c>
      <c r="AL360" t="s">
        <v>83</v>
      </c>
      <c r="AM360" s="3">
        <v>1.38</v>
      </c>
      <c r="AN360" s="4">
        <v>1119</v>
      </c>
      <c r="AO360" s="1">
        <v>809</v>
      </c>
      <c r="AS360" s="3">
        <v>120970.25</v>
      </c>
      <c r="AW360" t="s">
        <v>84</v>
      </c>
      <c r="AY360" s="3">
        <v>1.6</v>
      </c>
      <c r="AZ360" s="4">
        <v>1057</v>
      </c>
      <c r="BA360" s="1">
        <v>660</v>
      </c>
      <c r="BB360" s="1">
        <v>62</v>
      </c>
      <c r="BC360" s="1">
        <v>13</v>
      </c>
      <c r="BF360" t="s">
        <v>2148</v>
      </c>
      <c r="BG360" t="s">
        <v>104</v>
      </c>
    </row>
    <row r="361" spans="1:62" x14ac:dyDescent="0.25">
      <c r="A361" t="s">
        <v>2149</v>
      </c>
      <c r="B361" t="s">
        <v>2150</v>
      </c>
      <c r="C361" s="1">
        <v>400</v>
      </c>
      <c r="D361" s="1">
        <v>1999</v>
      </c>
      <c r="E361" t="s">
        <v>64</v>
      </c>
      <c r="F361" t="s">
        <v>409</v>
      </c>
      <c r="G361" t="s">
        <v>2151</v>
      </c>
      <c r="H361" t="s">
        <v>2152</v>
      </c>
      <c r="I361" t="s">
        <v>2153</v>
      </c>
      <c r="J361" t="s">
        <v>2151</v>
      </c>
      <c r="K361" s="1">
        <v>3</v>
      </c>
      <c r="L361" t="s">
        <v>91</v>
      </c>
      <c r="M361" t="s">
        <v>70</v>
      </c>
      <c r="N361" t="s">
        <v>71</v>
      </c>
      <c r="P361" t="s">
        <v>72</v>
      </c>
      <c r="Q361" t="s">
        <v>531</v>
      </c>
      <c r="R361" t="s">
        <v>74</v>
      </c>
      <c r="S361" t="s">
        <v>532</v>
      </c>
      <c r="T361" s="2">
        <v>851</v>
      </c>
      <c r="U361" s="3">
        <v>1.7</v>
      </c>
      <c r="V361" s="4">
        <v>1446</v>
      </c>
      <c r="AF361" s="5">
        <v>9.5</v>
      </c>
      <c r="AI361" s="1">
        <v>3</v>
      </c>
      <c r="AJ361" t="s">
        <v>81</v>
      </c>
      <c r="AK361" t="s">
        <v>82</v>
      </c>
      <c r="AL361" t="s">
        <v>83</v>
      </c>
      <c r="AM361" s="3">
        <v>1.56</v>
      </c>
      <c r="AN361" s="4">
        <v>1591</v>
      </c>
      <c r="AO361" s="1">
        <v>1021</v>
      </c>
      <c r="AP361" s="3">
        <v>1.61</v>
      </c>
      <c r="AQ361" s="4">
        <v>2022</v>
      </c>
      <c r="AR361" s="1">
        <v>1252</v>
      </c>
      <c r="AW361" t="s">
        <v>84</v>
      </c>
      <c r="AY361" s="3">
        <v>1.8</v>
      </c>
      <c r="AZ361" s="4">
        <v>1314</v>
      </c>
      <c r="BA361" s="1">
        <v>728</v>
      </c>
      <c r="BB361" s="1">
        <v>256</v>
      </c>
      <c r="BC361" s="1">
        <v>114</v>
      </c>
      <c r="BD361" s="1">
        <v>30</v>
      </c>
      <c r="BG361" t="s">
        <v>131</v>
      </c>
    </row>
    <row r="362" spans="1:62" x14ac:dyDescent="0.25">
      <c r="A362" t="s">
        <v>2154</v>
      </c>
      <c r="B362" t="s">
        <v>2155</v>
      </c>
      <c r="C362" s="1">
        <v>75</v>
      </c>
      <c r="D362" s="1">
        <v>1999</v>
      </c>
      <c r="E362" t="s">
        <v>64</v>
      </c>
      <c r="F362" t="s">
        <v>198</v>
      </c>
      <c r="G362" t="s">
        <v>2156</v>
      </c>
      <c r="I362" t="s">
        <v>2156</v>
      </c>
      <c r="K362" s="1">
        <v>2</v>
      </c>
      <c r="L362" t="s">
        <v>69</v>
      </c>
      <c r="M362" t="s">
        <v>70</v>
      </c>
      <c r="N362" t="s">
        <v>71</v>
      </c>
      <c r="P362" t="s">
        <v>72</v>
      </c>
      <c r="Q362" t="s">
        <v>110</v>
      </c>
      <c r="R362" t="s">
        <v>74</v>
      </c>
      <c r="S362" t="s">
        <v>202</v>
      </c>
      <c r="T362" s="2">
        <v>800</v>
      </c>
      <c r="AI362" s="1">
        <v>3</v>
      </c>
      <c r="AJ362" t="s">
        <v>81</v>
      </c>
      <c r="AK362" t="s">
        <v>82</v>
      </c>
      <c r="AL362" t="s">
        <v>83</v>
      </c>
      <c r="AS362" s="3">
        <v>6447.77</v>
      </c>
      <c r="AW362" t="s">
        <v>84</v>
      </c>
      <c r="BA362" s="1">
        <v>800</v>
      </c>
      <c r="BB362" s="1">
        <v>75</v>
      </c>
    </row>
    <row r="363" spans="1:62" x14ac:dyDescent="0.25">
      <c r="A363" t="s">
        <v>2157</v>
      </c>
      <c r="B363" t="s">
        <v>2158</v>
      </c>
      <c r="C363" s="1">
        <v>181</v>
      </c>
      <c r="D363" s="1">
        <v>1999</v>
      </c>
      <c r="E363" t="s">
        <v>64</v>
      </c>
      <c r="F363" t="s">
        <v>140</v>
      </c>
      <c r="G363" t="s">
        <v>2159</v>
      </c>
      <c r="H363" t="s">
        <v>2160</v>
      </c>
      <c r="I363" t="s">
        <v>2161</v>
      </c>
      <c r="J363" t="s">
        <v>2159</v>
      </c>
      <c r="K363" s="1">
        <v>4</v>
      </c>
      <c r="L363" t="s">
        <v>729</v>
      </c>
      <c r="M363" t="s">
        <v>70</v>
      </c>
      <c r="N363" t="s">
        <v>71</v>
      </c>
      <c r="P363" t="s">
        <v>72</v>
      </c>
      <c r="Q363" t="s">
        <v>140</v>
      </c>
      <c r="R363" t="s">
        <v>74</v>
      </c>
      <c r="S363" t="s">
        <v>1351</v>
      </c>
      <c r="T363" s="2">
        <v>1580</v>
      </c>
      <c r="U363" s="3">
        <v>1.5</v>
      </c>
      <c r="V363" s="4">
        <v>2366</v>
      </c>
      <c r="AF363" s="5">
        <v>10.497199999999999</v>
      </c>
      <c r="AH363" s="1">
        <v>2016</v>
      </c>
      <c r="AI363" s="1">
        <v>2</v>
      </c>
      <c r="AJ363" t="s">
        <v>81</v>
      </c>
      <c r="AK363" t="s">
        <v>82</v>
      </c>
      <c r="AL363" t="s">
        <v>83</v>
      </c>
      <c r="AM363" s="3">
        <v>1.45</v>
      </c>
      <c r="AN363" s="4">
        <v>2253</v>
      </c>
      <c r="AO363" s="1">
        <v>1558</v>
      </c>
      <c r="AP363" s="3">
        <v>1.44</v>
      </c>
      <c r="AQ363" s="4">
        <v>2577</v>
      </c>
      <c r="AR363" s="1">
        <v>1784</v>
      </c>
      <c r="AS363" s="3">
        <v>714917.85</v>
      </c>
      <c r="AW363" t="s">
        <v>84</v>
      </c>
      <c r="AY363" s="3">
        <v>1.72</v>
      </c>
      <c r="AZ363" s="4">
        <v>1730</v>
      </c>
      <c r="BA363" s="1">
        <v>1004</v>
      </c>
      <c r="BB363" s="1">
        <v>49</v>
      </c>
      <c r="BC363" s="1">
        <v>43</v>
      </c>
      <c r="BD363" s="1">
        <v>67</v>
      </c>
      <c r="BE363" s="1">
        <v>22</v>
      </c>
      <c r="BF363" t="s">
        <v>2162</v>
      </c>
      <c r="BG363" t="s">
        <v>104</v>
      </c>
      <c r="BH363" s="3">
        <v>1.47</v>
      </c>
      <c r="BI363" s="4">
        <v>3359</v>
      </c>
      <c r="BJ363" s="1">
        <v>2292</v>
      </c>
    </row>
    <row r="364" spans="1:62" x14ac:dyDescent="0.25">
      <c r="A364" t="s">
        <v>2163</v>
      </c>
      <c r="B364" t="s">
        <v>2164</v>
      </c>
      <c r="C364" s="1">
        <v>384</v>
      </c>
      <c r="D364" s="1">
        <v>1997</v>
      </c>
      <c r="E364" t="s">
        <v>64</v>
      </c>
      <c r="F364" t="s">
        <v>228</v>
      </c>
      <c r="G364" t="s">
        <v>2165</v>
      </c>
      <c r="H364" t="s">
        <v>2166</v>
      </c>
      <c r="I364" t="s">
        <v>2167</v>
      </c>
      <c r="J364" t="s">
        <v>2165</v>
      </c>
      <c r="K364" s="1">
        <v>4</v>
      </c>
      <c r="L364" t="s">
        <v>91</v>
      </c>
      <c r="M364" t="s">
        <v>70</v>
      </c>
      <c r="N364" t="s">
        <v>71</v>
      </c>
      <c r="P364" t="s">
        <v>72</v>
      </c>
      <c r="Q364" t="s">
        <v>152</v>
      </c>
      <c r="R364" t="s">
        <v>74</v>
      </c>
      <c r="S364" t="s">
        <v>233</v>
      </c>
      <c r="T364" s="2">
        <v>1000</v>
      </c>
      <c r="U364" s="3">
        <v>1.54</v>
      </c>
      <c r="V364" s="4">
        <v>1544</v>
      </c>
      <c r="AF364" s="5">
        <v>5.7291999999999996</v>
      </c>
      <c r="AI364" s="1">
        <v>3</v>
      </c>
      <c r="AJ364" t="s">
        <v>81</v>
      </c>
      <c r="AK364" t="s">
        <v>82</v>
      </c>
      <c r="AL364" t="s">
        <v>83</v>
      </c>
      <c r="AM364" s="3">
        <v>1.41</v>
      </c>
      <c r="AN364" s="4">
        <v>1686</v>
      </c>
      <c r="AO364" s="1">
        <v>1194</v>
      </c>
      <c r="AP364" s="3">
        <v>1.49</v>
      </c>
      <c r="AQ364" s="4">
        <v>2074</v>
      </c>
      <c r="AR364" s="1">
        <v>1390</v>
      </c>
      <c r="AS364" s="3">
        <v>1473342</v>
      </c>
      <c r="AW364" t="s">
        <v>84</v>
      </c>
      <c r="AY364" s="3">
        <v>1.72</v>
      </c>
      <c r="AZ364" s="4">
        <v>1345</v>
      </c>
      <c r="BA364" s="1">
        <v>782</v>
      </c>
      <c r="BB364" s="1">
        <v>194</v>
      </c>
      <c r="BC364" s="1">
        <v>160</v>
      </c>
      <c r="BD364" s="1">
        <v>30</v>
      </c>
      <c r="BG364" t="s">
        <v>131</v>
      </c>
    </row>
    <row r="365" spans="1:62" x14ac:dyDescent="0.25">
      <c r="A365" t="s">
        <v>2168</v>
      </c>
      <c r="B365" t="s">
        <v>2169</v>
      </c>
      <c r="C365" s="1">
        <v>240</v>
      </c>
      <c r="D365" s="1">
        <v>1995</v>
      </c>
      <c r="E365" t="s">
        <v>64</v>
      </c>
      <c r="F365" t="s">
        <v>228</v>
      </c>
      <c r="G365" t="s">
        <v>2170</v>
      </c>
      <c r="H365" t="s">
        <v>2171</v>
      </c>
      <c r="I365" t="s">
        <v>2172</v>
      </c>
      <c r="J365" t="s">
        <v>2170</v>
      </c>
      <c r="K365" s="1">
        <v>3</v>
      </c>
      <c r="L365" t="s">
        <v>91</v>
      </c>
      <c r="M365" t="s">
        <v>70</v>
      </c>
      <c r="N365" t="s">
        <v>71</v>
      </c>
      <c r="O365" t="s">
        <v>118</v>
      </c>
      <c r="P365" t="s">
        <v>72</v>
      </c>
      <c r="Q365" t="s">
        <v>152</v>
      </c>
      <c r="R365" t="s">
        <v>74</v>
      </c>
      <c r="S365" t="s">
        <v>2173</v>
      </c>
      <c r="T365" s="2">
        <v>812</v>
      </c>
      <c r="U365" s="3">
        <v>1.61</v>
      </c>
      <c r="V365" s="4">
        <v>1311</v>
      </c>
      <c r="AF365" s="5">
        <v>8.75</v>
      </c>
      <c r="AI365" s="1">
        <v>2</v>
      </c>
      <c r="AJ365" t="s">
        <v>81</v>
      </c>
      <c r="AK365" t="s">
        <v>82</v>
      </c>
      <c r="AL365" t="s">
        <v>83</v>
      </c>
      <c r="AM365" s="3">
        <v>1.57</v>
      </c>
      <c r="AN365" s="4">
        <v>1371</v>
      </c>
      <c r="AO365" s="1">
        <v>872</v>
      </c>
      <c r="AP365" s="3">
        <v>1.49</v>
      </c>
      <c r="AQ365" s="4">
        <v>1577</v>
      </c>
      <c r="AR365" s="1">
        <v>1056</v>
      </c>
      <c r="AS365" s="3">
        <v>378535.56</v>
      </c>
      <c r="AW365" t="s">
        <v>84</v>
      </c>
      <c r="AY365" s="3">
        <v>1.75</v>
      </c>
      <c r="AZ365" s="4">
        <v>1145</v>
      </c>
      <c r="BA365" s="1">
        <v>654</v>
      </c>
      <c r="BB365" s="1">
        <v>93</v>
      </c>
      <c r="BC365" s="1">
        <v>115</v>
      </c>
      <c r="BD365" s="1">
        <v>32</v>
      </c>
    </row>
    <row r="366" spans="1:62" x14ac:dyDescent="0.25">
      <c r="A366" t="s">
        <v>2174</v>
      </c>
      <c r="B366" t="s">
        <v>2175</v>
      </c>
      <c r="C366" s="1">
        <v>300</v>
      </c>
      <c r="D366" s="1">
        <v>1999</v>
      </c>
      <c r="E366" t="s">
        <v>64</v>
      </c>
      <c r="F366" t="s">
        <v>228</v>
      </c>
      <c r="G366" t="s">
        <v>2176</v>
      </c>
      <c r="H366" t="s">
        <v>2177</v>
      </c>
      <c r="I366" t="s">
        <v>2178</v>
      </c>
      <c r="J366" t="s">
        <v>2176</v>
      </c>
      <c r="K366" s="1">
        <v>4</v>
      </c>
      <c r="L366" t="s">
        <v>729</v>
      </c>
      <c r="M366" t="s">
        <v>70</v>
      </c>
      <c r="N366" t="s">
        <v>71</v>
      </c>
      <c r="P366" t="s">
        <v>72</v>
      </c>
      <c r="Q366" t="s">
        <v>152</v>
      </c>
      <c r="R366" t="s">
        <v>74</v>
      </c>
      <c r="S366" t="s">
        <v>233</v>
      </c>
      <c r="T366" s="2">
        <v>832</v>
      </c>
      <c r="U366" s="3">
        <v>1.72</v>
      </c>
      <c r="V366" s="4">
        <v>1431</v>
      </c>
      <c r="AF366" s="5">
        <v>9.3332999999999995</v>
      </c>
      <c r="AI366" s="1">
        <v>3</v>
      </c>
      <c r="AJ366" t="s">
        <v>81</v>
      </c>
      <c r="AK366" t="s">
        <v>82</v>
      </c>
      <c r="AL366" t="s">
        <v>83</v>
      </c>
      <c r="AM366" s="3">
        <v>1.57</v>
      </c>
      <c r="AN366" s="4">
        <v>1546</v>
      </c>
      <c r="AO366" s="1">
        <v>982</v>
      </c>
      <c r="AP366" s="3">
        <v>1.57</v>
      </c>
      <c r="AQ366" s="4">
        <v>1933</v>
      </c>
      <c r="AR366" s="1">
        <v>1233</v>
      </c>
      <c r="AS366" s="3">
        <v>1097073.1200000001</v>
      </c>
      <c r="AW366" t="s">
        <v>84</v>
      </c>
      <c r="AY366" s="3">
        <v>1.97</v>
      </c>
      <c r="AZ366" s="4">
        <v>1242</v>
      </c>
      <c r="BA366" s="1">
        <v>630</v>
      </c>
      <c r="BB366" s="1">
        <v>144</v>
      </c>
      <c r="BC366" s="1">
        <v>132</v>
      </c>
      <c r="BD366" s="1">
        <v>24</v>
      </c>
      <c r="BG366" t="s">
        <v>131</v>
      </c>
    </row>
    <row r="367" spans="1:62" x14ac:dyDescent="0.25">
      <c r="A367" t="s">
        <v>2179</v>
      </c>
      <c r="B367" t="s">
        <v>2180</v>
      </c>
      <c r="C367" s="1">
        <v>276</v>
      </c>
      <c r="D367" s="1">
        <v>1999</v>
      </c>
      <c r="E367" t="s">
        <v>64</v>
      </c>
      <c r="F367" t="s">
        <v>1498</v>
      </c>
      <c r="G367" t="s">
        <v>2181</v>
      </c>
      <c r="H367" t="s">
        <v>2182</v>
      </c>
      <c r="I367" t="s">
        <v>2183</v>
      </c>
      <c r="J367" t="s">
        <v>2181</v>
      </c>
      <c r="K367" s="1">
        <v>3</v>
      </c>
      <c r="L367" t="s">
        <v>91</v>
      </c>
      <c r="M367" t="s">
        <v>70</v>
      </c>
      <c r="N367" t="s">
        <v>71</v>
      </c>
      <c r="P367" t="s">
        <v>72</v>
      </c>
      <c r="Q367" t="s">
        <v>73</v>
      </c>
      <c r="R367" t="s">
        <v>74</v>
      </c>
      <c r="S367" t="s">
        <v>1502</v>
      </c>
      <c r="T367" s="2">
        <v>898</v>
      </c>
      <c r="U367" s="3">
        <v>1.77</v>
      </c>
      <c r="V367" s="4">
        <v>1588</v>
      </c>
      <c r="AF367" s="5">
        <v>5.0724999999999998</v>
      </c>
      <c r="AI367" s="1">
        <v>3</v>
      </c>
      <c r="AJ367" t="s">
        <v>81</v>
      </c>
      <c r="AK367" t="s">
        <v>82</v>
      </c>
      <c r="AL367" t="s">
        <v>83</v>
      </c>
      <c r="AM367" s="3">
        <v>1.62</v>
      </c>
      <c r="AN367" s="4">
        <v>1840</v>
      </c>
      <c r="AO367" s="1">
        <v>1132</v>
      </c>
      <c r="AP367" s="3">
        <v>1.48</v>
      </c>
      <c r="AQ367" s="4">
        <v>2094</v>
      </c>
      <c r="AR367" s="1">
        <v>1411</v>
      </c>
      <c r="AS367" s="3">
        <v>1173390.76</v>
      </c>
      <c r="AW367" t="s">
        <v>84</v>
      </c>
      <c r="AY367" s="3">
        <v>1.96</v>
      </c>
      <c r="AZ367" s="4">
        <v>1393</v>
      </c>
      <c r="BA367" s="1">
        <v>710</v>
      </c>
      <c r="BB367" s="1">
        <v>171</v>
      </c>
      <c r="BC367" s="1">
        <v>78</v>
      </c>
      <c r="BD367" s="1">
        <v>27</v>
      </c>
      <c r="BG367" t="s">
        <v>131</v>
      </c>
    </row>
    <row r="368" spans="1:62" x14ac:dyDescent="0.25">
      <c r="A368" t="s">
        <v>2184</v>
      </c>
      <c r="B368" t="s">
        <v>2185</v>
      </c>
      <c r="C368" s="1">
        <v>226</v>
      </c>
      <c r="D368" s="1">
        <v>1998</v>
      </c>
      <c r="E368" t="s">
        <v>64</v>
      </c>
      <c r="F368" t="s">
        <v>177</v>
      </c>
      <c r="G368" t="s">
        <v>250</v>
      </c>
      <c r="H368" t="s">
        <v>2186</v>
      </c>
      <c r="I368" t="s">
        <v>2187</v>
      </c>
      <c r="J368" t="s">
        <v>250</v>
      </c>
      <c r="K368" s="1">
        <v>4</v>
      </c>
      <c r="L368" t="s">
        <v>91</v>
      </c>
      <c r="M368" t="s">
        <v>70</v>
      </c>
      <c r="N368" t="s">
        <v>71</v>
      </c>
      <c r="P368" t="s">
        <v>72</v>
      </c>
      <c r="Q368" t="s">
        <v>172</v>
      </c>
      <c r="R368" t="s">
        <v>74</v>
      </c>
      <c r="S368" t="s">
        <v>189</v>
      </c>
      <c r="T368" s="2">
        <v>895</v>
      </c>
      <c r="U368" s="3">
        <v>1.97</v>
      </c>
      <c r="V368" s="4">
        <v>1768</v>
      </c>
      <c r="AF368" s="5">
        <v>7.9645999999999999</v>
      </c>
      <c r="AI368" s="1">
        <v>2</v>
      </c>
      <c r="AJ368" t="s">
        <v>81</v>
      </c>
      <c r="AK368" t="s">
        <v>82</v>
      </c>
      <c r="AL368" t="s">
        <v>83</v>
      </c>
      <c r="AM368" s="3">
        <v>1.85</v>
      </c>
      <c r="AN368" s="4">
        <v>2036</v>
      </c>
      <c r="AO368" s="1">
        <v>1100</v>
      </c>
      <c r="AS368" s="3">
        <v>380881.8</v>
      </c>
      <c r="AW368" t="s">
        <v>84</v>
      </c>
      <c r="AY368" s="3">
        <v>2.0699999999999998</v>
      </c>
      <c r="AZ368" s="4">
        <v>1615</v>
      </c>
      <c r="BA368" s="1">
        <v>779</v>
      </c>
      <c r="BB368" s="1">
        <v>144</v>
      </c>
      <c r="BC368" s="1">
        <v>82</v>
      </c>
    </row>
    <row r="369" spans="1:62" x14ac:dyDescent="0.25">
      <c r="A369" t="s">
        <v>2188</v>
      </c>
      <c r="B369" t="s">
        <v>2189</v>
      </c>
      <c r="C369" s="1">
        <v>60</v>
      </c>
      <c r="D369" s="1">
        <v>1992</v>
      </c>
      <c r="E369" t="s">
        <v>64</v>
      </c>
      <c r="F369" t="s">
        <v>211</v>
      </c>
      <c r="G369" t="s">
        <v>2190</v>
      </c>
      <c r="H369" t="s">
        <v>2191</v>
      </c>
      <c r="I369" t="s">
        <v>2192</v>
      </c>
      <c r="J369" t="s">
        <v>2190</v>
      </c>
      <c r="K369" s="1">
        <v>3</v>
      </c>
      <c r="L369" t="s">
        <v>91</v>
      </c>
      <c r="M369" t="s">
        <v>70</v>
      </c>
      <c r="N369" t="s">
        <v>71</v>
      </c>
      <c r="P369" t="s">
        <v>72</v>
      </c>
      <c r="Q369" t="s">
        <v>215</v>
      </c>
      <c r="R369" t="s">
        <v>74</v>
      </c>
      <c r="S369" t="s">
        <v>216</v>
      </c>
      <c r="T369" s="2">
        <v>672</v>
      </c>
      <c r="U369" s="3">
        <v>1.62</v>
      </c>
      <c r="V369" s="4">
        <v>1087</v>
      </c>
      <c r="AF369" s="5">
        <v>6.6666999999999996</v>
      </c>
      <c r="AI369" s="1">
        <v>2</v>
      </c>
      <c r="AJ369" t="s">
        <v>81</v>
      </c>
      <c r="AK369" t="s">
        <v>82</v>
      </c>
      <c r="AL369" t="s">
        <v>83</v>
      </c>
      <c r="AM369" s="3">
        <v>1.25</v>
      </c>
      <c r="AN369" s="4">
        <v>1571</v>
      </c>
      <c r="AO369" s="1">
        <v>1260</v>
      </c>
      <c r="AS369" s="3">
        <v>79137.740000000005</v>
      </c>
      <c r="AW369" t="s">
        <v>84</v>
      </c>
      <c r="AY369" s="3">
        <v>1.67</v>
      </c>
      <c r="AZ369" s="4">
        <v>1052</v>
      </c>
      <c r="BA369" s="1">
        <v>630</v>
      </c>
      <c r="BB369" s="1">
        <v>56</v>
      </c>
      <c r="BC369" s="1">
        <v>4</v>
      </c>
    </row>
    <row r="370" spans="1:62" x14ac:dyDescent="0.25">
      <c r="A370" t="s">
        <v>2193</v>
      </c>
      <c r="B370" t="s">
        <v>2194</v>
      </c>
      <c r="C370" s="1">
        <v>108</v>
      </c>
      <c r="D370" s="1">
        <v>1999</v>
      </c>
      <c r="E370" t="s">
        <v>64</v>
      </c>
      <c r="F370" t="s">
        <v>177</v>
      </c>
      <c r="G370" t="s">
        <v>2195</v>
      </c>
      <c r="H370" t="s">
        <v>2196</v>
      </c>
      <c r="I370" t="s">
        <v>2197</v>
      </c>
      <c r="J370" t="s">
        <v>2195</v>
      </c>
      <c r="K370" s="1">
        <v>2</v>
      </c>
      <c r="L370" t="s">
        <v>69</v>
      </c>
      <c r="M370" t="s">
        <v>70</v>
      </c>
      <c r="N370" t="s">
        <v>71</v>
      </c>
      <c r="O370" t="s">
        <v>118</v>
      </c>
      <c r="P370" t="s">
        <v>72</v>
      </c>
      <c r="Q370" t="s">
        <v>312</v>
      </c>
      <c r="R370" t="s">
        <v>74</v>
      </c>
      <c r="S370" t="s">
        <v>313</v>
      </c>
      <c r="T370" s="2">
        <v>728</v>
      </c>
      <c r="U370" s="3">
        <v>1.1200000000000001</v>
      </c>
      <c r="V370" s="4">
        <v>817</v>
      </c>
      <c r="AF370" s="5">
        <v>1.8519000000000001</v>
      </c>
      <c r="AI370" s="1">
        <v>2</v>
      </c>
      <c r="AJ370" t="s">
        <v>81</v>
      </c>
      <c r="AK370" t="s">
        <v>82</v>
      </c>
      <c r="AL370" t="s">
        <v>83</v>
      </c>
      <c r="AM370" s="3">
        <v>1.22</v>
      </c>
      <c r="AN370" s="4">
        <v>978</v>
      </c>
      <c r="AO370" s="1">
        <v>800</v>
      </c>
      <c r="AS370" s="3">
        <v>134805.26</v>
      </c>
      <c r="AW370" t="s">
        <v>84</v>
      </c>
      <c r="AY370" s="3">
        <v>1</v>
      </c>
      <c r="AZ370" s="4">
        <v>656</v>
      </c>
      <c r="BA370" s="1">
        <v>656</v>
      </c>
      <c r="BB370" s="1">
        <v>54</v>
      </c>
      <c r="BC370" s="1">
        <v>54</v>
      </c>
      <c r="BF370" t="s">
        <v>2198</v>
      </c>
      <c r="BG370" t="s">
        <v>104</v>
      </c>
    </row>
    <row r="371" spans="1:62" x14ac:dyDescent="0.25">
      <c r="A371" t="s">
        <v>2199</v>
      </c>
      <c r="B371" t="s">
        <v>2200</v>
      </c>
      <c r="C371" s="1">
        <v>316</v>
      </c>
      <c r="D371" s="1">
        <v>1996</v>
      </c>
      <c r="E371" t="s">
        <v>64</v>
      </c>
      <c r="F371" t="s">
        <v>256</v>
      </c>
      <c r="G371" t="s">
        <v>1532</v>
      </c>
      <c r="H371" t="s">
        <v>2201</v>
      </c>
      <c r="I371" t="s">
        <v>2202</v>
      </c>
      <c r="J371" t="s">
        <v>1532</v>
      </c>
      <c r="K371" s="1">
        <v>4</v>
      </c>
      <c r="L371" t="s">
        <v>91</v>
      </c>
      <c r="M371" t="s">
        <v>70</v>
      </c>
      <c r="N371" t="s">
        <v>71</v>
      </c>
      <c r="P371" t="s">
        <v>72</v>
      </c>
      <c r="Q371" t="s">
        <v>152</v>
      </c>
      <c r="R371" t="s">
        <v>74</v>
      </c>
      <c r="S371" t="s">
        <v>260</v>
      </c>
      <c r="T371" s="2">
        <v>981</v>
      </c>
      <c r="U371" s="3">
        <v>1.89</v>
      </c>
      <c r="V371" s="4">
        <v>1857</v>
      </c>
      <c r="AF371" s="5">
        <v>4.4303999999999997</v>
      </c>
      <c r="AI371" s="1">
        <v>3</v>
      </c>
      <c r="AJ371" t="s">
        <v>81</v>
      </c>
      <c r="AK371" t="s">
        <v>82</v>
      </c>
      <c r="AL371" t="s">
        <v>83</v>
      </c>
      <c r="AM371" s="3">
        <v>1.77</v>
      </c>
      <c r="AN371" s="4">
        <v>1925</v>
      </c>
      <c r="AO371" s="1">
        <v>1085</v>
      </c>
      <c r="AP371" s="3">
        <v>1.93</v>
      </c>
      <c r="AQ371" s="4">
        <v>2790</v>
      </c>
      <c r="AR371" s="1">
        <v>1447</v>
      </c>
      <c r="AS371" s="3">
        <v>1611105.84</v>
      </c>
      <c r="AW371" t="s">
        <v>84</v>
      </c>
      <c r="AY371" s="3">
        <v>2.0099999999999998</v>
      </c>
      <c r="AZ371" s="4">
        <v>1640</v>
      </c>
      <c r="BA371" s="1">
        <v>815</v>
      </c>
      <c r="BB371" s="1">
        <v>164</v>
      </c>
      <c r="BC371" s="1">
        <v>120</v>
      </c>
      <c r="BD371" s="1">
        <v>32</v>
      </c>
      <c r="BF371" t="s">
        <v>2203</v>
      </c>
      <c r="BG371" t="s">
        <v>104</v>
      </c>
    </row>
    <row r="372" spans="1:62" x14ac:dyDescent="0.25">
      <c r="A372" t="s">
        <v>2204</v>
      </c>
      <c r="B372" t="s">
        <v>2205</v>
      </c>
      <c r="C372" s="1">
        <v>156</v>
      </c>
      <c r="D372" s="1">
        <v>1991</v>
      </c>
      <c r="E372" t="s">
        <v>64</v>
      </c>
      <c r="F372" t="s">
        <v>269</v>
      </c>
      <c r="G372" t="s">
        <v>882</v>
      </c>
      <c r="H372" t="s">
        <v>2206</v>
      </c>
      <c r="I372" t="s">
        <v>2207</v>
      </c>
      <c r="J372" t="s">
        <v>882</v>
      </c>
      <c r="K372" s="1">
        <v>3</v>
      </c>
      <c r="L372" t="s">
        <v>91</v>
      </c>
      <c r="M372" t="s">
        <v>70</v>
      </c>
      <c r="N372" t="s">
        <v>71</v>
      </c>
      <c r="P372" t="s">
        <v>72</v>
      </c>
      <c r="Q372" t="s">
        <v>73</v>
      </c>
      <c r="R372" t="s">
        <v>74</v>
      </c>
      <c r="S372" t="s">
        <v>2208</v>
      </c>
      <c r="T372" s="2">
        <v>974</v>
      </c>
      <c r="U372" s="3">
        <v>1.71</v>
      </c>
      <c r="V372" s="4">
        <v>1665</v>
      </c>
      <c r="AF372" s="5">
        <v>3.2050999999999998</v>
      </c>
      <c r="AI372" s="1">
        <v>3</v>
      </c>
      <c r="AJ372" t="s">
        <v>81</v>
      </c>
      <c r="AK372" t="s">
        <v>82</v>
      </c>
      <c r="AL372" t="s">
        <v>83</v>
      </c>
      <c r="AM372" s="3">
        <v>1.61</v>
      </c>
      <c r="AN372" s="4">
        <v>1796</v>
      </c>
      <c r="AO372" s="1">
        <v>1118</v>
      </c>
      <c r="AP372" s="3">
        <v>1.8</v>
      </c>
      <c r="AQ372" s="4">
        <v>2566</v>
      </c>
      <c r="AR372" s="1">
        <v>1428</v>
      </c>
      <c r="AS372" s="3">
        <v>614633.28</v>
      </c>
      <c r="AW372" t="s">
        <v>84</v>
      </c>
      <c r="AY372" s="3">
        <v>1.93</v>
      </c>
      <c r="AZ372" s="4">
        <v>1404</v>
      </c>
      <c r="BA372" s="1">
        <v>726</v>
      </c>
      <c r="BB372" s="1">
        <v>60</v>
      </c>
      <c r="BC372" s="1">
        <v>92</v>
      </c>
      <c r="BD372" s="1">
        <v>4</v>
      </c>
      <c r="BF372" t="s">
        <v>247</v>
      </c>
      <c r="BG372" t="s">
        <v>104</v>
      </c>
    </row>
    <row r="373" spans="1:62" x14ac:dyDescent="0.25">
      <c r="A373" t="s">
        <v>2209</v>
      </c>
      <c r="B373" t="s">
        <v>2210</v>
      </c>
      <c r="C373" s="1">
        <v>56</v>
      </c>
      <c r="D373" s="1">
        <v>1996</v>
      </c>
      <c r="E373" t="s">
        <v>64</v>
      </c>
      <c r="F373" t="s">
        <v>264</v>
      </c>
      <c r="G373" t="s">
        <v>2211</v>
      </c>
      <c r="I373" t="s">
        <v>2212</v>
      </c>
      <c r="J373" t="s">
        <v>2211</v>
      </c>
      <c r="K373" s="1">
        <v>2</v>
      </c>
      <c r="L373" t="s">
        <v>69</v>
      </c>
      <c r="M373" t="s">
        <v>70</v>
      </c>
      <c r="N373" t="s">
        <v>127</v>
      </c>
      <c r="P373" t="s">
        <v>72</v>
      </c>
      <c r="Q373" t="s">
        <v>264</v>
      </c>
      <c r="R373" t="s">
        <v>74</v>
      </c>
      <c r="S373" t="s">
        <v>2213</v>
      </c>
      <c r="AF373" s="5">
        <v>8.9285999999999994</v>
      </c>
      <c r="AI373" s="1">
        <v>1</v>
      </c>
      <c r="AJ373" t="s">
        <v>81</v>
      </c>
      <c r="AK373" t="s">
        <v>82</v>
      </c>
      <c r="AL373" t="s">
        <v>83</v>
      </c>
      <c r="AS373" s="3">
        <v>0</v>
      </c>
      <c r="AW373" t="s">
        <v>84</v>
      </c>
    </row>
    <row r="374" spans="1:62" x14ac:dyDescent="0.25">
      <c r="A374" t="s">
        <v>2214</v>
      </c>
      <c r="B374" t="s">
        <v>2215</v>
      </c>
      <c r="C374" s="1">
        <v>95</v>
      </c>
      <c r="D374" s="1">
        <v>1995</v>
      </c>
      <c r="E374" t="s">
        <v>64</v>
      </c>
      <c r="F374" t="s">
        <v>264</v>
      </c>
      <c r="G374" t="s">
        <v>2216</v>
      </c>
      <c r="I374" t="s">
        <v>2216</v>
      </c>
      <c r="K374" s="1">
        <v>2</v>
      </c>
      <c r="L374" t="s">
        <v>69</v>
      </c>
      <c r="M374" t="s">
        <v>70</v>
      </c>
      <c r="N374" t="s">
        <v>127</v>
      </c>
      <c r="P374" t="s">
        <v>72</v>
      </c>
      <c r="Q374" t="s">
        <v>264</v>
      </c>
      <c r="R374" t="s">
        <v>74</v>
      </c>
      <c r="S374" t="s">
        <v>678</v>
      </c>
      <c r="AF374" s="5">
        <v>8.4210999999999991</v>
      </c>
      <c r="AI374" s="1">
        <v>1</v>
      </c>
      <c r="AJ374" t="s">
        <v>81</v>
      </c>
      <c r="AK374" t="s">
        <v>82</v>
      </c>
      <c r="AL374" t="s">
        <v>83</v>
      </c>
      <c r="AS374" s="3">
        <v>30.52</v>
      </c>
      <c r="AW374" t="s">
        <v>84</v>
      </c>
      <c r="BF374" t="s">
        <v>2217</v>
      </c>
      <c r="BG374" t="s">
        <v>104</v>
      </c>
    </row>
    <row r="375" spans="1:62" x14ac:dyDescent="0.25">
      <c r="A375" t="s">
        <v>2218</v>
      </c>
      <c r="B375" t="s">
        <v>2219</v>
      </c>
      <c r="C375" s="1">
        <v>256</v>
      </c>
      <c r="D375" s="1">
        <v>1999</v>
      </c>
      <c r="E375" t="s">
        <v>64</v>
      </c>
      <c r="F375" t="s">
        <v>156</v>
      </c>
      <c r="G375" t="s">
        <v>2220</v>
      </c>
      <c r="H375" t="s">
        <v>2221</v>
      </c>
      <c r="I375" t="s">
        <v>2222</v>
      </c>
      <c r="J375" t="s">
        <v>2220</v>
      </c>
      <c r="K375" s="1">
        <v>4</v>
      </c>
      <c r="L375" t="s">
        <v>729</v>
      </c>
      <c r="M375" t="s">
        <v>70</v>
      </c>
      <c r="N375" t="s">
        <v>71</v>
      </c>
      <c r="P375" t="s">
        <v>72</v>
      </c>
      <c r="Q375" t="s">
        <v>427</v>
      </c>
      <c r="R375" t="s">
        <v>74</v>
      </c>
      <c r="S375" t="s">
        <v>600</v>
      </c>
      <c r="T375" s="2">
        <v>872</v>
      </c>
      <c r="U375" s="3">
        <v>1.55</v>
      </c>
      <c r="V375" s="4">
        <v>1349</v>
      </c>
      <c r="AF375" s="5">
        <v>9.7655999999999992</v>
      </c>
      <c r="AH375" s="1">
        <v>2013</v>
      </c>
      <c r="AI375" s="1">
        <v>3</v>
      </c>
      <c r="AJ375" t="s">
        <v>81</v>
      </c>
      <c r="AK375" t="s">
        <v>82</v>
      </c>
      <c r="AL375" t="s">
        <v>83</v>
      </c>
      <c r="AM375" s="3">
        <v>1.46</v>
      </c>
      <c r="AN375" s="4">
        <v>1403</v>
      </c>
      <c r="AO375" s="1">
        <v>963</v>
      </c>
      <c r="AP375" s="3">
        <v>1.7</v>
      </c>
      <c r="AQ375" s="4">
        <v>2195</v>
      </c>
      <c r="AR375" s="1">
        <v>1291</v>
      </c>
      <c r="AS375" s="3">
        <v>886006.09</v>
      </c>
      <c r="AW375" t="s">
        <v>84</v>
      </c>
      <c r="AY375" s="3">
        <v>1.63</v>
      </c>
      <c r="AZ375" s="4">
        <v>1183</v>
      </c>
      <c r="BA375" s="1">
        <v>726</v>
      </c>
      <c r="BB375" s="1">
        <v>120</v>
      </c>
      <c r="BC375" s="1">
        <v>120</v>
      </c>
      <c r="BD375" s="1">
        <v>16</v>
      </c>
      <c r="BF375" t="s">
        <v>2223</v>
      </c>
      <c r="BG375" t="s">
        <v>104</v>
      </c>
    </row>
    <row r="376" spans="1:62" x14ac:dyDescent="0.25">
      <c r="A376" t="s">
        <v>2224</v>
      </c>
      <c r="B376" t="s">
        <v>2225</v>
      </c>
      <c r="C376" s="1">
        <v>120</v>
      </c>
      <c r="D376" s="1">
        <v>2000</v>
      </c>
      <c r="E376" t="s">
        <v>64</v>
      </c>
      <c r="F376" t="s">
        <v>156</v>
      </c>
      <c r="G376" t="s">
        <v>866</v>
      </c>
      <c r="H376" t="s">
        <v>2226</v>
      </c>
      <c r="I376" t="s">
        <v>2227</v>
      </c>
      <c r="J376" t="s">
        <v>866</v>
      </c>
      <c r="K376" s="1">
        <v>2</v>
      </c>
      <c r="L376" t="s">
        <v>69</v>
      </c>
      <c r="M376" t="s">
        <v>70</v>
      </c>
      <c r="N376" t="s">
        <v>127</v>
      </c>
      <c r="P376" t="s">
        <v>72</v>
      </c>
      <c r="Q376" t="s">
        <v>73</v>
      </c>
      <c r="R376" t="s">
        <v>74</v>
      </c>
      <c r="S376" t="s">
        <v>2228</v>
      </c>
      <c r="AF376" s="5">
        <v>10.833299999999999</v>
      </c>
      <c r="AI376" s="1">
        <v>1</v>
      </c>
      <c r="AJ376" t="s">
        <v>81</v>
      </c>
      <c r="AK376" t="s">
        <v>82</v>
      </c>
      <c r="AL376" t="s">
        <v>83</v>
      </c>
      <c r="AS376" s="3">
        <v>0</v>
      </c>
      <c r="AW376" t="s">
        <v>84</v>
      </c>
      <c r="BG376" t="s">
        <v>131</v>
      </c>
    </row>
    <row r="377" spans="1:62" x14ac:dyDescent="0.25">
      <c r="A377" t="s">
        <v>2229</v>
      </c>
      <c r="B377" t="s">
        <v>2230</v>
      </c>
      <c r="C377" s="1">
        <v>603</v>
      </c>
      <c r="D377" s="1">
        <v>1999</v>
      </c>
      <c r="E377" t="s">
        <v>64</v>
      </c>
      <c r="F377" t="s">
        <v>1133</v>
      </c>
      <c r="G377" t="s">
        <v>2231</v>
      </c>
      <c r="H377" t="s">
        <v>2232</v>
      </c>
      <c r="I377" t="s">
        <v>2233</v>
      </c>
      <c r="J377" t="s">
        <v>2231</v>
      </c>
      <c r="K377" s="1">
        <v>4</v>
      </c>
      <c r="L377" t="s">
        <v>91</v>
      </c>
      <c r="M377" t="s">
        <v>70</v>
      </c>
      <c r="N377" t="s">
        <v>71</v>
      </c>
      <c r="P377" t="s">
        <v>72</v>
      </c>
      <c r="Q377" t="s">
        <v>814</v>
      </c>
      <c r="R377" t="s">
        <v>74</v>
      </c>
      <c r="S377" t="s">
        <v>2234</v>
      </c>
      <c r="T377" s="2">
        <v>990</v>
      </c>
      <c r="U377" s="3">
        <v>1.78</v>
      </c>
      <c r="V377" s="4">
        <v>1763</v>
      </c>
      <c r="AF377" s="5">
        <v>9.2868999999999993</v>
      </c>
      <c r="AI377" s="1">
        <v>3</v>
      </c>
      <c r="AJ377" t="s">
        <v>81</v>
      </c>
      <c r="AK377" t="s">
        <v>82</v>
      </c>
      <c r="AL377" t="s">
        <v>83</v>
      </c>
      <c r="AM377" s="3">
        <v>1.75</v>
      </c>
      <c r="AN377" s="4">
        <v>1952</v>
      </c>
      <c r="AO377" s="1">
        <v>1117</v>
      </c>
      <c r="AP377" s="3">
        <v>1.56</v>
      </c>
      <c r="AQ377" s="4">
        <v>2410</v>
      </c>
      <c r="AR377" s="1">
        <v>1543</v>
      </c>
      <c r="AS377" s="3">
        <v>2580861.6800000002</v>
      </c>
      <c r="AW377" t="s">
        <v>84</v>
      </c>
      <c r="AY377" s="3">
        <v>1.89</v>
      </c>
      <c r="AZ377" s="4">
        <v>1506</v>
      </c>
      <c r="BA377" s="1">
        <v>796</v>
      </c>
      <c r="BB377" s="1">
        <v>316</v>
      </c>
      <c r="BC377" s="1">
        <v>228</v>
      </c>
      <c r="BD377" s="1">
        <v>59</v>
      </c>
      <c r="BF377" t="s">
        <v>2235</v>
      </c>
      <c r="BG377" t="s">
        <v>131</v>
      </c>
    </row>
    <row r="378" spans="1:62" x14ac:dyDescent="0.25">
      <c r="A378" t="s">
        <v>2236</v>
      </c>
      <c r="B378" t="s">
        <v>2237</v>
      </c>
      <c r="C378" s="1">
        <v>57</v>
      </c>
      <c r="D378" s="1">
        <v>1994</v>
      </c>
      <c r="E378" t="s">
        <v>64</v>
      </c>
      <c r="F378" t="s">
        <v>2085</v>
      </c>
      <c r="G378" t="s">
        <v>2238</v>
      </c>
      <c r="H378" t="s">
        <v>2239</v>
      </c>
      <c r="I378" t="s">
        <v>2240</v>
      </c>
      <c r="J378" t="s">
        <v>2238</v>
      </c>
      <c r="K378" s="1">
        <v>3</v>
      </c>
      <c r="L378" t="s">
        <v>91</v>
      </c>
      <c r="M378" t="s">
        <v>70</v>
      </c>
      <c r="N378" t="s">
        <v>71</v>
      </c>
      <c r="P378" t="s">
        <v>72</v>
      </c>
      <c r="Q378" t="s">
        <v>2085</v>
      </c>
      <c r="R378" t="s">
        <v>74</v>
      </c>
      <c r="S378" t="s">
        <v>2086</v>
      </c>
      <c r="T378" s="2">
        <v>1248</v>
      </c>
      <c r="AI378" s="1">
        <v>2</v>
      </c>
      <c r="AJ378" t="s">
        <v>81</v>
      </c>
      <c r="AK378" t="s">
        <v>82</v>
      </c>
      <c r="AL378" t="s">
        <v>83</v>
      </c>
      <c r="AO378" s="1">
        <v>1283</v>
      </c>
      <c r="AS378" s="3">
        <v>203335.86</v>
      </c>
      <c r="AW378" t="s">
        <v>84</v>
      </c>
      <c r="BA378" s="1">
        <v>1004</v>
      </c>
      <c r="BB378" s="1">
        <v>7</v>
      </c>
      <c r="BC378" s="1">
        <v>50</v>
      </c>
      <c r="BF378" t="s">
        <v>372</v>
      </c>
      <c r="BG378" t="s">
        <v>104</v>
      </c>
    </row>
    <row r="379" spans="1:62" x14ac:dyDescent="0.25">
      <c r="A379" t="s">
        <v>2241</v>
      </c>
      <c r="B379" t="s">
        <v>2242</v>
      </c>
      <c r="C379" s="1">
        <v>456</v>
      </c>
      <c r="D379" s="1">
        <v>1998</v>
      </c>
      <c r="E379" t="s">
        <v>64</v>
      </c>
      <c r="F379" t="s">
        <v>660</v>
      </c>
      <c r="G379" t="s">
        <v>2243</v>
      </c>
      <c r="H379" t="s">
        <v>2244</v>
      </c>
      <c r="I379" t="s">
        <v>2245</v>
      </c>
      <c r="J379" t="s">
        <v>2243</v>
      </c>
      <c r="K379" s="1">
        <v>4</v>
      </c>
      <c r="L379" t="s">
        <v>729</v>
      </c>
      <c r="M379" t="s">
        <v>70</v>
      </c>
      <c r="N379" t="s">
        <v>71</v>
      </c>
      <c r="P379" t="s">
        <v>72</v>
      </c>
      <c r="Q379" t="s">
        <v>1012</v>
      </c>
      <c r="R379" t="s">
        <v>74</v>
      </c>
      <c r="S379" t="s">
        <v>2246</v>
      </c>
      <c r="T379" s="2">
        <v>956</v>
      </c>
      <c r="U379" s="3">
        <v>1.46</v>
      </c>
      <c r="V379" s="4">
        <v>1400</v>
      </c>
      <c r="AF379" s="5">
        <v>11.184200000000001</v>
      </c>
      <c r="AH379" s="1">
        <v>2005</v>
      </c>
      <c r="AI379" s="1">
        <v>3</v>
      </c>
      <c r="AJ379" t="s">
        <v>81</v>
      </c>
      <c r="AK379" t="s">
        <v>82</v>
      </c>
      <c r="AL379" t="s">
        <v>83</v>
      </c>
      <c r="AM379" s="3">
        <v>1.43</v>
      </c>
      <c r="AN379" s="4">
        <v>1549</v>
      </c>
      <c r="AO379" s="1">
        <v>1087</v>
      </c>
      <c r="AP379" s="3">
        <v>1.49</v>
      </c>
      <c r="AQ379" s="4">
        <v>1875</v>
      </c>
      <c r="AR379" s="1">
        <v>1262</v>
      </c>
      <c r="AS379" s="3">
        <v>1311815.49</v>
      </c>
      <c r="AW379" t="s">
        <v>84</v>
      </c>
      <c r="AY379" s="3">
        <v>1.52</v>
      </c>
      <c r="AZ379" s="4">
        <v>1113</v>
      </c>
      <c r="BA379" s="1">
        <v>734</v>
      </c>
      <c r="BB379" s="1">
        <v>192</v>
      </c>
      <c r="BC379" s="1">
        <v>216</v>
      </c>
      <c r="BD379" s="1">
        <v>48</v>
      </c>
      <c r="BF379" t="s">
        <v>2247</v>
      </c>
      <c r="BG379" t="s">
        <v>104</v>
      </c>
    </row>
    <row r="380" spans="1:62" x14ac:dyDescent="0.25">
      <c r="A380" t="s">
        <v>2248</v>
      </c>
      <c r="B380" t="s">
        <v>2249</v>
      </c>
      <c r="C380" s="1">
        <v>127</v>
      </c>
      <c r="D380" s="1">
        <v>1995</v>
      </c>
      <c r="E380" t="s">
        <v>64</v>
      </c>
      <c r="F380" t="s">
        <v>734</v>
      </c>
      <c r="H380" t="s">
        <v>2250</v>
      </c>
      <c r="K380" s="1">
        <v>3</v>
      </c>
      <c r="L380" t="s">
        <v>91</v>
      </c>
      <c r="M380" t="s">
        <v>70</v>
      </c>
      <c r="N380" t="s">
        <v>71</v>
      </c>
      <c r="P380" t="s">
        <v>72</v>
      </c>
      <c r="Q380" t="s">
        <v>73</v>
      </c>
      <c r="R380" t="s">
        <v>74</v>
      </c>
      <c r="S380" t="s">
        <v>738</v>
      </c>
      <c r="AI380" s="1">
        <v>2</v>
      </c>
      <c r="AJ380" t="s">
        <v>81</v>
      </c>
      <c r="AK380" t="s">
        <v>82</v>
      </c>
      <c r="AL380" t="s">
        <v>83</v>
      </c>
      <c r="AS380" s="3">
        <v>52189.62</v>
      </c>
      <c r="AW380" t="s">
        <v>84</v>
      </c>
      <c r="BC380" s="1">
        <v>127</v>
      </c>
    </row>
    <row r="381" spans="1:62" x14ac:dyDescent="0.25">
      <c r="A381" t="s">
        <v>2251</v>
      </c>
      <c r="B381" t="s">
        <v>2252</v>
      </c>
      <c r="C381" s="1">
        <v>225</v>
      </c>
      <c r="D381" s="1">
        <v>1997</v>
      </c>
      <c r="E381" t="s">
        <v>64</v>
      </c>
      <c r="F381" t="s">
        <v>2253</v>
      </c>
      <c r="G381" t="s">
        <v>546</v>
      </c>
      <c r="H381" t="s">
        <v>2254</v>
      </c>
      <c r="I381" t="s">
        <v>546</v>
      </c>
      <c r="J381" t="s">
        <v>546</v>
      </c>
      <c r="K381" s="1">
        <v>3</v>
      </c>
      <c r="L381" t="s">
        <v>91</v>
      </c>
      <c r="M381" t="s">
        <v>70</v>
      </c>
      <c r="N381" t="s">
        <v>71</v>
      </c>
      <c r="O381" t="s">
        <v>426</v>
      </c>
      <c r="P381" t="s">
        <v>72</v>
      </c>
      <c r="Q381" t="s">
        <v>73</v>
      </c>
      <c r="R381" t="s">
        <v>74</v>
      </c>
      <c r="S381" t="s">
        <v>2255</v>
      </c>
      <c r="AF381" s="5">
        <v>2.2222</v>
      </c>
      <c r="AI381" s="1">
        <v>2</v>
      </c>
      <c r="AJ381" t="s">
        <v>81</v>
      </c>
      <c r="AK381" t="s">
        <v>82</v>
      </c>
      <c r="AL381" t="s">
        <v>83</v>
      </c>
      <c r="AW381" t="s">
        <v>84</v>
      </c>
    </row>
    <row r="382" spans="1:62" x14ac:dyDescent="0.25">
      <c r="A382" t="s">
        <v>2256</v>
      </c>
      <c r="B382" t="s">
        <v>2257</v>
      </c>
      <c r="C382" s="1">
        <v>152</v>
      </c>
      <c r="D382" s="1">
        <v>2000</v>
      </c>
      <c r="E382" t="s">
        <v>64</v>
      </c>
      <c r="F382" t="s">
        <v>2253</v>
      </c>
      <c r="G382" t="s">
        <v>546</v>
      </c>
      <c r="H382" t="s">
        <v>2258</v>
      </c>
      <c r="I382" t="s">
        <v>546</v>
      </c>
      <c r="J382" t="s">
        <v>546</v>
      </c>
      <c r="K382" s="1">
        <v>2</v>
      </c>
      <c r="L382" t="s">
        <v>69</v>
      </c>
      <c r="M382" t="s">
        <v>70</v>
      </c>
      <c r="N382" t="s">
        <v>71</v>
      </c>
      <c r="O382" t="s">
        <v>118</v>
      </c>
      <c r="P382" t="s">
        <v>72</v>
      </c>
      <c r="Q382" t="s">
        <v>73</v>
      </c>
      <c r="R382" t="s">
        <v>74</v>
      </c>
      <c r="S382" t="s">
        <v>2259</v>
      </c>
      <c r="T382" s="2">
        <v>1090</v>
      </c>
      <c r="U382" s="3">
        <v>1.1499999999999999</v>
      </c>
      <c r="V382" s="4">
        <v>1248</v>
      </c>
      <c r="AF382" s="5">
        <v>3.9474</v>
      </c>
      <c r="AI382" s="1">
        <v>2</v>
      </c>
      <c r="AJ382" t="s">
        <v>81</v>
      </c>
      <c r="AK382" t="s">
        <v>82</v>
      </c>
      <c r="AL382" t="s">
        <v>83</v>
      </c>
      <c r="AM382" s="3">
        <v>1.2</v>
      </c>
      <c r="AN382" s="4">
        <v>1122</v>
      </c>
      <c r="AO382" s="1">
        <v>938</v>
      </c>
      <c r="AP382" s="3">
        <v>1.1299999999999999</v>
      </c>
      <c r="AQ382" s="4">
        <v>1295</v>
      </c>
      <c r="AR382" s="1">
        <v>1151</v>
      </c>
      <c r="AW382" t="s">
        <v>84</v>
      </c>
      <c r="AY382" s="3">
        <v>1.34</v>
      </c>
      <c r="AZ382" s="4">
        <v>935</v>
      </c>
      <c r="BA382" s="1">
        <v>698</v>
      </c>
      <c r="BB382" s="1">
        <v>12</v>
      </c>
      <c r="BC382" s="1">
        <v>55</v>
      </c>
      <c r="BD382" s="1">
        <v>45</v>
      </c>
      <c r="BE382" s="1">
        <v>35</v>
      </c>
      <c r="BH382" s="3">
        <v>1.0900000000000001</v>
      </c>
      <c r="BI382" s="4">
        <v>1445</v>
      </c>
      <c r="BJ382" s="1">
        <v>1328</v>
      </c>
    </row>
    <row r="383" spans="1:62" x14ac:dyDescent="0.25">
      <c r="A383" t="s">
        <v>2260</v>
      </c>
      <c r="B383" t="s">
        <v>2261</v>
      </c>
      <c r="C383" s="1">
        <v>305</v>
      </c>
      <c r="D383" s="1">
        <v>1999</v>
      </c>
      <c r="E383" t="s">
        <v>64</v>
      </c>
      <c r="F383" t="s">
        <v>87</v>
      </c>
      <c r="G383" t="s">
        <v>2262</v>
      </c>
      <c r="H383" t="s">
        <v>2263</v>
      </c>
      <c r="I383" t="s">
        <v>2264</v>
      </c>
      <c r="J383" t="s">
        <v>2262</v>
      </c>
      <c r="K383" s="1">
        <v>4</v>
      </c>
      <c r="L383" t="s">
        <v>91</v>
      </c>
      <c r="M383" t="s">
        <v>70</v>
      </c>
      <c r="N383" t="s">
        <v>71</v>
      </c>
      <c r="P383" t="s">
        <v>72</v>
      </c>
      <c r="Q383" t="s">
        <v>73</v>
      </c>
      <c r="R383" t="s">
        <v>74</v>
      </c>
      <c r="S383" t="s">
        <v>92</v>
      </c>
      <c r="T383" s="2">
        <v>1176</v>
      </c>
      <c r="U383" s="3">
        <v>1.88</v>
      </c>
      <c r="V383" s="4">
        <v>2212</v>
      </c>
      <c r="AF383" s="5">
        <v>3.6065999999999998</v>
      </c>
      <c r="AH383" s="1">
        <v>2007</v>
      </c>
      <c r="AI383" s="1">
        <v>4</v>
      </c>
      <c r="AJ383" t="s">
        <v>81</v>
      </c>
      <c r="AK383" t="s">
        <v>82</v>
      </c>
      <c r="AL383" t="s">
        <v>83</v>
      </c>
      <c r="AM383" s="3">
        <v>1.75</v>
      </c>
      <c r="AN383" s="4">
        <v>2353</v>
      </c>
      <c r="AO383" s="1">
        <v>1343</v>
      </c>
      <c r="AP383" s="3">
        <v>1.84</v>
      </c>
      <c r="AQ383" s="4">
        <v>3269</v>
      </c>
      <c r="AR383" s="1">
        <v>1774</v>
      </c>
      <c r="AS383" s="3">
        <v>1938025.5</v>
      </c>
      <c r="AW383" t="s">
        <v>84</v>
      </c>
      <c r="AY383" s="3">
        <v>2.02</v>
      </c>
      <c r="AZ383" s="4">
        <v>1969</v>
      </c>
      <c r="BA383" s="1">
        <v>977</v>
      </c>
      <c r="BB383" s="1">
        <v>164</v>
      </c>
      <c r="BC383" s="1">
        <v>119</v>
      </c>
      <c r="BD383" s="1">
        <v>22</v>
      </c>
    </row>
    <row r="384" spans="1:62" x14ac:dyDescent="0.25">
      <c r="A384" t="s">
        <v>2265</v>
      </c>
      <c r="B384" t="s">
        <v>2266</v>
      </c>
      <c r="C384" s="1">
        <v>104</v>
      </c>
      <c r="D384" s="1">
        <v>1992</v>
      </c>
      <c r="E384" t="s">
        <v>64</v>
      </c>
      <c r="F384" t="s">
        <v>177</v>
      </c>
      <c r="G384" t="s">
        <v>2267</v>
      </c>
      <c r="H384" t="s">
        <v>2268</v>
      </c>
      <c r="I384" t="s">
        <v>2269</v>
      </c>
      <c r="J384" t="s">
        <v>2267</v>
      </c>
      <c r="K384" s="1">
        <v>3</v>
      </c>
      <c r="L384" t="s">
        <v>69</v>
      </c>
      <c r="M384" t="s">
        <v>70</v>
      </c>
      <c r="N384" t="s">
        <v>71</v>
      </c>
      <c r="O384" t="s">
        <v>118</v>
      </c>
      <c r="P384" t="s">
        <v>72</v>
      </c>
      <c r="Q384" t="s">
        <v>181</v>
      </c>
      <c r="R384" t="s">
        <v>74</v>
      </c>
      <c r="S384" t="s">
        <v>182</v>
      </c>
      <c r="T384" s="2">
        <v>545</v>
      </c>
      <c r="U384" s="3">
        <v>1.92</v>
      </c>
      <c r="V384" s="4">
        <v>1048</v>
      </c>
      <c r="AF384" s="5">
        <v>0</v>
      </c>
      <c r="AI384" s="1">
        <v>2</v>
      </c>
      <c r="AJ384" t="s">
        <v>81</v>
      </c>
      <c r="AK384" t="s">
        <v>82</v>
      </c>
      <c r="AL384" t="s">
        <v>83</v>
      </c>
      <c r="AS384" s="3">
        <v>46216.44</v>
      </c>
      <c r="AW384" t="s">
        <v>84</v>
      </c>
      <c r="AY384" s="3">
        <v>1.92</v>
      </c>
      <c r="AZ384" s="4">
        <v>1048</v>
      </c>
      <c r="BA384" s="1">
        <v>545</v>
      </c>
      <c r="BB384" s="1">
        <v>104</v>
      </c>
      <c r="BF384" t="s">
        <v>2270</v>
      </c>
      <c r="BG384" t="s">
        <v>104</v>
      </c>
    </row>
    <row r="385" spans="1:62" x14ac:dyDescent="0.25">
      <c r="A385" t="s">
        <v>2271</v>
      </c>
      <c r="B385" t="s">
        <v>2272</v>
      </c>
      <c r="C385" s="1">
        <v>76</v>
      </c>
      <c r="D385" s="1">
        <v>2000</v>
      </c>
      <c r="E385" t="s">
        <v>64</v>
      </c>
      <c r="F385" t="s">
        <v>1871</v>
      </c>
      <c r="G385" t="s">
        <v>866</v>
      </c>
      <c r="H385" t="s">
        <v>2273</v>
      </c>
      <c r="I385" t="s">
        <v>2274</v>
      </c>
      <c r="J385" t="s">
        <v>866</v>
      </c>
      <c r="K385" s="1">
        <v>2</v>
      </c>
      <c r="L385" t="s">
        <v>69</v>
      </c>
      <c r="M385" t="s">
        <v>70</v>
      </c>
      <c r="N385" t="s">
        <v>127</v>
      </c>
      <c r="P385" t="s">
        <v>72</v>
      </c>
      <c r="Q385" t="s">
        <v>2275</v>
      </c>
      <c r="R385" t="s">
        <v>74</v>
      </c>
      <c r="S385" t="s">
        <v>2276</v>
      </c>
      <c r="AF385" s="5">
        <v>9.2104999999999997</v>
      </c>
      <c r="AJ385" t="s">
        <v>81</v>
      </c>
      <c r="AK385" t="s">
        <v>82</v>
      </c>
      <c r="AL385" t="s">
        <v>83</v>
      </c>
      <c r="AW385" t="s">
        <v>84</v>
      </c>
      <c r="BB385" s="1">
        <v>76</v>
      </c>
    </row>
    <row r="386" spans="1:62" x14ac:dyDescent="0.25">
      <c r="A386" t="s">
        <v>2277</v>
      </c>
      <c r="B386" t="s">
        <v>2278</v>
      </c>
      <c r="C386" s="1">
        <v>208</v>
      </c>
      <c r="D386" s="1">
        <v>1999</v>
      </c>
      <c r="E386" t="s">
        <v>64</v>
      </c>
      <c r="F386" t="s">
        <v>280</v>
      </c>
      <c r="G386" t="s">
        <v>2279</v>
      </c>
      <c r="H386" t="s">
        <v>2280</v>
      </c>
      <c r="I386" t="s">
        <v>2281</v>
      </c>
      <c r="J386" t="s">
        <v>2279</v>
      </c>
      <c r="K386" s="1">
        <v>4</v>
      </c>
      <c r="L386" t="s">
        <v>91</v>
      </c>
      <c r="M386" t="s">
        <v>70</v>
      </c>
      <c r="N386" t="s">
        <v>71</v>
      </c>
      <c r="P386" t="s">
        <v>72</v>
      </c>
      <c r="Q386" t="s">
        <v>152</v>
      </c>
      <c r="R386" t="s">
        <v>74</v>
      </c>
      <c r="S386" t="s">
        <v>2282</v>
      </c>
      <c r="T386" s="2">
        <v>842</v>
      </c>
      <c r="U386" s="3">
        <v>1.71</v>
      </c>
      <c r="V386" s="4">
        <v>1443</v>
      </c>
      <c r="AF386" s="5">
        <v>1.9231</v>
      </c>
      <c r="AI386" s="1">
        <v>3</v>
      </c>
      <c r="AJ386" t="s">
        <v>81</v>
      </c>
      <c r="AK386" t="s">
        <v>82</v>
      </c>
      <c r="AL386" t="s">
        <v>83</v>
      </c>
      <c r="AM386" s="3">
        <v>1.67</v>
      </c>
      <c r="AN386" s="4">
        <v>1589</v>
      </c>
      <c r="AO386" s="1">
        <v>951</v>
      </c>
      <c r="AP386" s="3">
        <v>1.68</v>
      </c>
      <c r="AQ386" s="4">
        <v>1858</v>
      </c>
      <c r="AR386" s="1">
        <v>1105</v>
      </c>
      <c r="AS386" s="3">
        <v>766988.88</v>
      </c>
      <c r="AW386" t="s">
        <v>84</v>
      </c>
      <c r="AY386" s="3">
        <v>1.79</v>
      </c>
      <c r="AZ386" s="4">
        <v>1227</v>
      </c>
      <c r="BA386" s="1">
        <v>685</v>
      </c>
      <c r="BB386" s="1">
        <v>99</v>
      </c>
      <c r="BC386" s="1">
        <v>85</v>
      </c>
      <c r="BD386" s="1">
        <v>24</v>
      </c>
      <c r="BF386" t="s">
        <v>2283</v>
      </c>
      <c r="BG386" t="s">
        <v>131</v>
      </c>
    </row>
    <row r="387" spans="1:62" x14ac:dyDescent="0.25">
      <c r="A387" t="s">
        <v>2284</v>
      </c>
      <c r="B387" t="s">
        <v>2285</v>
      </c>
      <c r="C387" s="1">
        <v>168</v>
      </c>
      <c r="D387" s="1">
        <v>1995</v>
      </c>
      <c r="E387" t="s">
        <v>64</v>
      </c>
      <c r="F387" t="s">
        <v>288</v>
      </c>
      <c r="G387" t="s">
        <v>2286</v>
      </c>
      <c r="H387" t="s">
        <v>2287</v>
      </c>
      <c r="I387" t="s">
        <v>2288</v>
      </c>
      <c r="J387" t="s">
        <v>2286</v>
      </c>
      <c r="K387" s="1">
        <v>3</v>
      </c>
      <c r="L387" t="s">
        <v>91</v>
      </c>
      <c r="M387" t="s">
        <v>70</v>
      </c>
      <c r="N387" t="s">
        <v>71</v>
      </c>
      <c r="P387" t="s">
        <v>72</v>
      </c>
      <c r="Q387" t="s">
        <v>152</v>
      </c>
      <c r="R387" t="s">
        <v>74</v>
      </c>
      <c r="S387" t="s">
        <v>1336</v>
      </c>
      <c r="T387" s="2">
        <v>855</v>
      </c>
      <c r="U387" s="3">
        <v>1.04</v>
      </c>
      <c r="V387" s="4">
        <v>887</v>
      </c>
      <c r="AF387" s="5">
        <v>41.071399999999997</v>
      </c>
      <c r="AH387" s="1">
        <v>2007</v>
      </c>
      <c r="AI387" s="1">
        <v>2</v>
      </c>
      <c r="AJ387" t="s">
        <v>81</v>
      </c>
      <c r="AK387" t="s">
        <v>82</v>
      </c>
      <c r="AL387" t="s">
        <v>83</v>
      </c>
      <c r="AM387" s="3">
        <v>1.03</v>
      </c>
      <c r="AN387" s="4">
        <v>972</v>
      </c>
      <c r="AO387" s="1">
        <v>946</v>
      </c>
      <c r="AP387" s="3">
        <v>1.01</v>
      </c>
      <c r="AQ387" s="4">
        <v>1136</v>
      </c>
      <c r="AR387" s="1">
        <v>1125</v>
      </c>
      <c r="AS387" s="3">
        <v>291704.40000000002</v>
      </c>
      <c r="AW387" t="s">
        <v>84</v>
      </c>
      <c r="AY387" s="3">
        <v>1.06</v>
      </c>
      <c r="AZ387" s="4">
        <v>761</v>
      </c>
      <c r="BA387" s="1">
        <v>719</v>
      </c>
      <c r="BB387" s="1">
        <v>80</v>
      </c>
      <c r="BC387" s="1">
        <v>72</v>
      </c>
      <c r="BD387" s="1">
        <v>16</v>
      </c>
    </row>
    <row r="388" spans="1:62" x14ac:dyDescent="0.25">
      <c r="A388" t="s">
        <v>2289</v>
      </c>
      <c r="B388" t="s">
        <v>2290</v>
      </c>
      <c r="C388" s="1">
        <v>63</v>
      </c>
      <c r="D388" s="1">
        <v>1999</v>
      </c>
      <c r="E388" t="s">
        <v>64</v>
      </c>
      <c r="F388" t="s">
        <v>219</v>
      </c>
      <c r="G388" t="s">
        <v>397</v>
      </c>
      <c r="H388" t="s">
        <v>2291</v>
      </c>
      <c r="I388" t="s">
        <v>2292</v>
      </c>
      <c r="J388" t="s">
        <v>397</v>
      </c>
      <c r="K388" s="1">
        <v>4</v>
      </c>
      <c r="L388" t="s">
        <v>91</v>
      </c>
      <c r="M388" t="s">
        <v>70</v>
      </c>
      <c r="N388" t="s">
        <v>71</v>
      </c>
      <c r="P388" t="s">
        <v>72</v>
      </c>
      <c r="Q388" t="s">
        <v>152</v>
      </c>
      <c r="R388" t="s">
        <v>74</v>
      </c>
      <c r="S388" t="s">
        <v>2072</v>
      </c>
      <c r="T388" s="2">
        <v>1270</v>
      </c>
      <c r="U388" s="3">
        <v>1.64</v>
      </c>
      <c r="V388" s="4">
        <v>2082</v>
      </c>
      <c r="AF388" s="5">
        <v>9.5237999999999996</v>
      </c>
      <c r="AI388" s="1">
        <v>3</v>
      </c>
      <c r="AJ388" t="s">
        <v>81</v>
      </c>
      <c r="AK388" t="s">
        <v>82</v>
      </c>
      <c r="AL388" t="s">
        <v>83</v>
      </c>
      <c r="AM388" s="3">
        <v>1.62</v>
      </c>
      <c r="AN388" s="4">
        <v>2250</v>
      </c>
      <c r="AO388" s="1">
        <v>1385</v>
      </c>
      <c r="AS388" s="3">
        <v>289460.52</v>
      </c>
      <c r="AW388" t="s">
        <v>84</v>
      </c>
      <c r="AY388" s="3">
        <v>1.69</v>
      </c>
      <c r="AZ388" s="4">
        <v>1663</v>
      </c>
      <c r="BA388" s="1">
        <v>985</v>
      </c>
      <c r="BB388" s="1">
        <v>18</v>
      </c>
      <c r="BC388" s="1">
        <v>45</v>
      </c>
      <c r="BF388" t="s">
        <v>2293</v>
      </c>
      <c r="BG388" t="s">
        <v>104</v>
      </c>
    </row>
    <row r="389" spans="1:62" x14ac:dyDescent="0.25">
      <c r="A389" t="s">
        <v>2294</v>
      </c>
      <c r="B389" t="s">
        <v>2295</v>
      </c>
      <c r="C389" s="1">
        <v>198</v>
      </c>
      <c r="D389" s="1">
        <v>1997</v>
      </c>
      <c r="E389" t="s">
        <v>64</v>
      </c>
      <c r="F389" t="s">
        <v>97</v>
      </c>
      <c r="G389" t="s">
        <v>2296</v>
      </c>
      <c r="H389" t="s">
        <v>2297</v>
      </c>
      <c r="I389" t="s">
        <v>2298</v>
      </c>
      <c r="J389" t="s">
        <v>2296</v>
      </c>
      <c r="K389" s="1">
        <v>3</v>
      </c>
      <c r="L389" t="s">
        <v>69</v>
      </c>
      <c r="M389" t="s">
        <v>70</v>
      </c>
      <c r="N389" t="s">
        <v>71</v>
      </c>
      <c r="O389" t="s">
        <v>118</v>
      </c>
      <c r="P389" t="s">
        <v>72</v>
      </c>
      <c r="Q389" t="s">
        <v>1662</v>
      </c>
      <c r="R389" t="s">
        <v>74</v>
      </c>
      <c r="S389" t="s">
        <v>2299</v>
      </c>
      <c r="T389" s="2">
        <v>806</v>
      </c>
      <c r="U389" s="3">
        <v>1.69</v>
      </c>
      <c r="V389" s="4">
        <v>1367</v>
      </c>
      <c r="AF389" s="5">
        <v>7.0707000000000004</v>
      </c>
      <c r="AI389" s="1">
        <v>2</v>
      </c>
      <c r="AJ389" t="s">
        <v>81</v>
      </c>
      <c r="AK389" t="s">
        <v>82</v>
      </c>
      <c r="AL389" t="s">
        <v>83</v>
      </c>
      <c r="AM389" s="3">
        <v>1.65</v>
      </c>
      <c r="AN389" s="4">
        <v>1518</v>
      </c>
      <c r="AO389" s="1">
        <v>920</v>
      </c>
      <c r="AS389" s="3">
        <v>315675.13</v>
      </c>
      <c r="AW389" t="s">
        <v>84</v>
      </c>
      <c r="AY389" s="3">
        <v>1.73</v>
      </c>
      <c r="AZ389" s="4">
        <v>1262</v>
      </c>
      <c r="BA389" s="1">
        <v>730</v>
      </c>
      <c r="BB389" s="1">
        <v>118</v>
      </c>
      <c r="BC389" s="1">
        <v>80</v>
      </c>
    </row>
    <row r="390" spans="1:62" x14ac:dyDescent="0.25">
      <c r="A390" t="s">
        <v>2300</v>
      </c>
      <c r="B390" t="s">
        <v>2301</v>
      </c>
      <c r="C390" s="1">
        <v>308</v>
      </c>
      <c r="D390" s="1">
        <v>1995</v>
      </c>
      <c r="E390" t="s">
        <v>64</v>
      </c>
      <c r="F390" t="s">
        <v>514</v>
      </c>
      <c r="G390" t="s">
        <v>790</v>
      </c>
      <c r="H390" t="s">
        <v>2302</v>
      </c>
      <c r="I390" t="s">
        <v>2303</v>
      </c>
      <c r="J390" t="s">
        <v>790</v>
      </c>
      <c r="K390" s="1">
        <v>3</v>
      </c>
      <c r="L390" t="s">
        <v>91</v>
      </c>
      <c r="M390" t="s">
        <v>70</v>
      </c>
      <c r="N390" t="s">
        <v>71</v>
      </c>
      <c r="P390" t="s">
        <v>72</v>
      </c>
      <c r="Q390" t="s">
        <v>264</v>
      </c>
      <c r="R390" t="s">
        <v>74</v>
      </c>
      <c r="S390" t="s">
        <v>2304</v>
      </c>
      <c r="T390" s="2">
        <v>986</v>
      </c>
      <c r="U390" s="3">
        <v>1.75</v>
      </c>
      <c r="V390" s="4">
        <v>1722</v>
      </c>
      <c r="AF390" s="5">
        <v>7.1429</v>
      </c>
      <c r="AG390" s="1">
        <v>1</v>
      </c>
      <c r="AI390" s="1">
        <v>3</v>
      </c>
      <c r="AJ390" t="s">
        <v>81</v>
      </c>
      <c r="AK390" t="s">
        <v>82</v>
      </c>
      <c r="AL390" t="s">
        <v>83</v>
      </c>
      <c r="AM390" s="3">
        <v>1.65</v>
      </c>
      <c r="AN390" s="4">
        <v>1879</v>
      </c>
      <c r="AO390" s="1">
        <v>1142</v>
      </c>
      <c r="AP390" s="3">
        <v>1.9</v>
      </c>
      <c r="AQ390" s="4">
        <v>2369</v>
      </c>
      <c r="AR390" s="1">
        <v>1245</v>
      </c>
      <c r="AS390" s="3">
        <v>1345066.25</v>
      </c>
      <c r="AW390" t="s">
        <v>84</v>
      </c>
      <c r="AY390" s="3">
        <v>1.76</v>
      </c>
      <c r="AZ390" s="4">
        <v>1336</v>
      </c>
      <c r="BA390" s="1">
        <v>758</v>
      </c>
      <c r="BB390" s="1">
        <v>140</v>
      </c>
      <c r="BC390" s="1">
        <v>112</v>
      </c>
      <c r="BD390" s="1">
        <v>56</v>
      </c>
      <c r="BF390" t="s">
        <v>1414</v>
      </c>
      <c r="BG390" t="s">
        <v>131</v>
      </c>
    </row>
    <row r="391" spans="1:62" x14ac:dyDescent="0.25">
      <c r="A391" t="s">
        <v>2305</v>
      </c>
      <c r="B391" t="s">
        <v>2306</v>
      </c>
      <c r="C391" s="1">
        <v>50</v>
      </c>
      <c r="D391" s="1">
        <v>1999</v>
      </c>
      <c r="E391" t="s">
        <v>64</v>
      </c>
      <c r="F391" t="s">
        <v>308</v>
      </c>
      <c r="G391" t="s">
        <v>2307</v>
      </c>
      <c r="H391" t="s">
        <v>2306</v>
      </c>
      <c r="I391" t="s">
        <v>2308</v>
      </c>
      <c r="J391" t="s">
        <v>2307</v>
      </c>
      <c r="K391" s="1">
        <v>3</v>
      </c>
      <c r="L391" t="s">
        <v>69</v>
      </c>
      <c r="M391" t="s">
        <v>70</v>
      </c>
      <c r="N391" t="s">
        <v>71</v>
      </c>
      <c r="O391" t="s">
        <v>426</v>
      </c>
      <c r="P391" t="s">
        <v>72</v>
      </c>
      <c r="Q391" t="s">
        <v>312</v>
      </c>
      <c r="R391" t="s">
        <v>74</v>
      </c>
      <c r="S391" t="s">
        <v>313</v>
      </c>
      <c r="T391" s="2">
        <v>693</v>
      </c>
      <c r="U391" s="3">
        <v>1.5</v>
      </c>
      <c r="V391" s="4">
        <v>1038</v>
      </c>
      <c r="AF391" s="5">
        <v>4</v>
      </c>
      <c r="AI391" s="1">
        <v>1</v>
      </c>
      <c r="AJ391" t="s">
        <v>81</v>
      </c>
      <c r="AK391" t="s">
        <v>82</v>
      </c>
      <c r="AL391" t="s">
        <v>83</v>
      </c>
      <c r="AM391" s="3">
        <v>1.42</v>
      </c>
      <c r="AN391" s="4">
        <v>1216</v>
      </c>
      <c r="AO391" s="1">
        <v>855</v>
      </c>
      <c r="AS391" s="3">
        <v>73493.83</v>
      </c>
      <c r="AW391" t="s">
        <v>84</v>
      </c>
      <c r="AY391" s="3">
        <v>1.53</v>
      </c>
      <c r="AZ391" s="4">
        <v>981</v>
      </c>
      <c r="BA391" s="1">
        <v>643</v>
      </c>
      <c r="BB391" s="1">
        <v>38</v>
      </c>
      <c r="BC391" s="1">
        <v>12</v>
      </c>
      <c r="BG391" t="s">
        <v>131</v>
      </c>
    </row>
    <row r="392" spans="1:62" x14ac:dyDescent="0.25">
      <c r="A392" t="s">
        <v>2309</v>
      </c>
      <c r="B392" t="s">
        <v>2310</v>
      </c>
      <c r="C392" s="1">
        <v>252</v>
      </c>
      <c r="D392" s="1">
        <v>1998</v>
      </c>
      <c r="E392" t="s">
        <v>64</v>
      </c>
      <c r="F392" t="s">
        <v>308</v>
      </c>
      <c r="G392" t="s">
        <v>2311</v>
      </c>
      <c r="H392" t="s">
        <v>2312</v>
      </c>
      <c r="I392" t="s">
        <v>2313</v>
      </c>
      <c r="J392" t="s">
        <v>2311</v>
      </c>
      <c r="K392" s="1">
        <v>3</v>
      </c>
      <c r="L392" t="s">
        <v>69</v>
      </c>
      <c r="M392" t="s">
        <v>70</v>
      </c>
      <c r="N392" t="s">
        <v>71</v>
      </c>
      <c r="P392" t="s">
        <v>72</v>
      </c>
      <c r="Q392" t="s">
        <v>393</v>
      </c>
      <c r="R392" t="s">
        <v>74</v>
      </c>
      <c r="S392" t="s">
        <v>766</v>
      </c>
      <c r="T392" s="2">
        <v>1137</v>
      </c>
      <c r="U392" s="3">
        <v>1.58</v>
      </c>
      <c r="V392" s="4">
        <v>1798</v>
      </c>
      <c r="AF392" s="5">
        <v>3.9683000000000002</v>
      </c>
      <c r="AH392" s="1">
        <v>2017</v>
      </c>
      <c r="AI392" s="1">
        <v>2</v>
      </c>
      <c r="AJ392" t="s">
        <v>81</v>
      </c>
      <c r="AK392" t="s">
        <v>82</v>
      </c>
      <c r="AL392" t="s">
        <v>83</v>
      </c>
      <c r="AM392" s="3">
        <v>1.55</v>
      </c>
      <c r="AN392" s="4">
        <v>1670</v>
      </c>
      <c r="AO392" s="1">
        <v>1080</v>
      </c>
      <c r="AP392" s="3">
        <v>1.64</v>
      </c>
      <c r="AQ392" s="4">
        <v>1964</v>
      </c>
      <c r="AR392" s="1">
        <v>1198</v>
      </c>
      <c r="AS392" s="3">
        <v>1039415.15</v>
      </c>
      <c r="AW392" t="s">
        <v>84</v>
      </c>
      <c r="BC392" s="1">
        <v>168</v>
      </c>
      <c r="BD392" s="1">
        <v>60</v>
      </c>
      <c r="BE392" s="1">
        <v>24</v>
      </c>
      <c r="BF392" t="s">
        <v>261</v>
      </c>
      <c r="BG392" t="s">
        <v>104</v>
      </c>
      <c r="BH392" s="3">
        <v>1.64</v>
      </c>
      <c r="BI392" s="4">
        <v>2280</v>
      </c>
      <c r="BJ392" s="1">
        <v>1391</v>
      </c>
    </row>
    <row r="393" spans="1:62" x14ac:dyDescent="0.25">
      <c r="A393" t="s">
        <v>2314</v>
      </c>
      <c r="B393" t="s">
        <v>2315</v>
      </c>
      <c r="C393" s="1">
        <v>104</v>
      </c>
      <c r="D393" s="1">
        <v>1999</v>
      </c>
      <c r="E393" t="s">
        <v>64</v>
      </c>
      <c r="F393" t="s">
        <v>653</v>
      </c>
      <c r="G393" t="s">
        <v>2316</v>
      </c>
      <c r="H393" t="s">
        <v>2317</v>
      </c>
      <c r="I393" t="s">
        <v>2318</v>
      </c>
      <c r="J393" t="s">
        <v>2316</v>
      </c>
      <c r="K393" s="1">
        <v>3</v>
      </c>
      <c r="L393" t="s">
        <v>91</v>
      </c>
      <c r="M393" t="s">
        <v>70</v>
      </c>
      <c r="N393" t="s">
        <v>71</v>
      </c>
      <c r="P393" t="s">
        <v>72</v>
      </c>
      <c r="Q393" t="s">
        <v>152</v>
      </c>
      <c r="R393" t="s">
        <v>74</v>
      </c>
      <c r="S393" t="s">
        <v>1070</v>
      </c>
      <c r="T393" s="2">
        <v>1224</v>
      </c>
      <c r="U393" s="3">
        <v>1.46</v>
      </c>
      <c r="V393" s="4">
        <v>1787</v>
      </c>
      <c r="AF393" s="5">
        <v>11.538500000000001</v>
      </c>
      <c r="AH393" s="1">
        <v>2020</v>
      </c>
      <c r="AI393" s="1">
        <v>2</v>
      </c>
      <c r="AJ393" t="s">
        <v>81</v>
      </c>
      <c r="AK393" t="s">
        <v>82</v>
      </c>
      <c r="AL393" t="s">
        <v>83</v>
      </c>
      <c r="AM393" s="3">
        <v>1.44</v>
      </c>
      <c r="AN393" s="4">
        <v>1879</v>
      </c>
      <c r="AO393" s="1">
        <v>1307</v>
      </c>
      <c r="AP393" s="3">
        <v>1.54</v>
      </c>
      <c r="AQ393" s="4">
        <v>2295</v>
      </c>
      <c r="AR393" s="1">
        <v>1494</v>
      </c>
      <c r="AS393" s="3">
        <v>446532.12</v>
      </c>
      <c r="AW393" t="s">
        <v>84</v>
      </c>
      <c r="AY393" s="3">
        <v>1.45</v>
      </c>
      <c r="AZ393" s="4">
        <v>1484</v>
      </c>
      <c r="BA393" s="1">
        <v>1024</v>
      </c>
      <c r="BB393" s="1">
        <v>41</v>
      </c>
      <c r="BC393" s="1">
        <v>47</v>
      </c>
      <c r="BD393" s="1">
        <v>16</v>
      </c>
      <c r="BF393" t="s">
        <v>650</v>
      </c>
      <c r="BG393" t="s">
        <v>104</v>
      </c>
    </row>
    <row r="394" spans="1:62" x14ac:dyDescent="0.25">
      <c r="A394" t="s">
        <v>2319</v>
      </c>
      <c r="B394" t="s">
        <v>2320</v>
      </c>
      <c r="C394" s="1">
        <v>296</v>
      </c>
      <c r="D394" s="1">
        <v>2000</v>
      </c>
      <c r="E394" t="s">
        <v>64</v>
      </c>
      <c r="F394" t="s">
        <v>725</v>
      </c>
      <c r="G394" t="s">
        <v>2321</v>
      </c>
      <c r="H394" t="s">
        <v>2322</v>
      </c>
      <c r="I394" t="s">
        <v>2323</v>
      </c>
      <c r="J394" t="s">
        <v>2321</v>
      </c>
      <c r="K394" s="1">
        <v>4</v>
      </c>
      <c r="L394" t="s">
        <v>729</v>
      </c>
      <c r="M394" t="s">
        <v>70</v>
      </c>
      <c r="N394" t="s">
        <v>71</v>
      </c>
      <c r="P394" t="s">
        <v>72</v>
      </c>
      <c r="Q394" t="s">
        <v>73</v>
      </c>
      <c r="R394" t="s">
        <v>74</v>
      </c>
      <c r="S394" t="s">
        <v>2324</v>
      </c>
      <c r="T394" s="2">
        <v>974</v>
      </c>
      <c r="U394" s="3">
        <v>1.51</v>
      </c>
      <c r="V394" s="4">
        <v>1468</v>
      </c>
      <c r="AF394" s="5">
        <v>2.7027000000000001</v>
      </c>
      <c r="AI394" s="1">
        <v>3</v>
      </c>
      <c r="AJ394" t="s">
        <v>81</v>
      </c>
      <c r="AK394" t="s">
        <v>82</v>
      </c>
      <c r="AL394" t="s">
        <v>83</v>
      </c>
      <c r="AM394" s="3">
        <v>1.43</v>
      </c>
      <c r="AN394" s="4">
        <v>1569</v>
      </c>
      <c r="AO394" s="1">
        <v>1094</v>
      </c>
      <c r="AP394" s="3">
        <v>1.5</v>
      </c>
      <c r="AQ394" s="4">
        <v>2103</v>
      </c>
      <c r="AR394" s="1">
        <v>1404</v>
      </c>
      <c r="AS394" s="3">
        <v>851030.26</v>
      </c>
      <c r="AW394" t="s">
        <v>84</v>
      </c>
      <c r="AY394" s="3">
        <v>1.64</v>
      </c>
      <c r="AZ394" s="4">
        <v>1225</v>
      </c>
      <c r="BA394" s="1">
        <v>749</v>
      </c>
      <c r="BB394" s="1">
        <v>124</v>
      </c>
      <c r="BC394" s="1">
        <v>148</v>
      </c>
      <c r="BD394" s="1">
        <v>24</v>
      </c>
      <c r="BF394" t="s">
        <v>2325</v>
      </c>
      <c r="BG394" t="s">
        <v>104</v>
      </c>
    </row>
    <row r="395" spans="1:62" x14ac:dyDescent="0.25">
      <c r="A395" t="s">
        <v>2326</v>
      </c>
      <c r="B395" t="s">
        <v>2327</v>
      </c>
      <c r="C395" s="1">
        <v>331</v>
      </c>
      <c r="D395" s="1">
        <v>1997</v>
      </c>
      <c r="E395" t="s">
        <v>64</v>
      </c>
      <c r="F395" t="s">
        <v>725</v>
      </c>
      <c r="G395" t="s">
        <v>2328</v>
      </c>
      <c r="H395" t="s">
        <v>2329</v>
      </c>
      <c r="I395" t="s">
        <v>2330</v>
      </c>
      <c r="J395" t="s">
        <v>2328</v>
      </c>
      <c r="K395" s="1">
        <v>4</v>
      </c>
      <c r="L395" t="s">
        <v>91</v>
      </c>
      <c r="M395" t="s">
        <v>70</v>
      </c>
      <c r="N395" t="s">
        <v>71</v>
      </c>
      <c r="P395" t="s">
        <v>72</v>
      </c>
      <c r="Q395" t="s">
        <v>73</v>
      </c>
      <c r="R395" t="s">
        <v>74</v>
      </c>
      <c r="S395" t="s">
        <v>2331</v>
      </c>
      <c r="T395" s="2">
        <v>738</v>
      </c>
      <c r="U395" s="3">
        <v>1.8</v>
      </c>
      <c r="V395" s="4">
        <v>1333</v>
      </c>
      <c r="AF395" s="5">
        <v>9.0633999999999997</v>
      </c>
      <c r="AI395" s="1">
        <v>3</v>
      </c>
      <c r="AJ395" t="s">
        <v>81</v>
      </c>
      <c r="AK395" t="s">
        <v>82</v>
      </c>
      <c r="AL395" t="s">
        <v>83</v>
      </c>
      <c r="AM395" s="3">
        <v>1.5</v>
      </c>
      <c r="AN395" s="4">
        <v>1884</v>
      </c>
      <c r="AO395" s="1">
        <v>1259</v>
      </c>
      <c r="AS395" s="3">
        <v>750467.6</v>
      </c>
      <c r="AT395" s="3">
        <v>2.9</v>
      </c>
      <c r="AU395" s="4">
        <v>1031</v>
      </c>
      <c r="AV395" s="6">
        <v>356</v>
      </c>
      <c r="AW395" t="s">
        <v>84</v>
      </c>
      <c r="AY395" s="3">
        <v>1.8</v>
      </c>
      <c r="AZ395" s="4">
        <v>1323</v>
      </c>
      <c r="BA395" s="1">
        <v>734</v>
      </c>
      <c r="BB395" s="1">
        <v>307</v>
      </c>
      <c r="BC395" s="1">
        <v>12</v>
      </c>
    </row>
    <row r="396" spans="1:62" x14ac:dyDescent="0.25">
      <c r="A396" t="s">
        <v>2332</v>
      </c>
      <c r="B396" t="s">
        <v>2333</v>
      </c>
      <c r="C396" s="1">
        <v>191</v>
      </c>
      <c r="D396" s="1">
        <v>1997</v>
      </c>
      <c r="E396" t="s">
        <v>64</v>
      </c>
      <c r="F396" t="s">
        <v>725</v>
      </c>
      <c r="G396" t="s">
        <v>1038</v>
      </c>
      <c r="H396" t="s">
        <v>2334</v>
      </c>
      <c r="I396" t="s">
        <v>2335</v>
      </c>
      <c r="J396" t="s">
        <v>1038</v>
      </c>
      <c r="K396" s="1">
        <v>4</v>
      </c>
      <c r="L396" t="s">
        <v>91</v>
      </c>
      <c r="M396" t="s">
        <v>70</v>
      </c>
      <c r="N396" t="s">
        <v>71</v>
      </c>
      <c r="P396" t="s">
        <v>72</v>
      </c>
      <c r="Q396" t="s">
        <v>73</v>
      </c>
      <c r="R396" t="s">
        <v>74</v>
      </c>
      <c r="S396" t="s">
        <v>730</v>
      </c>
      <c r="T396" s="2">
        <v>789</v>
      </c>
      <c r="U396" s="3">
        <v>1.75</v>
      </c>
      <c r="V396" s="4">
        <v>1384</v>
      </c>
      <c r="AF396" s="5">
        <v>9.4240999999999993</v>
      </c>
      <c r="AI396" s="1">
        <v>3</v>
      </c>
      <c r="AJ396" t="s">
        <v>81</v>
      </c>
      <c r="AK396" t="s">
        <v>82</v>
      </c>
      <c r="AL396" t="s">
        <v>83</v>
      </c>
      <c r="AM396" s="3">
        <v>1.54</v>
      </c>
      <c r="AN396" s="4">
        <v>1728</v>
      </c>
      <c r="AO396" s="1">
        <v>1119</v>
      </c>
      <c r="AS396" s="3">
        <v>506565.63</v>
      </c>
      <c r="AW396" t="s">
        <v>84</v>
      </c>
      <c r="AY396" s="3">
        <v>1.87</v>
      </c>
      <c r="AZ396" s="4">
        <v>1268</v>
      </c>
      <c r="BA396" s="1">
        <v>679</v>
      </c>
      <c r="BB396" s="1">
        <v>143</v>
      </c>
      <c r="BC396" s="1">
        <v>48</v>
      </c>
    </row>
    <row r="397" spans="1:62" x14ac:dyDescent="0.25">
      <c r="A397" t="s">
        <v>2336</v>
      </c>
      <c r="B397" t="s">
        <v>2337</v>
      </c>
      <c r="C397" s="1">
        <v>308</v>
      </c>
      <c r="D397" s="1">
        <v>1997</v>
      </c>
      <c r="E397" t="s">
        <v>64</v>
      </c>
      <c r="F397" t="s">
        <v>256</v>
      </c>
      <c r="G397" t="s">
        <v>1532</v>
      </c>
      <c r="H397" t="s">
        <v>2338</v>
      </c>
      <c r="I397" t="s">
        <v>2339</v>
      </c>
      <c r="J397" t="s">
        <v>1532</v>
      </c>
      <c r="K397" s="1">
        <v>4</v>
      </c>
      <c r="L397" t="s">
        <v>729</v>
      </c>
      <c r="M397" t="s">
        <v>70</v>
      </c>
      <c r="N397" t="s">
        <v>71</v>
      </c>
      <c r="P397" t="s">
        <v>72</v>
      </c>
      <c r="Q397" t="s">
        <v>152</v>
      </c>
      <c r="R397" t="s">
        <v>74</v>
      </c>
      <c r="S397" t="s">
        <v>260</v>
      </c>
      <c r="T397" s="2">
        <v>998</v>
      </c>
      <c r="U397" s="3">
        <v>1.64</v>
      </c>
      <c r="V397" s="4">
        <v>1639</v>
      </c>
      <c r="AF397" s="5">
        <v>10.3896</v>
      </c>
      <c r="AI397" s="1">
        <v>3</v>
      </c>
      <c r="AJ397" t="s">
        <v>81</v>
      </c>
      <c r="AK397" t="s">
        <v>82</v>
      </c>
      <c r="AL397" t="s">
        <v>83</v>
      </c>
      <c r="AM397" s="3">
        <v>1.58</v>
      </c>
      <c r="AN397" s="4">
        <v>1739</v>
      </c>
      <c r="AO397" s="1">
        <v>1103</v>
      </c>
      <c r="AP397" s="3">
        <v>1.46</v>
      </c>
      <c r="AQ397" s="4">
        <v>1892</v>
      </c>
      <c r="AR397" s="1">
        <v>1294</v>
      </c>
      <c r="AS397" s="3">
        <v>1418132.16</v>
      </c>
      <c r="AW397" t="s">
        <v>84</v>
      </c>
      <c r="AY397" s="3">
        <v>1.9</v>
      </c>
      <c r="AZ397" s="4">
        <v>1450</v>
      </c>
      <c r="BA397" s="1">
        <v>765</v>
      </c>
      <c r="BB397" s="1">
        <v>118</v>
      </c>
      <c r="BC397" s="1">
        <v>150</v>
      </c>
      <c r="BD397" s="1">
        <v>40</v>
      </c>
      <c r="BF397" t="s">
        <v>2340</v>
      </c>
    </row>
    <row r="398" spans="1:62" x14ac:dyDescent="0.25">
      <c r="A398" t="s">
        <v>2341</v>
      </c>
      <c r="B398" t="s">
        <v>2342</v>
      </c>
      <c r="C398" s="1">
        <v>60</v>
      </c>
      <c r="D398" s="1">
        <v>1998</v>
      </c>
      <c r="E398" t="s">
        <v>64</v>
      </c>
      <c r="F398" t="s">
        <v>301</v>
      </c>
      <c r="G398" t="s">
        <v>2343</v>
      </c>
      <c r="H398" t="s">
        <v>2344</v>
      </c>
      <c r="I398" t="s">
        <v>2345</v>
      </c>
      <c r="J398" t="s">
        <v>2343</v>
      </c>
      <c r="K398" s="1">
        <v>2</v>
      </c>
      <c r="L398" t="s">
        <v>69</v>
      </c>
      <c r="M398" t="s">
        <v>70</v>
      </c>
      <c r="N398" t="s">
        <v>71</v>
      </c>
      <c r="O398" t="s">
        <v>426</v>
      </c>
      <c r="P398" t="s">
        <v>72</v>
      </c>
      <c r="Q398" t="s">
        <v>152</v>
      </c>
      <c r="R398" t="s">
        <v>74</v>
      </c>
      <c r="S398" t="s">
        <v>2346</v>
      </c>
      <c r="T398" s="2">
        <v>520</v>
      </c>
      <c r="AF398" s="5">
        <v>10</v>
      </c>
      <c r="AI398" s="1">
        <v>3</v>
      </c>
      <c r="AJ398" t="s">
        <v>81</v>
      </c>
      <c r="AK398" t="s">
        <v>82</v>
      </c>
      <c r="AL398" t="s">
        <v>83</v>
      </c>
      <c r="AW398" t="s">
        <v>84</v>
      </c>
      <c r="BA398" s="1">
        <v>520</v>
      </c>
      <c r="BB398" s="1">
        <v>60</v>
      </c>
    </row>
    <row r="399" spans="1:62" x14ac:dyDescent="0.25">
      <c r="A399" t="s">
        <v>2347</v>
      </c>
      <c r="B399" t="s">
        <v>2348</v>
      </c>
      <c r="C399" s="1">
        <v>260</v>
      </c>
      <c r="D399" s="1">
        <v>1997</v>
      </c>
      <c r="E399" t="s">
        <v>64</v>
      </c>
      <c r="F399" t="s">
        <v>660</v>
      </c>
      <c r="G399" t="s">
        <v>2349</v>
      </c>
      <c r="H399" t="s">
        <v>2350</v>
      </c>
      <c r="I399" t="s">
        <v>2351</v>
      </c>
      <c r="J399" t="s">
        <v>2349</v>
      </c>
      <c r="K399" s="1">
        <v>3</v>
      </c>
      <c r="L399" t="s">
        <v>91</v>
      </c>
      <c r="M399" t="s">
        <v>70</v>
      </c>
      <c r="N399" t="s">
        <v>71</v>
      </c>
      <c r="P399" t="s">
        <v>72</v>
      </c>
      <c r="Q399" t="s">
        <v>664</v>
      </c>
      <c r="R399" t="s">
        <v>74</v>
      </c>
      <c r="S399" t="s">
        <v>2352</v>
      </c>
      <c r="T399" s="2">
        <v>873</v>
      </c>
      <c r="U399" s="3">
        <v>1.46</v>
      </c>
      <c r="V399" s="4">
        <v>1271</v>
      </c>
      <c r="AF399" s="5">
        <v>7.3076999999999996</v>
      </c>
      <c r="AI399" s="1">
        <v>2</v>
      </c>
      <c r="AJ399" t="s">
        <v>81</v>
      </c>
      <c r="AK399" t="s">
        <v>82</v>
      </c>
      <c r="AL399" t="s">
        <v>83</v>
      </c>
      <c r="AM399" s="3">
        <v>1.45</v>
      </c>
      <c r="AN399" s="4">
        <v>1346</v>
      </c>
      <c r="AO399" s="1">
        <v>929</v>
      </c>
      <c r="AS399" s="3">
        <v>633340.79</v>
      </c>
      <c r="AW399" t="s">
        <v>84</v>
      </c>
      <c r="AY399" s="3">
        <v>1.48</v>
      </c>
      <c r="AZ399" s="4">
        <v>1042</v>
      </c>
      <c r="BA399" s="1">
        <v>702</v>
      </c>
      <c r="BB399" s="1">
        <v>64</v>
      </c>
      <c r="BC399" s="1">
        <v>196</v>
      </c>
      <c r="BF399" t="s">
        <v>322</v>
      </c>
      <c r="BG399" t="s">
        <v>104</v>
      </c>
    </row>
    <row r="400" spans="1:62" x14ac:dyDescent="0.25">
      <c r="A400" t="s">
        <v>2353</v>
      </c>
      <c r="B400" t="s">
        <v>2354</v>
      </c>
      <c r="C400" s="1">
        <v>360</v>
      </c>
      <c r="D400" s="1">
        <v>1996</v>
      </c>
      <c r="E400" t="s">
        <v>64</v>
      </c>
      <c r="F400" t="s">
        <v>259</v>
      </c>
      <c r="G400" t="s">
        <v>1789</v>
      </c>
      <c r="H400" t="s">
        <v>2355</v>
      </c>
      <c r="J400" t="s">
        <v>1789</v>
      </c>
      <c r="K400" s="1">
        <v>4</v>
      </c>
      <c r="L400" t="s">
        <v>729</v>
      </c>
      <c r="M400" t="s">
        <v>70</v>
      </c>
      <c r="N400" t="s">
        <v>71</v>
      </c>
      <c r="P400" t="s">
        <v>72</v>
      </c>
      <c r="Q400" t="s">
        <v>152</v>
      </c>
      <c r="R400" t="s">
        <v>74</v>
      </c>
      <c r="S400" t="s">
        <v>780</v>
      </c>
      <c r="T400" s="2">
        <v>978</v>
      </c>
      <c r="U400" s="3">
        <v>1.56</v>
      </c>
      <c r="V400" s="4">
        <v>1525</v>
      </c>
      <c r="AF400" s="5">
        <v>3.8889</v>
      </c>
      <c r="AH400" s="1">
        <v>2017</v>
      </c>
      <c r="AI400" s="1">
        <v>3</v>
      </c>
      <c r="AJ400" t="s">
        <v>81</v>
      </c>
      <c r="AK400" t="s">
        <v>82</v>
      </c>
      <c r="AL400" t="s">
        <v>83</v>
      </c>
      <c r="AM400" s="3">
        <v>1.53</v>
      </c>
      <c r="AN400" s="4">
        <v>1605</v>
      </c>
      <c r="AO400" s="1">
        <v>1052</v>
      </c>
      <c r="AP400" s="3">
        <v>1.6</v>
      </c>
      <c r="AQ400" s="4">
        <v>2004</v>
      </c>
      <c r="AR400" s="1">
        <v>1256</v>
      </c>
      <c r="AS400" s="3">
        <v>1386042.45</v>
      </c>
      <c r="AW400" t="s">
        <v>84</v>
      </c>
      <c r="AY400" s="3">
        <v>1.62</v>
      </c>
      <c r="AZ400" s="4">
        <v>1244</v>
      </c>
      <c r="BA400" s="1">
        <v>769</v>
      </c>
      <c r="BB400" s="1">
        <v>120</v>
      </c>
      <c r="BC400" s="1">
        <v>204</v>
      </c>
      <c r="BD400" s="1">
        <v>36</v>
      </c>
      <c r="BF400" t="s">
        <v>261</v>
      </c>
      <c r="BG400" t="s">
        <v>104</v>
      </c>
    </row>
    <row r="401" spans="1:62" x14ac:dyDescent="0.25">
      <c r="A401" t="s">
        <v>2356</v>
      </c>
      <c r="B401" t="s">
        <v>2357</v>
      </c>
      <c r="C401" s="1">
        <v>288</v>
      </c>
      <c r="D401" s="1">
        <v>1999</v>
      </c>
      <c r="E401" t="s">
        <v>64</v>
      </c>
      <c r="F401" t="s">
        <v>259</v>
      </c>
      <c r="G401" t="s">
        <v>2358</v>
      </c>
      <c r="H401" t="s">
        <v>2359</v>
      </c>
      <c r="I401" t="s">
        <v>2360</v>
      </c>
      <c r="J401" t="s">
        <v>2358</v>
      </c>
      <c r="K401" s="1">
        <v>3</v>
      </c>
      <c r="L401" t="s">
        <v>91</v>
      </c>
      <c r="M401" t="s">
        <v>70</v>
      </c>
      <c r="N401" t="s">
        <v>71</v>
      </c>
      <c r="P401" t="s">
        <v>72</v>
      </c>
      <c r="Q401" t="s">
        <v>152</v>
      </c>
      <c r="R401" t="s">
        <v>74</v>
      </c>
      <c r="S401" t="s">
        <v>2361</v>
      </c>
      <c r="T401" s="2">
        <v>980</v>
      </c>
      <c r="U401" s="3">
        <v>1.44</v>
      </c>
      <c r="V401" s="4">
        <v>1408</v>
      </c>
      <c r="AF401" s="5">
        <v>4.8611000000000004</v>
      </c>
      <c r="AI401" s="1">
        <v>3</v>
      </c>
      <c r="AJ401" t="s">
        <v>81</v>
      </c>
      <c r="AK401" t="s">
        <v>82</v>
      </c>
      <c r="AL401" t="s">
        <v>83</v>
      </c>
      <c r="AM401" s="3">
        <v>1.32</v>
      </c>
      <c r="AN401" s="4">
        <v>1441</v>
      </c>
      <c r="AO401" s="1">
        <v>1096</v>
      </c>
      <c r="AP401" s="3">
        <v>1.49</v>
      </c>
      <c r="AQ401" s="4">
        <v>1882</v>
      </c>
      <c r="AR401" s="1">
        <v>1262</v>
      </c>
      <c r="AS401" s="3">
        <v>1198846.56</v>
      </c>
      <c r="AW401" t="s">
        <v>84</v>
      </c>
      <c r="AY401" s="3">
        <v>1.64</v>
      </c>
      <c r="AZ401" s="4">
        <v>1205</v>
      </c>
      <c r="BA401" s="1">
        <v>733</v>
      </c>
      <c r="BB401" s="1">
        <v>108</v>
      </c>
      <c r="BC401" s="1">
        <v>144</v>
      </c>
      <c r="BD401" s="1">
        <v>36</v>
      </c>
    </row>
    <row r="402" spans="1:62" x14ac:dyDescent="0.25">
      <c r="A402" t="s">
        <v>2362</v>
      </c>
      <c r="B402" t="s">
        <v>2363</v>
      </c>
      <c r="C402" s="1">
        <v>344</v>
      </c>
      <c r="D402" s="1">
        <v>1998</v>
      </c>
      <c r="E402" t="s">
        <v>64</v>
      </c>
      <c r="F402" t="s">
        <v>259</v>
      </c>
      <c r="G402" t="s">
        <v>2364</v>
      </c>
      <c r="H402" t="s">
        <v>2365</v>
      </c>
      <c r="I402" t="s">
        <v>2366</v>
      </c>
      <c r="J402" t="s">
        <v>2364</v>
      </c>
      <c r="K402" s="1">
        <v>4</v>
      </c>
      <c r="L402" t="s">
        <v>91</v>
      </c>
      <c r="M402" t="s">
        <v>70</v>
      </c>
      <c r="N402" t="s">
        <v>71</v>
      </c>
      <c r="P402" t="s">
        <v>72</v>
      </c>
      <c r="Q402" t="s">
        <v>152</v>
      </c>
      <c r="R402" t="s">
        <v>74</v>
      </c>
      <c r="S402" t="s">
        <v>2367</v>
      </c>
      <c r="T402" s="2">
        <v>984</v>
      </c>
      <c r="U402" s="3">
        <v>1.51</v>
      </c>
      <c r="V402" s="4">
        <v>1491</v>
      </c>
      <c r="AF402" s="5">
        <v>12.209300000000001</v>
      </c>
      <c r="AH402" s="1">
        <v>2017</v>
      </c>
      <c r="AI402" s="1">
        <v>3</v>
      </c>
      <c r="AJ402" t="s">
        <v>81</v>
      </c>
      <c r="AK402" t="s">
        <v>82</v>
      </c>
      <c r="AL402" t="s">
        <v>83</v>
      </c>
      <c r="AM402" s="3">
        <v>1.45</v>
      </c>
      <c r="AN402" s="4">
        <v>1653</v>
      </c>
      <c r="AO402" s="1">
        <v>1143</v>
      </c>
      <c r="AP402" s="3">
        <v>1.45</v>
      </c>
      <c r="AQ402" s="4">
        <v>2019</v>
      </c>
      <c r="AR402" s="1">
        <v>1392</v>
      </c>
      <c r="AS402" s="3">
        <v>1464112.66</v>
      </c>
      <c r="AW402" t="s">
        <v>84</v>
      </c>
      <c r="AY402" s="3">
        <v>1.6</v>
      </c>
      <c r="AZ402" s="4">
        <v>1227</v>
      </c>
      <c r="BA402" s="1">
        <v>766</v>
      </c>
      <c r="BB402" s="1">
        <v>166</v>
      </c>
      <c r="BC402" s="1">
        <v>146</v>
      </c>
      <c r="BD402" s="1">
        <v>32</v>
      </c>
      <c r="BF402" t="s">
        <v>2368</v>
      </c>
      <c r="BG402" t="s">
        <v>104</v>
      </c>
    </row>
    <row r="403" spans="1:62" x14ac:dyDescent="0.25">
      <c r="A403" t="s">
        <v>2369</v>
      </c>
      <c r="B403" t="s">
        <v>2370</v>
      </c>
      <c r="C403" s="1">
        <v>350</v>
      </c>
      <c r="D403" s="1">
        <v>1999</v>
      </c>
      <c r="E403" t="s">
        <v>64</v>
      </c>
      <c r="F403" t="s">
        <v>259</v>
      </c>
      <c r="G403" t="s">
        <v>2371</v>
      </c>
      <c r="H403" t="s">
        <v>2372</v>
      </c>
      <c r="I403" t="s">
        <v>2373</v>
      </c>
      <c r="J403" t="s">
        <v>2371</v>
      </c>
      <c r="K403" s="1">
        <v>4</v>
      </c>
      <c r="L403" t="s">
        <v>91</v>
      </c>
      <c r="M403" t="s">
        <v>70</v>
      </c>
      <c r="N403" t="s">
        <v>71</v>
      </c>
      <c r="P403" t="s">
        <v>72</v>
      </c>
      <c r="Q403" t="s">
        <v>152</v>
      </c>
      <c r="R403" t="s">
        <v>74</v>
      </c>
      <c r="S403" t="s">
        <v>780</v>
      </c>
      <c r="T403" s="2">
        <v>992</v>
      </c>
      <c r="U403" s="3">
        <v>1.63</v>
      </c>
      <c r="V403" s="4">
        <v>1621</v>
      </c>
      <c r="AF403" s="5">
        <v>6.2857000000000003</v>
      </c>
      <c r="AH403" s="1">
        <v>2007</v>
      </c>
      <c r="AI403" s="1">
        <v>3</v>
      </c>
      <c r="AJ403" t="s">
        <v>81</v>
      </c>
      <c r="AK403" t="s">
        <v>82</v>
      </c>
      <c r="AL403" t="s">
        <v>83</v>
      </c>
      <c r="AM403" s="3">
        <v>1.59</v>
      </c>
      <c r="AN403" s="4">
        <v>1758</v>
      </c>
      <c r="AO403" s="1">
        <v>1103</v>
      </c>
      <c r="AP403" s="3">
        <v>1.63</v>
      </c>
      <c r="AQ403" s="4">
        <v>2234</v>
      </c>
      <c r="AR403" s="1">
        <v>1375</v>
      </c>
      <c r="AS403" s="3">
        <v>1147358.05</v>
      </c>
      <c r="AW403" t="s">
        <v>84</v>
      </c>
      <c r="AY403" s="3">
        <v>1.69</v>
      </c>
      <c r="AZ403" s="4">
        <v>1316</v>
      </c>
      <c r="BA403" s="1">
        <v>779</v>
      </c>
      <c r="BB403" s="1">
        <v>160</v>
      </c>
      <c r="BC403" s="1">
        <v>142</v>
      </c>
      <c r="BD403" s="1">
        <v>48</v>
      </c>
    </row>
    <row r="404" spans="1:62" x14ac:dyDescent="0.25">
      <c r="A404" t="s">
        <v>2374</v>
      </c>
      <c r="B404" t="s">
        <v>2375</v>
      </c>
      <c r="C404" s="1">
        <v>338</v>
      </c>
      <c r="D404" s="1">
        <v>1997</v>
      </c>
      <c r="E404" t="s">
        <v>64</v>
      </c>
      <c r="F404" t="s">
        <v>2376</v>
      </c>
      <c r="G404" t="s">
        <v>2377</v>
      </c>
      <c r="H404" t="s">
        <v>2378</v>
      </c>
      <c r="I404" t="s">
        <v>2379</v>
      </c>
      <c r="J404" t="s">
        <v>2377</v>
      </c>
      <c r="K404" s="1">
        <v>4</v>
      </c>
      <c r="L404" t="s">
        <v>729</v>
      </c>
      <c r="M404" t="s">
        <v>70</v>
      </c>
      <c r="N404" t="s">
        <v>71</v>
      </c>
      <c r="P404" t="s">
        <v>72</v>
      </c>
      <c r="Q404" t="s">
        <v>134</v>
      </c>
      <c r="R404" t="s">
        <v>74</v>
      </c>
      <c r="S404" t="s">
        <v>2380</v>
      </c>
      <c r="T404" s="2">
        <v>910</v>
      </c>
      <c r="U404" s="3">
        <v>1.7</v>
      </c>
      <c r="V404" s="4">
        <v>1552</v>
      </c>
      <c r="AF404" s="5">
        <v>7.9882</v>
      </c>
      <c r="AH404" s="1">
        <v>2016</v>
      </c>
      <c r="AI404" s="1">
        <v>3</v>
      </c>
      <c r="AJ404" t="s">
        <v>81</v>
      </c>
      <c r="AK404" t="s">
        <v>82</v>
      </c>
      <c r="AL404" t="s">
        <v>83</v>
      </c>
      <c r="AM404" s="3">
        <v>1.6</v>
      </c>
      <c r="AN404" s="4">
        <v>1768</v>
      </c>
      <c r="AO404" s="1">
        <v>1106</v>
      </c>
      <c r="AP404" s="3">
        <v>1.61</v>
      </c>
      <c r="AQ404" s="4">
        <v>2157</v>
      </c>
      <c r="AR404" s="1">
        <v>1339</v>
      </c>
      <c r="AS404" s="3">
        <v>1526332.5</v>
      </c>
      <c r="AW404" t="s">
        <v>84</v>
      </c>
      <c r="AY404" s="3">
        <v>1.86</v>
      </c>
      <c r="AZ404" s="4">
        <v>1313</v>
      </c>
      <c r="BA404" s="1">
        <v>707</v>
      </c>
      <c r="BB404" s="1">
        <v>176</v>
      </c>
      <c r="BC404" s="1">
        <v>144</v>
      </c>
      <c r="BD404" s="1">
        <v>18</v>
      </c>
      <c r="BF404" t="s">
        <v>731</v>
      </c>
      <c r="BG404" t="s">
        <v>104</v>
      </c>
    </row>
    <row r="405" spans="1:62" x14ac:dyDescent="0.25">
      <c r="A405" t="s">
        <v>2381</v>
      </c>
      <c r="B405" t="s">
        <v>2382</v>
      </c>
      <c r="C405" s="1">
        <v>312</v>
      </c>
      <c r="D405" s="1">
        <v>1995</v>
      </c>
      <c r="E405" t="s">
        <v>64</v>
      </c>
      <c r="F405" t="s">
        <v>2376</v>
      </c>
      <c r="G405" t="s">
        <v>2383</v>
      </c>
      <c r="H405" t="s">
        <v>2384</v>
      </c>
      <c r="I405" t="s">
        <v>2385</v>
      </c>
      <c r="J405" t="s">
        <v>2383</v>
      </c>
      <c r="K405" s="1">
        <v>4</v>
      </c>
      <c r="L405" t="s">
        <v>91</v>
      </c>
      <c r="M405" t="s">
        <v>70</v>
      </c>
      <c r="N405" t="s">
        <v>71</v>
      </c>
      <c r="P405" t="s">
        <v>72</v>
      </c>
      <c r="Q405" t="s">
        <v>134</v>
      </c>
      <c r="R405" t="s">
        <v>74</v>
      </c>
      <c r="S405" t="s">
        <v>2380</v>
      </c>
      <c r="T405" s="2">
        <v>894</v>
      </c>
      <c r="U405" s="3">
        <v>1.61</v>
      </c>
      <c r="V405" s="4">
        <v>1442</v>
      </c>
      <c r="AF405" s="5">
        <v>7.3718000000000004</v>
      </c>
      <c r="AH405" s="1">
        <v>2003</v>
      </c>
      <c r="AI405" s="1">
        <v>3</v>
      </c>
      <c r="AJ405" t="s">
        <v>81</v>
      </c>
      <c r="AK405" t="s">
        <v>82</v>
      </c>
      <c r="AL405" t="s">
        <v>83</v>
      </c>
      <c r="AM405" s="3">
        <v>1.49</v>
      </c>
      <c r="AN405" s="4">
        <v>1562</v>
      </c>
      <c r="AO405" s="1">
        <v>1050</v>
      </c>
      <c r="AP405" s="3">
        <v>1.56</v>
      </c>
      <c r="AQ405" s="4">
        <v>2166</v>
      </c>
      <c r="AR405" s="1">
        <v>1390</v>
      </c>
      <c r="AS405" s="3">
        <v>959409</v>
      </c>
      <c r="AW405" t="s">
        <v>84</v>
      </c>
      <c r="AY405" s="3">
        <v>1.76</v>
      </c>
      <c r="AZ405" s="4">
        <v>1253</v>
      </c>
      <c r="BA405" s="1">
        <v>712</v>
      </c>
      <c r="BB405" s="1">
        <v>168</v>
      </c>
      <c r="BC405" s="1">
        <v>120</v>
      </c>
      <c r="BD405" s="1">
        <v>24</v>
      </c>
      <c r="BF405" t="s">
        <v>2386</v>
      </c>
      <c r="BG405" t="s">
        <v>131</v>
      </c>
    </row>
    <row r="406" spans="1:62" x14ac:dyDescent="0.25">
      <c r="A406" t="s">
        <v>2387</v>
      </c>
      <c r="B406" t="s">
        <v>2388</v>
      </c>
      <c r="C406" s="1">
        <v>312</v>
      </c>
      <c r="D406" s="1">
        <v>1994</v>
      </c>
      <c r="E406" t="s">
        <v>64</v>
      </c>
      <c r="F406" t="s">
        <v>2376</v>
      </c>
      <c r="G406" t="s">
        <v>2389</v>
      </c>
      <c r="H406" t="s">
        <v>2390</v>
      </c>
      <c r="I406" t="s">
        <v>2391</v>
      </c>
      <c r="J406" t="s">
        <v>2389</v>
      </c>
      <c r="K406" s="1">
        <v>3</v>
      </c>
      <c r="L406" t="s">
        <v>91</v>
      </c>
      <c r="M406" t="s">
        <v>70</v>
      </c>
      <c r="N406" t="s">
        <v>71</v>
      </c>
      <c r="P406" t="s">
        <v>72</v>
      </c>
      <c r="Q406" t="s">
        <v>134</v>
      </c>
      <c r="R406" t="s">
        <v>74</v>
      </c>
      <c r="S406" t="s">
        <v>2392</v>
      </c>
      <c r="T406" s="2">
        <v>888</v>
      </c>
      <c r="U406" s="3">
        <v>1.68</v>
      </c>
      <c r="V406" s="4">
        <v>1495</v>
      </c>
      <c r="AF406" s="5">
        <v>13.461499999999999</v>
      </c>
      <c r="AI406" s="1">
        <v>3</v>
      </c>
      <c r="AJ406" t="s">
        <v>81</v>
      </c>
      <c r="AK406" t="s">
        <v>82</v>
      </c>
      <c r="AL406" t="s">
        <v>83</v>
      </c>
      <c r="AM406" s="3">
        <v>1.61</v>
      </c>
      <c r="AN406" s="4">
        <v>1611</v>
      </c>
      <c r="AO406" s="1">
        <v>1001</v>
      </c>
      <c r="AP406" s="3">
        <v>1.64</v>
      </c>
      <c r="AQ406" s="4">
        <v>2082</v>
      </c>
      <c r="AR406" s="1">
        <v>1273</v>
      </c>
      <c r="AS406" s="3">
        <v>1112042.25</v>
      </c>
      <c r="AW406" t="s">
        <v>84</v>
      </c>
      <c r="AY406" s="3">
        <v>1.8</v>
      </c>
      <c r="AZ406" s="4">
        <v>1281</v>
      </c>
      <c r="BA406" s="1">
        <v>713</v>
      </c>
      <c r="BB406" s="1">
        <v>144</v>
      </c>
      <c r="BC406" s="1">
        <v>144</v>
      </c>
      <c r="BD406" s="1">
        <v>24</v>
      </c>
      <c r="BG406" t="s">
        <v>131</v>
      </c>
    </row>
    <row r="407" spans="1:62" x14ac:dyDescent="0.25">
      <c r="A407" t="s">
        <v>2393</v>
      </c>
      <c r="B407" t="s">
        <v>2394</v>
      </c>
      <c r="C407" s="1">
        <v>464</v>
      </c>
      <c r="D407" s="1">
        <v>1996</v>
      </c>
      <c r="E407" t="s">
        <v>64</v>
      </c>
      <c r="F407" t="s">
        <v>2376</v>
      </c>
      <c r="G407" t="s">
        <v>2395</v>
      </c>
      <c r="H407" t="s">
        <v>2396</v>
      </c>
      <c r="I407" t="s">
        <v>2397</v>
      </c>
      <c r="J407" t="s">
        <v>2395</v>
      </c>
      <c r="K407" s="1">
        <v>3</v>
      </c>
      <c r="L407" t="s">
        <v>91</v>
      </c>
      <c r="M407" t="s">
        <v>70</v>
      </c>
      <c r="N407" t="s">
        <v>71</v>
      </c>
      <c r="P407" t="s">
        <v>72</v>
      </c>
      <c r="Q407" t="s">
        <v>134</v>
      </c>
      <c r="R407" t="s">
        <v>74</v>
      </c>
      <c r="S407" t="s">
        <v>2380</v>
      </c>
      <c r="T407" s="2">
        <v>919</v>
      </c>
      <c r="U407" s="3">
        <v>1.64</v>
      </c>
      <c r="V407" s="4">
        <v>1506</v>
      </c>
      <c r="AF407" s="5">
        <v>3.4483000000000001</v>
      </c>
      <c r="AI407" s="1">
        <v>3</v>
      </c>
      <c r="AJ407" t="s">
        <v>81</v>
      </c>
      <c r="AK407" t="s">
        <v>82</v>
      </c>
      <c r="AL407" t="s">
        <v>83</v>
      </c>
      <c r="AM407" s="3">
        <v>1.54</v>
      </c>
      <c r="AN407" s="4">
        <v>1695</v>
      </c>
      <c r="AO407" s="1">
        <v>1104</v>
      </c>
      <c r="AS407" s="3">
        <v>1961882.39</v>
      </c>
      <c r="AW407" t="s">
        <v>84</v>
      </c>
      <c r="AY407" s="3">
        <v>1.78</v>
      </c>
      <c r="AZ407" s="4">
        <v>1330</v>
      </c>
      <c r="BA407" s="1">
        <v>747</v>
      </c>
      <c r="BB407" s="1">
        <v>240</v>
      </c>
      <c r="BC407" s="1">
        <v>224</v>
      </c>
    </row>
    <row r="408" spans="1:62" x14ac:dyDescent="0.25">
      <c r="A408" t="s">
        <v>2398</v>
      </c>
      <c r="C408" s="1">
        <v>104</v>
      </c>
      <c r="D408" s="1">
        <v>1992</v>
      </c>
      <c r="E408" t="s">
        <v>64</v>
      </c>
      <c r="F408" t="s">
        <v>439</v>
      </c>
      <c r="G408" t="s">
        <v>2399</v>
      </c>
      <c r="I408" t="s">
        <v>2400</v>
      </c>
      <c r="J408" t="s">
        <v>2399</v>
      </c>
      <c r="K408" s="1">
        <v>2</v>
      </c>
      <c r="L408" t="s">
        <v>69</v>
      </c>
      <c r="M408" t="s">
        <v>70</v>
      </c>
      <c r="N408" t="s">
        <v>127</v>
      </c>
      <c r="P408" t="s">
        <v>72</v>
      </c>
      <c r="Q408" t="s">
        <v>885</v>
      </c>
      <c r="R408" t="s">
        <v>74</v>
      </c>
      <c r="S408" t="s">
        <v>886</v>
      </c>
      <c r="AF408" s="5">
        <v>9.6153999999999993</v>
      </c>
      <c r="AI408" s="1">
        <v>1</v>
      </c>
      <c r="AJ408" t="s">
        <v>81</v>
      </c>
      <c r="AK408" t="s">
        <v>82</v>
      </c>
      <c r="AL408" t="s">
        <v>83</v>
      </c>
      <c r="AS408" s="3">
        <v>20247.95</v>
      </c>
      <c r="AW408" t="s">
        <v>84</v>
      </c>
      <c r="BB408" s="1">
        <v>104</v>
      </c>
      <c r="BF408" t="s">
        <v>2401</v>
      </c>
      <c r="BG408" t="s">
        <v>131</v>
      </c>
    </row>
    <row r="409" spans="1:62" x14ac:dyDescent="0.25">
      <c r="A409" t="s">
        <v>2402</v>
      </c>
      <c r="B409" t="s">
        <v>2403</v>
      </c>
      <c r="C409" s="1">
        <v>80</v>
      </c>
      <c r="D409" s="1">
        <v>1997</v>
      </c>
      <c r="E409" t="s">
        <v>64</v>
      </c>
      <c r="F409" t="s">
        <v>114</v>
      </c>
      <c r="G409" t="s">
        <v>2404</v>
      </c>
      <c r="H409" t="s">
        <v>2405</v>
      </c>
      <c r="I409" t="s">
        <v>2404</v>
      </c>
      <c r="J409" t="s">
        <v>2404</v>
      </c>
      <c r="K409" s="1">
        <v>3</v>
      </c>
      <c r="L409" t="s">
        <v>69</v>
      </c>
      <c r="M409" t="s">
        <v>70</v>
      </c>
      <c r="N409" t="s">
        <v>71</v>
      </c>
      <c r="O409" t="s">
        <v>118</v>
      </c>
      <c r="P409" t="s">
        <v>72</v>
      </c>
      <c r="Q409" t="s">
        <v>917</v>
      </c>
      <c r="R409" t="s">
        <v>74</v>
      </c>
      <c r="S409" t="s">
        <v>918</v>
      </c>
      <c r="T409" s="2">
        <v>1006</v>
      </c>
      <c r="U409" s="3">
        <v>1.31</v>
      </c>
      <c r="V409" s="4">
        <v>1318</v>
      </c>
      <c r="AF409" s="5">
        <v>2.5</v>
      </c>
      <c r="AI409" s="1">
        <v>2</v>
      </c>
      <c r="AJ409" t="s">
        <v>81</v>
      </c>
      <c r="AK409" t="s">
        <v>82</v>
      </c>
      <c r="AL409" t="s">
        <v>83</v>
      </c>
      <c r="AM409" s="3">
        <v>1.27</v>
      </c>
      <c r="AN409" s="4">
        <v>1271</v>
      </c>
      <c r="AO409" s="1">
        <v>1000</v>
      </c>
      <c r="AP409" s="3">
        <v>1.24</v>
      </c>
      <c r="AQ409" s="4">
        <v>1451</v>
      </c>
      <c r="AR409" s="1">
        <v>1167</v>
      </c>
      <c r="AS409" s="3">
        <v>129191.52</v>
      </c>
      <c r="AW409" t="s">
        <v>84</v>
      </c>
      <c r="AY409" s="3">
        <v>1.67</v>
      </c>
      <c r="AZ409" s="4">
        <v>1151</v>
      </c>
      <c r="BA409" s="1">
        <v>691</v>
      </c>
      <c r="BB409" s="1">
        <v>14</v>
      </c>
      <c r="BC409" s="1">
        <v>40</v>
      </c>
      <c r="BD409" s="1">
        <v>22</v>
      </c>
      <c r="BE409" s="1">
        <v>4</v>
      </c>
      <c r="BF409" t="s">
        <v>350</v>
      </c>
      <c r="BG409" t="s">
        <v>104</v>
      </c>
      <c r="BH409" s="3">
        <v>1.27</v>
      </c>
      <c r="BI409" s="4">
        <v>1651</v>
      </c>
      <c r="BJ409" s="1">
        <v>1302</v>
      </c>
    </row>
    <row r="410" spans="1:62" x14ac:dyDescent="0.25">
      <c r="A410" t="s">
        <v>2406</v>
      </c>
      <c r="B410" t="s">
        <v>2407</v>
      </c>
      <c r="C410" s="1">
        <v>232</v>
      </c>
      <c r="D410" s="1">
        <v>2000</v>
      </c>
      <c r="E410" t="s">
        <v>64</v>
      </c>
      <c r="F410" t="s">
        <v>97</v>
      </c>
      <c r="G410" t="s">
        <v>1883</v>
      </c>
      <c r="H410" t="s">
        <v>2408</v>
      </c>
      <c r="I410" t="s">
        <v>2409</v>
      </c>
      <c r="J410" t="s">
        <v>1883</v>
      </c>
      <c r="K410" s="1">
        <v>4</v>
      </c>
      <c r="L410" t="s">
        <v>729</v>
      </c>
      <c r="M410" t="s">
        <v>70</v>
      </c>
      <c r="N410" t="s">
        <v>71</v>
      </c>
      <c r="P410" t="s">
        <v>72</v>
      </c>
      <c r="Q410" t="s">
        <v>73</v>
      </c>
      <c r="R410" t="s">
        <v>74</v>
      </c>
      <c r="S410" t="s">
        <v>2410</v>
      </c>
      <c r="T410" s="2">
        <v>800</v>
      </c>
      <c r="U410" s="3">
        <v>1.76</v>
      </c>
      <c r="V410" s="4">
        <v>1410</v>
      </c>
      <c r="AF410" s="5">
        <v>0.86209999999999998</v>
      </c>
      <c r="AI410" s="1">
        <v>3</v>
      </c>
      <c r="AJ410" t="s">
        <v>81</v>
      </c>
      <c r="AK410" t="s">
        <v>82</v>
      </c>
      <c r="AL410" t="s">
        <v>83</v>
      </c>
      <c r="AM410" s="3">
        <v>1.77</v>
      </c>
      <c r="AN410" s="4">
        <v>1798</v>
      </c>
      <c r="AO410" s="1">
        <v>1019</v>
      </c>
      <c r="AS410" s="3">
        <v>683128.79</v>
      </c>
      <c r="AW410" t="s">
        <v>84</v>
      </c>
      <c r="AY410" s="3">
        <v>1.77</v>
      </c>
      <c r="AZ410" s="4">
        <v>1269</v>
      </c>
      <c r="BA410" s="1">
        <v>718</v>
      </c>
      <c r="BB410" s="1">
        <v>168</v>
      </c>
      <c r="BC410" s="1">
        <v>64</v>
      </c>
      <c r="BG410" t="s">
        <v>131</v>
      </c>
    </row>
    <row r="411" spans="1:62" x14ac:dyDescent="0.25">
      <c r="A411" t="s">
        <v>2411</v>
      </c>
      <c r="B411" t="s">
        <v>2412</v>
      </c>
      <c r="C411" s="1">
        <v>308</v>
      </c>
      <c r="D411" s="1">
        <v>1997</v>
      </c>
      <c r="E411" t="s">
        <v>64</v>
      </c>
      <c r="F411" t="s">
        <v>611</v>
      </c>
      <c r="G411" t="s">
        <v>854</v>
      </c>
      <c r="H411" t="s">
        <v>2413</v>
      </c>
      <c r="J411" t="s">
        <v>854</v>
      </c>
      <c r="K411" s="1">
        <v>3</v>
      </c>
      <c r="L411" t="s">
        <v>91</v>
      </c>
      <c r="M411" t="s">
        <v>70</v>
      </c>
      <c r="N411" t="s">
        <v>71</v>
      </c>
      <c r="P411" t="s">
        <v>72</v>
      </c>
      <c r="Q411" t="s">
        <v>611</v>
      </c>
      <c r="R411" t="s">
        <v>74</v>
      </c>
      <c r="S411" t="s">
        <v>2414</v>
      </c>
      <c r="T411" s="2">
        <v>899</v>
      </c>
      <c r="U411" s="3">
        <v>1.53</v>
      </c>
      <c r="V411" s="4">
        <v>1380</v>
      </c>
      <c r="AF411" s="5">
        <v>6.1688000000000001</v>
      </c>
      <c r="AI411" s="1">
        <v>3</v>
      </c>
      <c r="AJ411" t="s">
        <v>81</v>
      </c>
      <c r="AK411" t="s">
        <v>82</v>
      </c>
      <c r="AL411" t="s">
        <v>83</v>
      </c>
      <c r="AM411" s="3">
        <v>1.5</v>
      </c>
      <c r="AN411" s="4">
        <v>1540</v>
      </c>
      <c r="AO411" s="1">
        <v>1026</v>
      </c>
      <c r="AP411" s="3">
        <v>1.33</v>
      </c>
      <c r="AQ411" s="4">
        <v>1904</v>
      </c>
      <c r="AR411" s="1">
        <v>1427</v>
      </c>
      <c r="AS411" s="3">
        <v>1112996.22</v>
      </c>
      <c r="AW411" t="s">
        <v>84</v>
      </c>
      <c r="AY411" s="3">
        <v>1.59</v>
      </c>
      <c r="AZ411" s="4">
        <v>1245</v>
      </c>
      <c r="BA411" s="1">
        <v>785</v>
      </c>
      <c r="BB411" s="1">
        <v>182</v>
      </c>
      <c r="BC411" s="1">
        <v>114</v>
      </c>
      <c r="BD411" s="1">
        <v>12</v>
      </c>
    </row>
    <row r="412" spans="1:62" x14ac:dyDescent="0.25">
      <c r="A412" t="s">
        <v>2415</v>
      </c>
      <c r="B412" t="s">
        <v>2416</v>
      </c>
      <c r="C412" s="1">
        <v>494</v>
      </c>
      <c r="D412" s="1">
        <v>1999</v>
      </c>
      <c r="E412" t="s">
        <v>64</v>
      </c>
      <c r="F412" t="s">
        <v>228</v>
      </c>
      <c r="G412" t="s">
        <v>801</v>
      </c>
      <c r="H412" t="s">
        <v>2417</v>
      </c>
      <c r="I412" t="s">
        <v>2418</v>
      </c>
      <c r="J412" t="s">
        <v>801</v>
      </c>
      <c r="K412" s="1">
        <v>3</v>
      </c>
      <c r="L412" t="s">
        <v>91</v>
      </c>
      <c r="M412" t="s">
        <v>70</v>
      </c>
      <c r="N412" t="s">
        <v>71</v>
      </c>
      <c r="P412" t="s">
        <v>72</v>
      </c>
      <c r="Q412" t="s">
        <v>1862</v>
      </c>
      <c r="R412" t="s">
        <v>74</v>
      </c>
      <c r="S412" t="s">
        <v>1485</v>
      </c>
      <c r="T412" s="2">
        <v>902</v>
      </c>
      <c r="U412" s="3">
        <v>1.69</v>
      </c>
      <c r="V412" s="4">
        <v>1530</v>
      </c>
      <c r="AF412" s="5">
        <v>4.0486000000000004</v>
      </c>
      <c r="AI412" s="1">
        <v>2</v>
      </c>
      <c r="AJ412" t="s">
        <v>81</v>
      </c>
      <c r="AK412" t="s">
        <v>82</v>
      </c>
      <c r="AL412" t="s">
        <v>83</v>
      </c>
      <c r="AM412" s="3">
        <v>1.58</v>
      </c>
      <c r="AN412" s="4">
        <v>1607</v>
      </c>
      <c r="AO412" s="1">
        <v>1018</v>
      </c>
      <c r="AP412" s="3">
        <v>1.69</v>
      </c>
      <c r="AQ412" s="4">
        <v>2138</v>
      </c>
      <c r="AR412" s="1">
        <v>1263</v>
      </c>
      <c r="AS412" s="3">
        <v>466474.86</v>
      </c>
      <c r="AW412" t="s">
        <v>84</v>
      </c>
      <c r="AY412" s="3">
        <v>1.83</v>
      </c>
      <c r="AZ412" s="4">
        <v>1382</v>
      </c>
      <c r="BA412" s="1">
        <v>753</v>
      </c>
      <c r="BB412" s="1">
        <v>245</v>
      </c>
      <c r="BC412" s="1">
        <v>217</v>
      </c>
      <c r="BD412" s="1">
        <v>32</v>
      </c>
    </row>
    <row r="413" spans="1:62" x14ac:dyDescent="0.25">
      <c r="A413" t="s">
        <v>2419</v>
      </c>
      <c r="B413" t="s">
        <v>2420</v>
      </c>
      <c r="C413" s="1">
        <v>904</v>
      </c>
      <c r="D413" s="1">
        <v>1999</v>
      </c>
      <c r="E413" t="s">
        <v>64</v>
      </c>
      <c r="F413" t="s">
        <v>2421</v>
      </c>
      <c r="G413" t="s">
        <v>2395</v>
      </c>
      <c r="H413" t="s">
        <v>2422</v>
      </c>
      <c r="I413" t="s">
        <v>2423</v>
      </c>
      <c r="J413" t="s">
        <v>2395</v>
      </c>
      <c r="K413" s="1">
        <v>4</v>
      </c>
      <c r="L413" t="s">
        <v>91</v>
      </c>
      <c r="M413" t="s">
        <v>70</v>
      </c>
      <c r="N413" t="s">
        <v>71</v>
      </c>
      <c r="P413" t="s">
        <v>72</v>
      </c>
      <c r="Q413" t="s">
        <v>73</v>
      </c>
      <c r="R413" t="s">
        <v>74</v>
      </c>
      <c r="S413" t="s">
        <v>2424</v>
      </c>
      <c r="T413" s="2">
        <v>926</v>
      </c>
      <c r="U413" s="3">
        <v>1.62</v>
      </c>
      <c r="V413" s="4">
        <v>1503</v>
      </c>
      <c r="AF413" s="5">
        <v>8.1858000000000004</v>
      </c>
      <c r="AI413" s="1">
        <v>3</v>
      </c>
      <c r="AJ413" t="s">
        <v>81</v>
      </c>
      <c r="AK413" t="s">
        <v>82</v>
      </c>
      <c r="AL413" t="s">
        <v>83</v>
      </c>
      <c r="AM413" s="3">
        <v>1.47</v>
      </c>
      <c r="AN413" s="4">
        <v>1811</v>
      </c>
      <c r="AO413" s="1">
        <v>1228</v>
      </c>
      <c r="AP413" s="3">
        <v>1.51</v>
      </c>
      <c r="AQ413" s="4">
        <v>2712</v>
      </c>
      <c r="AR413" s="1">
        <v>1797</v>
      </c>
      <c r="AS413" s="3">
        <v>4344474.9000000004</v>
      </c>
      <c r="AW413" t="s">
        <v>84</v>
      </c>
      <c r="AY413" s="3">
        <v>1.73</v>
      </c>
      <c r="AZ413" s="4">
        <v>1346</v>
      </c>
      <c r="BA413" s="1">
        <v>776</v>
      </c>
      <c r="BB413" s="1">
        <v>614</v>
      </c>
      <c r="BC413" s="1">
        <v>282</v>
      </c>
      <c r="BD413" s="1">
        <v>8</v>
      </c>
    </row>
    <row r="414" spans="1:62" x14ac:dyDescent="0.25">
      <c r="A414" t="s">
        <v>2425</v>
      </c>
      <c r="B414" t="s">
        <v>2426</v>
      </c>
      <c r="C414" s="1">
        <v>136</v>
      </c>
      <c r="D414" s="1">
        <v>2000</v>
      </c>
      <c r="E414" t="s">
        <v>64</v>
      </c>
      <c r="F414" t="s">
        <v>734</v>
      </c>
      <c r="H414" t="s">
        <v>2427</v>
      </c>
      <c r="K414" s="1">
        <v>3</v>
      </c>
      <c r="L414" t="s">
        <v>91</v>
      </c>
      <c r="M414" t="s">
        <v>70</v>
      </c>
      <c r="N414" t="s">
        <v>71</v>
      </c>
      <c r="P414" t="s">
        <v>72</v>
      </c>
      <c r="Q414" t="s">
        <v>73</v>
      </c>
      <c r="R414" t="s">
        <v>74</v>
      </c>
      <c r="S414" t="s">
        <v>730</v>
      </c>
      <c r="AI414" s="1">
        <v>2</v>
      </c>
      <c r="AJ414" t="s">
        <v>81</v>
      </c>
      <c r="AK414" t="s">
        <v>82</v>
      </c>
      <c r="AL414" t="s">
        <v>83</v>
      </c>
      <c r="AS414" s="3">
        <v>66371.73</v>
      </c>
      <c r="AW414" t="s">
        <v>84</v>
      </c>
    </row>
    <row r="415" spans="1:62" x14ac:dyDescent="0.25">
      <c r="A415" t="s">
        <v>2428</v>
      </c>
      <c r="B415" t="s">
        <v>2429</v>
      </c>
      <c r="C415" s="1">
        <v>170</v>
      </c>
      <c r="D415" s="1">
        <v>1998</v>
      </c>
      <c r="E415" t="s">
        <v>64</v>
      </c>
      <c r="F415" t="s">
        <v>65</v>
      </c>
      <c r="G415" t="s">
        <v>2430</v>
      </c>
      <c r="H415" t="s">
        <v>2431</v>
      </c>
      <c r="I415" t="s">
        <v>2432</v>
      </c>
      <c r="J415" t="s">
        <v>2430</v>
      </c>
      <c r="K415" s="1">
        <v>3</v>
      </c>
      <c r="L415" t="s">
        <v>91</v>
      </c>
      <c r="M415" t="s">
        <v>70</v>
      </c>
      <c r="N415" t="s">
        <v>71</v>
      </c>
      <c r="P415" t="s">
        <v>72</v>
      </c>
      <c r="Q415" t="s">
        <v>73</v>
      </c>
      <c r="R415" t="s">
        <v>74</v>
      </c>
      <c r="S415" t="s">
        <v>92</v>
      </c>
      <c r="T415" s="2">
        <v>838</v>
      </c>
      <c r="U415" s="3">
        <v>1.73</v>
      </c>
      <c r="V415" s="4">
        <v>1451</v>
      </c>
      <c r="AF415" s="5">
        <v>14.7059</v>
      </c>
      <c r="AI415" s="1">
        <v>3</v>
      </c>
      <c r="AJ415" t="s">
        <v>81</v>
      </c>
      <c r="AK415" t="s">
        <v>82</v>
      </c>
      <c r="AL415" t="s">
        <v>83</v>
      </c>
      <c r="AM415" s="3">
        <v>1.7</v>
      </c>
      <c r="AN415" s="4">
        <v>1688</v>
      </c>
      <c r="AO415" s="1">
        <v>990</v>
      </c>
      <c r="AP415" s="3">
        <v>1.84</v>
      </c>
      <c r="AQ415" s="4">
        <v>2221</v>
      </c>
      <c r="AR415" s="1">
        <v>1207</v>
      </c>
      <c r="AS415" s="3">
        <v>670509</v>
      </c>
      <c r="AW415" t="s">
        <v>84</v>
      </c>
      <c r="AY415" s="3">
        <v>1.73</v>
      </c>
      <c r="AZ415" s="4">
        <v>1197</v>
      </c>
      <c r="BA415" s="1">
        <v>691</v>
      </c>
      <c r="BB415" s="1">
        <v>95</v>
      </c>
      <c r="BC415" s="1">
        <v>63</v>
      </c>
      <c r="BD415" s="1">
        <v>12</v>
      </c>
    </row>
    <row r="416" spans="1:62" x14ac:dyDescent="0.25">
      <c r="A416" t="s">
        <v>2433</v>
      </c>
      <c r="B416" t="s">
        <v>2434</v>
      </c>
      <c r="C416" s="1">
        <v>338</v>
      </c>
      <c r="D416" s="1">
        <v>1997</v>
      </c>
      <c r="E416" t="s">
        <v>64</v>
      </c>
      <c r="F416" t="s">
        <v>275</v>
      </c>
      <c r="G416" t="s">
        <v>2435</v>
      </c>
      <c r="H416" t="s">
        <v>2436</v>
      </c>
      <c r="I416" t="s">
        <v>2437</v>
      </c>
      <c r="J416" t="s">
        <v>2435</v>
      </c>
      <c r="K416" s="1">
        <v>4</v>
      </c>
      <c r="L416" t="s">
        <v>729</v>
      </c>
      <c r="M416" t="s">
        <v>70</v>
      </c>
      <c r="N416" t="s">
        <v>71</v>
      </c>
      <c r="P416" t="s">
        <v>72</v>
      </c>
      <c r="Q416" t="s">
        <v>73</v>
      </c>
      <c r="R416" t="s">
        <v>74</v>
      </c>
      <c r="S416" t="s">
        <v>2438</v>
      </c>
      <c r="T416" s="2">
        <v>1169</v>
      </c>
      <c r="U416" s="3">
        <v>2.48</v>
      </c>
      <c r="V416" s="4">
        <v>2905</v>
      </c>
      <c r="AF416" s="5">
        <v>6.8047000000000004</v>
      </c>
      <c r="AH416" s="1">
        <v>2012</v>
      </c>
      <c r="AI416" s="1">
        <v>3</v>
      </c>
      <c r="AJ416" t="s">
        <v>81</v>
      </c>
      <c r="AK416" t="s">
        <v>82</v>
      </c>
      <c r="AL416" t="s">
        <v>83</v>
      </c>
      <c r="AM416" s="3">
        <v>2.34</v>
      </c>
      <c r="AN416" s="4">
        <v>3399</v>
      </c>
      <c r="AO416" s="1">
        <v>1455</v>
      </c>
      <c r="AS416" s="3">
        <v>2547934.2000000002</v>
      </c>
      <c r="AW416" t="s">
        <v>84</v>
      </c>
      <c r="AY416" s="3">
        <v>2.66</v>
      </c>
      <c r="AZ416" s="4">
        <v>2494</v>
      </c>
      <c r="BA416" s="1">
        <v>937</v>
      </c>
      <c r="BB416" s="1">
        <v>186</v>
      </c>
      <c r="BC416" s="1">
        <v>152</v>
      </c>
      <c r="BG416" t="s">
        <v>744</v>
      </c>
    </row>
    <row r="417" spans="1:62" x14ac:dyDescent="0.25">
      <c r="A417" t="s">
        <v>2439</v>
      </c>
      <c r="B417" t="s">
        <v>2440</v>
      </c>
      <c r="C417" s="1">
        <v>380</v>
      </c>
      <c r="D417" s="1">
        <v>1995</v>
      </c>
      <c r="E417" t="s">
        <v>64</v>
      </c>
      <c r="F417" t="s">
        <v>1147</v>
      </c>
      <c r="G417" t="s">
        <v>720</v>
      </c>
      <c r="H417" t="s">
        <v>2441</v>
      </c>
      <c r="I417" t="s">
        <v>2442</v>
      </c>
      <c r="J417" t="s">
        <v>720</v>
      </c>
      <c r="K417" s="1">
        <v>3</v>
      </c>
      <c r="L417" t="s">
        <v>91</v>
      </c>
      <c r="M417" t="s">
        <v>70</v>
      </c>
      <c r="N417" t="s">
        <v>71</v>
      </c>
      <c r="P417" t="s">
        <v>72</v>
      </c>
      <c r="Q417" t="s">
        <v>73</v>
      </c>
      <c r="R417" t="s">
        <v>74</v>
      </c>
      <c r="S417" t="s">
        <v>1568</v>
      </c>
      <c r="T417" s="2">
        <v>886</v>
      </c>
      <c r="U417" s="3">
        <v>1.69</v>
      </c>
      <c r="V417" s="4">
        <v>1503</v>
      </c>
      <c r="AF417" s="5">
        <v>8.1578999999999997</v>
      </c>
      <c r="AH417" s="1">
        <v>2012</v>
      </c>
      <c r="AI417" s="1">
        <v>3</v>
      </c>
      <c r="AJ417" t="s">
        <v>81</v>
      </c>
      <c r="AK417" t="s">
        <v>82</v>
      </c>
      <c r="AL417" t="s">
        <v>83</v>
      </c>
      <c r="AM417" s="3">
        <v>1.6</v>
      </c>
      <c r="AN417" s="4">
        <v>1670</v>
      </c>
      <c r="AO417" s="1">
        <v>1044</v>
      </c>
      <c r="AP417" s="3">
        <v>1.56</v>
      </c>
      <c r="AQ417" s="4">
        <v>2113</v>
      </c>
      <c r="AR417" s="1">
        <v>1352</v>
      </c>
      <c r="AS417" s="3">
        <v>1855074.9</v>
      </c>
      <c r="AW417" t="s">
        <v>84</v>
      </c>
      <c r="AY417" s="3">
        <v>1.83</v>
      </c>
      <c r="AZ417" s="4">
        <v>1312</v>
      </c>
      <c r="BA417" s="1">
        <v>718</v>
      </c>
      <c r="BB417" s="1">
        <v>202</v>
      </c>
      <c r="BC417" s="1">
        <v>158</v>
      </c>
      <c r="BD417" s="1">
        <v>20</v>
      </c>
      <c r="BF417" t="s">
        <v>462</v>
      </c>
      <c r="BG417" t="s">
        <v>131</v>
      </c>
    </row>
    <row r="418" spans="1:62" x14ac:dyDescent="0.25">
      <c r="A418" t="s">
        <v>2443</v>
      </c>
      <c r="B418" t="s">
        <v>2444</v>
      </c>
      <c r="C418" s="1">
        <v>132</v>
      </c>
      <c r="D418" s="1">
        <v>1993</v>
      </c>
      <c r="E418" t="s">
        <v>64</v>
      </c>
      <c r="F418" t="s">
        <v>134</v>
      </c>
      <c r="G418" t="s">
        <v>735</v>
      </c>
      <c r="H418" t="s">
        <v>2445</v>
      </c>
      <c r="I418" t="s">
        <v>2446</v>
      </c>
      <c r="J418" t="s">
        <v>735</v>
      </c>
      <c r="K418" s="1">
        <v>3</v>
      </c>
      <c r="L418" t="s">
        <v>91</v>
      </c>
      <c r="M418" t="s">
        <v>70</v>
      </c>
      <c r="N418" t="s">
        <v>71</v>
      </c>
      <c r="P418" t="s">
        <v>72</v>
      </c>
      <c r="Q418" t="s">
        <v>73</v>
      </c>
      <c r="R418" t="s">
        <v>74</v>
      </c>
      <c r="S418" t="s">
        <v>2447</v>
      </c>
      <c r="T418" s="2">
        <v>900</v>
      </c>
      <c r="U418" s="3">
        <v>1.2</v>
      </c>
      <c r="V418" s="4">
        <v>1081</v>
      </c>
      <c r="AF418" s="5">
        <v>16.666699999999999</v>
      </c>
      <c r="AI418" s="1">
        <v>2</v>
      </c>
      <c r="AJ418" t="s">
        <v>81</v>
      </c>
      <c r="AK418" t="s">
        <v>82</v>
      </c>
      <c r="AL418" t="s">
        <v>83</v>
      </c>
      <c r="AM418" s="3">
        <v>1.1499999999999999</v>
      </c>
      <c r="AN418" s="4">
        <v>1177</v>
      </c>
      <c r="AO418" s="1">
        <v>1026</v>
      </c>
      <c r="AP418" s="3">
        <v>1.1299999999999999</v>
      </c>
      <c r="AQ418" s="4">
        <v>1317</v>
      </c>
      <c r="AR418" s="1">
        <v>1171</v>
      </c>
      <c r="AS418" s="3">
        <v>226684.78</v>
      </c>
      <c r="AW418" t="s">
        <v>84</v>
      </c>
      <c r="AY418" s="3">
        <v>1.36</v>
      </c>
      <c r="AZ418" s="4">
        <v>875</v>
      </c>
      <c r="BA418" s="1">
        <v>644</v>
      </c>
      <c r="BB418" s="1">
        <v>51</v>
      </c>
      <c r="BC418" s="1">
        <v>61</v>
      </c>
      <c r="BD418" s="1">
        <v>20</v>
      </c>
      <c r="BF418" t="s">
        <v>2448</v>
      </c>
    </row>
    <row r="419" spans="1:62" x14ac:dyDescent="0.25">
      <c r="A419" t="s">
        <v>2449</v>
      </c>
      <c r="B419" t="s">
        <v>2450</v>
      </c>
      <c r="C419" s="1">
        <v>408</v>
      </c>
      <c r="D419" s="1">
        <v>1996</v>
      </c>
      <c r="E419" t="s">
        <v>64</v>
      </c>
      <c r="F419" t="s">
        <v>177</v>
      </c>
      <c r="G419" t="s">
        <v>801</v>
      </c>
      <c r="H419" t="s">
        <v>2451</v>
      </c>
      <c r="I419" t="s">
        <v>2095</v>
      </c>
      <c r="J419" t="s">
        <v>801</v>
      </c>
      <c r="K419" s="1">
        <v>3</v>
      </c>
      <c r="L419" t="s">
        <v>91</v>
      </c>
      <c r="M419" t="s">
        <v>70</v>
      </c>
      <c r="N419" t="s">
        <v>71</v>
      </c>
      <c r="P419" t="s">
        <v>72</v>
      </c>
      <c r="Q419" t="s">
        <v>181</v>
      </c>
      <c r="R419" t="s">
        <v>74</v>
      </c>
      <c r="S419" t="s">
        <v>2452</v>
      </c>
      <c r="T419" s="2">
        <v>946</v>
      </c>
      <c r="U419" s="3">
        <v>1.66</v>
      </c>
      <c r="V419" s="4">
        <v>1567</v>
      </c>
      <c r="AF419" s="5">
        <v>4.9020000000000001</v>
      </c>
      <c r="AI419" s="1">
        <v>3</v>
      </c>
      <c r="AJ419" t="s">
        <v>81</v>
      </c>
      <c r="AK419" t="s">
        <v>82</v>
      </c>
      <c r="AL419" t="s">
        <v>83</v>
      </c>
      <c r="AM419" s="3">
        <v>1.59</v>
      </c>
      <c r="AN419" s="4">
        <v>1700</v>
      </c>
      <c r="AO419" s="1">
        <v>1072</v>
      </c>
      <c r="AP419" s="3">
        <v>1.67</v>
      </c>
      <c r="AQ419" s="4">
        <v>2278</v>
      </c>
      <c r="AR419" s="1">
        <v>1362</v>
      </c>
      <c r="AS419" s="3">
        <v>1588675.3</v>
      </c>
      <c r="AW419" t="s">
        <v>84</v>
      </c>
      <c r="AY419" s="3">
        <v>1.73</v>
      </c>
      <c r="AZ419" s="4">
        <v>1366</v>
      </c>
      <c r="BA419" s="1">
        <v>788</v>
      </c>
      <c r="BB419" s="1">
        <v>204</v>
      </c>
      <c r="BC419" s="1">
        <v>180</v>
      </c>
      <c r="BD419" s="1">
        <v>24</v>
      </c>
    </row>
    <row r="420" spans="1:62" x14ac:dyDescent="0.25">
      <c r="A420" t="s">
        <v>2453</v>
      </c>
      <c r="B420" t="s">
        <v>2454</v>
      </c>
      <c r="C420" s="1">
        <v>268</v>
      </c>
      <c r="D420" s="1">
        <v>1997</v>
      </c>
      <c r="E420" t="s">
        <v>64</v>
      </c>
      <c r="F420" t="s">
        <v>198</v>
      </c>
      <c r="G420" t="s">
        <v>2395</v>
      </c>
      <c r="H420" t="s">
        <v>2455</v>
      </c>
      <c r="I420" t="s">
        <v>2397</v>
      </c>
      <c r="J420" t="s">
        <v>2395</v>
      </c>
      <c r="K420" s="1">
        <v>3</v>
      </c>
      <c r="L420" t="s">
        <v>91</v>
      </c>
      <c r="M420" t="s">
        <v>70</v>
      </c>
      <c r="N420" t="s">
        <v>71</v>
      </c>
      <c r="P420" t="s">
        <v>72</v>
      </c>
      <c r="Q420" t="s">
        <v>152</v>
      </c>
      <c r="R420" t="s">
        <v>74</v>
      </c>
      <c r="S420" t="s">
        <v>1801</v>
      </c>
      <c r="T420" s="2">
        <v>912</v>
      </c>
      <c r="U420" s="3">
        <v>1.61</v>
      </c>
      <c r="V420" s="4">
        <v>1467</v>
      </c>
      <c r="AF420" s="5">
        <v>5.2239000000000004</v>
      </c>
      <c r="AI420" s="1">
        <v>1</v>
      </c>
      <c r="AJ420" t="s">
        <v>81</v>
      </c>
      <c r="AK420" t="s">
        <v>82</v>
      </c>
      <c r="AL420" t="s">
        <v>83</v>
      </c>
      <c r="AM420" s="3">
        <v>1.49</v>
      </c>
      <c r="AN420" s="4">
        <v>1649</v>
      </c>
      <c r="AO420" s="1">
        <v>1106</v>
      </c>
      <c r="AP420" s="3">
        <v>1.61</v>
      </c>
      <c r="AQ420" s="4">
        <v>2061</v>
      </c>
      <c r="AR420" s="1">
        <v>1280</v>
      </c>
      <c r="AS420" s="3">
        <v>1024656.07</v>
      </c>
      <c r="AW420" t="s">
        <v>84</v>
      </c>
      <c r="AY420" s="3">
        <v>1.71</v>
      </c>
      <c r="AZ420" s="4">
        <v>1294</v>
      </c>
      <c r="BA420" s="1">
        <v>755</v>
      </c>
      <c r="BB420" s="1">
        <v>156</v>
      </c>
      <c r="BC420" s="1">
        <v>96</v>
      </c>
      <c r="BD420" s="1">
        <v>16</v>
      </c>
    </row>
    <row r="421" spans="1:62" x14ac:dyDescent="0.25">
      <c r="A421" t="s">
        <v>2456</v>
      </c>
      <c r="B421" t="s">
        <v>2457</v>
      </c>
      <c r="C421" s="1">
        <v>232</v>
      </c>
      <c r="D421" s="1">
        <v>1997</v>
      </c>
      <c r="E421" t="s">
        <v>64</v>
      </c>
      <c r="F421" t="s">
        <v>140</v>
      </c>
      <c r="G421" t="s">
        <v>2458</v>
      </c>
      <c r="H421" t="s">
        <v>2459</v>
      </c>
      <c r="J421" t="s">
        <v>2458</v>
      </c>
      <c r="K421" s="1">
        <v>4</v>
      </c>
      <c r="L421" t="s">
        <v>91</v>
      </c>
      <c r="M421" t="s">
        <v>70</v>
      </c>
      <c r="N421" t="s">
        <v>71</v>
      </c>
      <c r="P421" t="s">
        <v>72</v>
      </c>
      <c r="Q421" t="s">
        <v>140</v>
      </c>
      <c r="R421" t="s">
        <v>74</v>
      </c>
      <c r="S421" t="s">
        <v>1351</v>
      </c>
      <c r="T421" s="2">
        <v>998</v>
      </c>
      <c r="U421" s="3">
        <v>1.74</v>
      </c>
      <c r="V421" s="4">
        <v>1742</v>
      </c>
      <c r="AF421" s="5">
        <v>6.4654999999999996</v>
      </c>
      <c r="AI421" s="1">
        <v>2</v>
      </c>
      <c r="AJ421" t="s">
        <v>81</v>
      </c>
      <c r="AK421" t="s">
        <v>82</v>
      </c>
      <c r="AL421" t="s">
        <v>83</v>
      </c>
      <c r="AM421" s="3">
        <v>1.84</v>
      </c>
      <c r="AN421" s="4">
        <v>2032</v>
      </c>
      <c r="AO421" s="1">
        <v>1105</v>
      </c>
      <c r="AP421" s="3">
        <v>1.79</v>
      </c>
      <c r="AQ421" s="4">
        <v>2618</v>
      </c>
      <c r="AR421" s="1">
        <v>1462</v>
      </c>
      <c r="AS421" s="3">
        <v>752682.07</v>
      </c>
      <c r="AW421" t="s">
        <v>84</v>
      </c>
      <c r="AY421" s="3">
        <v>1.61</v>
      </c>
      <c r="AZ421" s="4">
        <v>1305</v>
      </c>
      <c r="BA421" s="1">
        <v>808</v>
      </c>
      <c r="BB421" s="1">
        <v>112</v>
      </c>
      <c r="BC421" s="1">
        <v>96</v>
      </c>
      <c r="BD421" s="1">
        <v>24</v>
      </c>
    </row>
    <row r="422" spans="1:62" x14ac:dyDescent="0.25">
      <c r="A422" t="s">
        <v>2460</v>
      </c>
      <c r="B422" t="s">
        <v>2461</v>
      </c>
      <c r="C422" s="1">
        <v>264</v>
      </c>
      <c r="D422" s="1">
        <v>1998</v>
      </c>
      <c r="E422" t="s">
        <v>64</v>
      </c>
      <c r="F422" t="s">
        <v>140</v>
      </c>
      <c r="G422" t="s">
        <v>2462</v>
      </c>
      <c r="H422" t="s">
        <v>2463</v>
      </c>
      <c r="I422" t="s">
        <v>2464</v>
      </c>
      <c r="J422" t="s">
        <v>2462</v>
      </c>
      <c r="K422" s="1">
        <v>4</v>
      </c>
      <c r="L422" t="s">
        <v>91</v>
      </c>
      <c r="M422" t="s">
        <v>70</v>
      </c>
      <c r="N422" t="s">
        <v>71</v>
      </c>
      <c r="P422" t="s">
        <v>72</v>
      </c>
      <c r="Q422" t="s">
        <v>140</v>
      </c>
      <c r="R422" t="s">
        <v>74</v>
      </c>
      <c r="S422" t="s">
        <v>2465</v>
      </c>
      <c r="T422" s="2">
        <v>1300</v>
      </c>
      <c r="U422" s="3">
        <v>1.77</v>
      </c>
      <c r="V422" s="4">
        <v>2297</v>
      </c>
      <c r="AF422" s="5">
        <v>9.4696999999999996</v>
      </c>
      <c r="AI422" s="1">
        <v>2</v>
      </c>
      <c r="AJ422" t="s">
        <v>81</v>
      </c>
      <c r="AK422" t="s">
        <v>82</v>
      </c>
      <c r="AL422" t="s">
        <v>83</v>
      </c>
      <c r="AM422" s="3">
        <v>1.8</v>
      </c>
      <c r="AN422" s="4">
        <v>2138</v>
      </c>
      <c r="AO422" s="1">
        <v>1187</v>
      </c>
      <c r="AP422" s="3">
        <v>1.72</v>
      </c>
      <c r="AQ422" s="4">
        <v>2427</v>
      </c>
      <c r="AR422" s="1">
        <v>1412</v>
      </c>
      <c r="AS422" s="3">
        <v>1009847.61</v>
      </c>
      <c r="AW422" t="s">
        <v>84</v>
      </c>
      <c r="AY422" s="3">
        <v>2.06</v>
      </c>
      <c r="AZ422" s="4">
        <v>1784</v>
      </c>
      <c r="BA422" s="1">
        <v>867</v>
      </c>
      <c r="BB422" s="1">
        <v>16</v>
      </c>
      <c r="BC422" s="1">
        <v>102</v>
      </c>
      <c r="BD422" s="1">
        <v>138</v>
      </c>
      <c r="BE422" s="1">
        <v>8</v>
      </c>
      <c r="BG422" t="s">
        <v>131</v>
      </c>
      <c r="BH422" s="3">
        <v>1.83</v>
      </c>
      <c r="BI422" s="4">
        <v>3120</v>
      </c>
      <c r="BJ422" s="1">
        <v>1703</v>
      </c>
    </row>
    <row r="423" spans="1:62" x14ac:dyDescent="0.25">
      <c r="A423" t="s">
        <v>2466</v>
      </c>
      <c r="B423" t="s">
        <v>2467</v>
      </c>
      <c r="C423" s="1">
        <v>376</v>
      </c>
      <c r="D423" s="1">
        <v>1994</v>
      </c>
      <c r="E423" t="s">
        <v>64</v>
      </c>
      <c r="F423" t="s">
        <v>140</v>
      </c>
      <c r="G423" t="s">
        <v>257</v>
      </c>
      <c r="H423" t="s">
        <v>2468</v>
      </c>
      <c r="I423" t="s">
        <v>2469</v>
      </c>
      <c r="J423" t="s">
        <v>257</v>
      </c>
      <c r="K423" s="1">
        <v>4</v>
      </c>
      <c r="L423" t="s">
        <v>91</v>
      </c>
      <c r="M423" t="s">
        <v>70</v>
      </c>
      <c r="N423" t="s">
        <v>71</v>
      </c>
      <c r="P423" t="s">
        <v>72</v>
      </c>
      <c r="Q423" t="s">
        <v>140</v>
      </c>
      <c r="R423" t="s">
        <v>74</v>
      </c>
      <c r="S423" t="s">
        <v>144</v>
      </c>
      <c r="T423" s="2">
        <v>950</v>
      </c>
      <c r="U423" s="3">
        <v>1.42</v>
      </c>
      <c r="V423" s="4">
        <v>1355</v>
      </c>
      <c r="AF423" s="5">
        <v>14.361700000000001</v>
      </c>
      <c r="AH423" s="1">
        <v>2015</v>
      </c>
      <c r="AI423" s="1">
        <v>2</v>
      </c>
      <c r="AJ423" t="s">
        <v>81</v>
      </c>
      <c r="AK423" t="s">
        <v>82</v>
      </c>
      <c r="AL423" t="s">
        <v>83</v>
      </c>
      <c r="AM423" s="3">
        <v>1.36</v>
      </c>
      <c r="AN423" s="4">
        <v>1404</v>
      </c>
      <c r="AO423" s="1">
        <v>1035</v>
      </c>
      <c r="AP423" s="3">
        <v>1.48</v>
      </c>
      <c r="AQ423" s="4">
        <v>2020</v>
      </c>
      <c r="AR423" s="1">
        <v>1362</v>
      </c>
      <c r="AS423" s="3">
        <v>389595.32</v>
      </c>
      <c r="AW423" t="s">
        <v>84</v>
      </c>
      <c r="AY423" s="3">
        <v>1.56</v>
      </c>
      <c r="AZ423" s="4">
        <v>1161</v>
      </c>
      <c r="BA423" s="1">
        <v>746</v>
      </c>
      <c r="BB423" s="1">
        <v>137</v>
      </c>
      <c r="BC423" s="1">
        <v>215</v>
      </c>
      <c r="BD423" s="1">
        <v>24</v>
      </c>
      <c r="BF423" t="s">
        <v>2470</v>
      </c>
      <c r="BG423" t="s">
        <v>104</v>
      </c>
    </row>
    <row r="424" spans="1:62" x14ac:dyDescent="0.25">
      <c r="A424" t="s">
        <v>2471</v>
      </c>
      <c r="B424" t="s">
        <v>2472</v>
      </c>
      <c r="C424" s="1">
        <v>448</v>
      </c>
      <c r="D424" s="1">
        <v>1998</v>
      </c>
      <c r="E424" t="s">
        <v>64</v>
      </c>
      <c r="F424" t="s">
        <v>756</v>
      </c>
      <c r="G424" t="s">
        <v>2473</v>
      </c>
      <c r="H424" t="s">
        <v>2474</v>
      </c>
      <c r="J424" t="s">
        <v>2473</v>
      </c>
      <c r="K424" s="1">
        <v>4</v>
      </c>
      <c r="L424" t="s">
        <v>91</v>
      </c>
      <c r="M424" t="s">
        <v>70</v>
      </c>
      <c r="N424" t="s">
        <v>71</v>
      </c>
      <c r="P424" t="s">
        <v>72</v>
      </c>
      <c r="Q424" t="s">
        <v>73</v>
      </c>
      <c r="R424" t="s">
        <v>74</v>
      </c>
      <c r="S424" t="s">
        <v>2475</v>
      </c>
      <c r="T424" s="2">
        <v>864</v>
      </c>
      <c r="U424" s="3">
        <v>1.74</v>
      </c>
      <c r="V424" s="4">
        <v>1502</v>
      </c>
      <c r="AF424" s="5">
        <v>6.4732000000000003</v>
      </c>
      <c r="AI424" s="1">
        <v>3</v>
      </c>
      <c r="AJ424" t="s">
        <v>81</v>
      </c>
      <c r="AK424" t="s">
        <v>82</v>
      </c>
      <c r="AL424" t="s">
        <v>83</v>
      </c>
      <c r="AM424" s="3">
        <v>1.55</v>
      </c>
      <c r="AN424" s="4">
        <v>1750</v>
      </c>
      <c r="AO424" s="1">
        <v>1128</v>
      </c>
      <c r="AS424" s="3">
        <v>1921255.9</v>
      </c>
      <c r="AW424" t="s">
        <v>84</v>
      </c>
      <c r="AY424" s="3">
        <v>1.93</v>
      </c>
      <c r="AZ424" s="4">
        <v>1384</v>
      </c>
      <c r="BA424" s="1">
        <v>719</v>
      </c>
      <c r="BB424" s="1">
        <v>288</v>
      </c>
      <c r="BC424" s="1">
        <v>160</v>
      </c>
      <c r="BG424" t="s">
        <v>131</v>
      </c>
    </row>
    <row r="425" spans="1:62" x14ac:dyDescent="0.25">
      <c r="A425" t="s">
        <v>2476</v>
      </c>
      <c r="B425" t="s">
        <v>2477</v>
      </c>
      <c r="C425" s="1">
        <v>308</v>
      </c>
      <c r="D425" s="1">
        <v>1998</v>
      </c>
      <c r="E425" t="s">
        <v>64</v>
      </c>
      <c r="F425" t="s">
        <v>756</v>
      </c>
      <c r="G425" t="s">
        <v>2478</v>
      </c>
      <c r="H425" t="s">
        <v>2479</v>
      </c>
      <c r="I425" t="s">
        <v>2478</v>
      </c>
      <c r="J425" t="s">
        <v>2478</v>
      </c>
      <c r="K425" s="1">
        <v>4</v>
      </c>
      <c r="L425" t="s">
        <v>91</v>
      </c>
      <c r="M425" t="s">
        <v>70</v>
      </c>
      <c r="N425" t="s">
        <v>71</v>
      </c>
      <c r="O425" t="s">
        <v>128</v>
      </c>
      <c r="P425" t="s">
        <v>72</v>
      </c>
      <c r="Q425" t="s">
        <v>73</v>
      </c>
      <c r="R425" t="s">
        <v>74</v>
      </c>
      <c r="S425" t="s">
        <v>2475</v>
      </c>
      <c r="T425" s="2">
        <v>1045</v>
      </c>
      <c r="U425" s="3">
        <v>1.52</v>
      </c>
      <c r="V425" s="4">
        <v>1587</v>
      </c>
      <c r="AF425" s="5">
        <v>3.8961000000000001</v>
      </c>
      <c r="AI425" s="1">
        <v>4</v>
      </c>
      <c r="AJ425" t="s">
        <v>81</v>
      </c>
      <c r="AK425" t="s">
        <v>82</v>
      </c>
      <c r="AL425" t="s">
        <v>83</v>
      </c>
      <c r="AM425" s="3">
        <v>1.43</v>
      </c>
      <c r="AN425" s="4">
        <v>1687</v>
      </c>
      <c r="AO425" s="1">
        <v>1178</v>
      </c>
      <c r="AP425" s="3">
        <v>1.45</v>
      </c>
      <c r="AQ425" s="4">
        <v>2073</v>
      </c>
      <c r="AR425" s="1">
        <v>1426</v>
      </c>
      <c r="AS425" s="3">
        <v>1384228.58</v>
      </c>
      <c r="AW425" t="s">
        <v>84</v>
      </c>
      <c r="AY425" s="3">
        <v>1.65</v>
      </c>
      <c r="AZ425" s="4">
        <v>1371</v>
      </c>
      <c r="BA425" s="1">
        <v>831</v>
      </c>
      <c r="BB425" s="1">
        <v>146</v>
      </c>
      <c r="BC425" s="1">
        <v>122</v>
      </c>
      <c r="BD425" s="1">
        <v>40</v>
      </c>
    </row>
    <row r="426" spans="1:62" x14ac:dyDescent="0.25">
      <c r="A426" t="s">
        <v>2480</v>
      </c>
      <c r="B426" t="s">
        <v>2481</v>
      </c>
      <c r="C426" s="1">
        <v>286</v>
      </c>
      <c r="D426" s="1">
        <v>1992</v>
      </c>
      <c r="E426" t="s">
        <v>64</v>
      </c>
      <c r="F426" t="s">
        <v>1133</v>
      </c>
      <c r="G426" t="s">
        <v>2482</v>
      </c>
      <c r="H426" t="s">
        <v>2483</v>
      </c>
      <c r="I426" t="s">
        <v>2484</v>
      </c>
      <c r="J426" t="s">
        <v>2482</v>
      </c>
      <c r="K426" s="1">
        <v>3</v>
      </c>
      <c r="L426" t="s">
        <v>91</v>
      </c>
      <c r="M426" t="s">
        <v>70</v>
      </c>
      <c r="N426" t="s">
        <v>71</v>
      </c>
      <c r="P426" t="s">
        <v>72</v>
      </c>
      <c r="Q426" t="s">
        <v>264</v>
      </c>
      <c r="R426" t="s">
        <v>74</v>
      </c>
      <c r="S426" t="s">
        <v>1594</v>
      </c>
      <c r="T426" s="2">
        <v>771</v>
      </c>
      <c r="U426" s="3">
        <v>1.9</v>
      </c>
      <c r="V426" s="4">
        <v>1464</v>
      </c>
      <c r="AF426" s="5">
        <v>7.6923000000000004</v>
      </c>
      <c r="AI426" s="1">
        <v>2</v>
      </c>
      <c r="AJ426" t="s">
        <v>81</v>
      </c>
      <c r="AK426" t="s">
        <v>82</v>
      </c>
      <c r="AL426" t="s">
        <v>83</v>
      </c>
      <c r="AM426" s="3">
        <v>1.84</v>
      </c>
      <c r="AN426" s="4">
        <v>1805</v>
      </c>
      <c r="AO426" s="1">
        <v>979</v>
      </c>
      <c r="AS426" s="3">
        <v>1146932.3400000001</v>
      </c>
      <c r="AW426" t="s">
        <v>84</v>
      </c>
      <c r="AY426" s="3">
        <v>1.94</v>
      </c>
      <c r="AZ426" s="4">
        <v>1269</v>
      </c>
      <c r="BA426" s="1">
        <v>654</v>
      </c>
      <c r="BB426" s="1">
        <v>182</v>
      </c>
      <c r="BC426" s="1">
        <v>104</v>
      </c>
    </row>
    <row r="427" spans="1:62" x14ac:dyDescent="0.25">
      <c r="A427" t="s">
        <v>2485</v>
      </c>
      <c r="B427" t="s">
        <v>2486</v>
      </c>
      <c r="C427" s="1">
        <v>160</v>
      </c>
      <c r="D427" s="1">
        <v>1998</v>
      </c>
      <c r="E427" t="s">
        <v>64</v>
      </c>
      <c r="F427" t="s">
        <v>140</v>
      </c>
      <c r="G427" t="s">
        <v>2487</v>
      </c>
      <c r="H427" t="s">
        <v>2488</v>
      </c>
      <c r="I427" t="s">
        <v>2489</v>
      </c>
      <c r="J427" t="s">
        <v>2487</v>
      </c>
      <c r="K427" s="1">
        <v>3</v>
      </c>
      <c r="L427" t="s">
        <v>91</v>
      </c>
      <c r="M427" t="s">
        <v>70</v>
      </c>
      <c r="N427" t="s">
        <v>71</v>
      </c>
      <c r="P427" t="s">
        <v>72</v>
      </c>
      <c r="Q427" t="s">
        <v>134</v>
      </c>
      <c r="R427" t="s">
        <v>74</v>
      </c>
      <c r="S427" t="s">
        <v>1007</v>
      </c>
      <c r="T427" s="2">
        <v>979</v>
      </c>
      <c r="U427" s="3">
        <v>1.69</v>
      </c>
      <c r="V427" s="4">
        <v>1653</v>
      </c>
      <c r="AF427" s="5">
        <v>5</v>
      </c>
      <c r="AI427" s="1">
        <v>2</v>
      </c>
      <c r="AJ427" t="s">
        <v>81</v>
      </c>
      <c r="AK427" t="s">
        <v>82</v>
      </c>
      <c r="AL427" t="s">
        <v>83</v>
      </c>
      <c r="AM427" s="3">
        <v>1.66</v>
      </c>
      <c r="AN427" s="4">
        <v>1719</v>
      </c>
      <c r="AO427" s="1">
        <v>1035</v>
      </c>
      <c r="AP427" s="3">
        <v>1.52</v>
      </c>
      <c r="AQ427" s="4">
        <v>2064</v>
      </c>
      <c r="AR427" s="1">
        <v>1355</v>
      </c>
      <c r="AS427" s="3">
        <v>385112.27</v>
      </c>
      <c r="AW427" t="s">
        <v>84</v>
      </c>
      <c r="AY427" s="3">
        <v>1.83</v>
      </c>
      <c r="AZ427" s="4">
        <v>1428</v>
      </c>
      <c r="BA427" s="1">
        <v>779</v>
      </c>
      <c r="BB427" s="1">
        <v>60</v>
      </c>
      <c r="BC427" s="1">
        <v>80</v>
      </c>
      <c r="BD427" s="1">
        <v>20</v>
      </c>
    </row>
    <row r="428" spans="1:62" x14ac:dyDescent="0.25">
      <c r="A428" t="s">
        <v>2490</v>
      </c>
      <c r="B428" t="s">
        <v>2491</v>
      </c>
      <c r="C428" s="1">
        <v>52</v>
      </c>
      <c r="D428" s="1">
        <v>1998</v>
      </c>
      <c r="E428" t="s">
        <v>64</v>
      </c>
      <c r="F428" t="s">
        <v>211</v>
      </c>
      <c r="G428" t="s">
        <v>2492</v>
      </c>
      <c r="H428" t="s">
        <v>2493</v>
      </c>
      <c r="I428" t="s">
        <v>2494</v>
      </c>
      <c r="J428" t="s">
        <v>2492</v>
      </c>
      <c r="K428" s="1">
        <v>2</v>
      </c>
      <c r="L428" t="s">
        <v>69</v>
      </c>
      <c r="M428" t="s">
        <v>70</v>
      </c>
      <c r="N428" t="s">
        <v>71</v>
      </c>
      <c r="P428" t="s">
        <v>72</v>
      </c>
      <c r="Q428" t="s">
        <v>215</v>
      </c>
      <c r="R428" t="s">
        <v>74</v>
      </c>
      <c r="S428" t="s">
        <v>2495</v>
      </c>
      <c r="T428" s="2">
        <v>591</v>
      </c>
      <c r="U428" s="3">
        <v>1.5</v>
      </c>
      <c r="V428" s="4">
        <v>886</v>
      </c>
      <c r="AF428" s="5">
        <v>5.7691999999999997</v>
      </c>
      <c r="AI428" s="1">
        <v>2</v>
      </c>
      <c r="AJ428" t="s">
        <v>81</v>
      </c>
      <c r="AK428" t="s">
        <v>82</v>
      </c>
      <c r="AL428" t="s">
        <v>83</v>
      </c>
      <c r="AM428" s="3">
        <v>1.58</v>
      </c>
      <c r="AN428" s="4">
        <v>1404</v>
      </c>
      <c r="AO428" s="1">
        <v>886</v>
      </c>
      <c r="AS428" s="3">
        <v>85970.62</v>
      </c>
      <c r="AW428" t="s">
        <v>84</v>
      </c>
      <c r="AY428" s="3">
        <v>1.47</v>
      </c>
      <c r="AZ428" s="4">
        <v>792</v>
      </c>
      <c r="BA428" s="1">
        <v>538</v>
      </c>
      <c r="BB428" s="1">
        <v>44</v>
      </c>
      <c r="BC428" s="1">
        <v>8</v>
      </c>
    </row>
    <row r="429" spans="1:62" x14ac:dyDescent="0.25">
      <c r="A429" t="s">
        <v>2496</v>
      </c>
      <c r="B429" t="s">
        <v>2497</v>
      </c>
      <c r="C429" s="1">
        <v>232</v>
      </c>
      <c r="D429" s="1">
        <v>1994</v>
      </c>
      <c r="E429" t="s">
        <v>64</v>
      </c>
      <c r="F429" t="s">
        <v>486</v>
      </c>
      <c r="G429" t="s">
        <v>2498</v>
      </c>
      <c r="H429" t="s">
        <v>2499</v>
      </c>
      <c r="J429" t="s">
        <v>2498</v>
      </c>
      <c r="K429" s="1">
        <v>3</v>
      </c>
      <c r="L429" t="s">
        <v>91</v>
      </c>
      <c r="M429" t="s">
        <v>70</v>
      </c>
      <c r="N429" t="s">
        <v>71</v>
      </c>
      <c r="O429" t="s">
        <v>118</v>
      </c>
      <c r="P429" t="s">
        <v>72</v>
      </c>
      <c r="Q429" t="s">
        <v>73</v>
      </c>
      <c r="R429" t="s">
        <v>74</v>
      </c>
      <c r="S429" t="s">
        <v>419</v>
      </c>
      <c r="T429" s="2">
        <v>925</v>
      </c>
      <c r="U429" s="3">
        <v>1.58</v>
      </c>
      <c r="V429" s="4">
        <v>1467</v>
      </c>
      <c r="AF429" s="5">
        <v>5.6033999999999997</v>
      </c>
      <c r="AI429" s="1">
        <v>2</v>
      </c>
      <c r="AJ429" t="s">
        <v>81</v>
      </c>
      <c r="AK429" t="s">
        <v>82</v>
      </c>
      <c r="AL429" t="s">
        <v>83</v>
      </c>
      <c r="AM429" s="3">
        <v>1.53</v>
      </c>
      <c r="AN429" s="4">
        <v>1458</v>
      </c>
      <c r="AO429" s="1">
        <v>951</v>
      </c>
      <c r="AP429" s="3">
        <v>1.57</v>
      </c>
      <c r="AQ429" s="4">
        <v>1682</v>
      </c>
      <c r="AR429" s="1">
        <v>1070</v>
      </c>
      <c r="AS429" s="3">
        <v>420006.83</v>
      </c>
      <c r="AW429" t="s">
        <v>84</v>
      </c>
      <c r="AY429" s="3">
        <v>1.75</v>
      </c>
      <c r="AZ429" s="4">
        <v>1220</v>
      </c>
      <c r="BA429" s="1">
        <v>698</v>
      </c>
      <c r="BB429" s="1">
        <v>54</v>
      </c>
      <c r="BC429" s="1">
        <v>112</v>
      </c>
      <c r="BD429" s="1">
        <v>66</v>
      </c>
    </row>
    <row r="430" spans="1:62" x14ac:dyDescent="0.25">
      <c r="A430" t="s">
        <v>2500</v>
      </c>
      <c r="B430" t="s">
        <v>2501</v>
      </c>
      <c r="C430" s="1">
        <v>273</v>
      </c>
      <c r="D430" s="1">
        <v>1999</v>
      </c>
      <c r="E430" t="s">
        <v>64</v>
      </c>
      <c r="F430" t="s">
        <v>756</v>
      </c>
      <c r="G430" t="s">
        <v>2502</v>
      </c>
      <c r="H430" t="s">
        <v>2503</v>
      </c>
      <c r="I430" t="s">
        <v>2504</v>
      </c>
      <c r="J430" t="s">
        <v>2502</v>
      </c>
      <c r="K430" s="1">
        <v>3</v>
      </c>
      <c r="L430" t="s">
        <v>91</v>
      </c>
      <c r="M430" t="s">
        <v>70</v>
      </c>
      <c r="N430" t="s">
        <v>71</v>
      </c>
      <c r="P430" t="s">
        <v>72</v>
      </c>
      <c r="Q430" t="s">
        <v>73</v>
      </c>
      <c r="R430" t="s">
        <v>74</v>
      </c>
      <c r="S430" t="s">
        <v>2475</v>
      </c>
      <c r="T430" s="2">
        <v>785</v>
      </c>
      <c r="U430" s="3">
        <v>4.93</v>
      </c>
      <c r="V430" s="4">
        <v>3872</v>
      </c>
      <c r="AF430" s="5">
        <v>26.3736</v>
      </c>
      <c r="AI430" s="1">
        <v>3</v>
      </c>
      <c r="AJ430" t="s">
        <v>81</v>
      </c>
      <c r="AK430" t="s">
        <v>82</v>
      </c>
      <c r="AL430" t="s">
        <v>83</v>
      </c>
      <c r="AM430" s="3">
        <v>4.6900000000000004</v>
      </c>
      <c r="AN430" s="4">
        <v>4746</v>
      </c>
      <c r="AO430" s="1">
        <v>1012</v>
      </c>
      <c r="AS430" s="3">
        <v>656038.6</v>
      </c>
      <c r="AT430" s="3">
        <v>5.71</v>
      </c>
      <c r="AU430" s="4">
        <v>2455</v>
      </c>
      <c r="AV430" s="6">
        <v>430</v>
      </c>
      <c r="AW430" t="s">
        <v>84</v>
      </c>
      <c r="AY430" s="3">
        <v>5.19</v>
      </c>
      <c r="AZ430" s="4">
        <v>3379</v>
      </c>
      <c r="BA430" s="1">
        <v>651</v>
      </c>
      <c r="BB430" s="1">
        <v>84</v>
      </c>
      <c r="BC430" s="1">
        <v>135</v>
      </c>
      <c r="BG430" t="s">
        <v>131</v>
      </c>
    </row>
    <row r="431" spans="1:62" x14ac:dyDescent="0.25">
      <c r="A431" t="s">
        <v>2505</v>
      </c>
      <c r="B431" t="s">
        <v>2506</v>
      </c>
      <c r="C431" s="1">
        <v>281</v>
      </c>
      <c r="D431" s="1">
        <v>1995</v>
      </c>
      <c r="E431" t="s">
        <v>64</v>
      </c>
      <c r="F431" t="s">
        <v>734</v>
      </c>
      <c r="G431" t="s">
        <v>2507</v>
      </c>
      <c r="H431" t="s">
        <v>2508</v>
      </c>
      <c r="J431" t="s">
        <v>2507</v>
      </c>
      <c r="K431" s="1">
        <v>4</v>
      </c>
      <c r="L431" t="s">
        <v>729</v>
      </c>
      <c r="M431" t="s">
        <v>70</v>
      </c>
      <c r="N431" t="s">
        <v>71</v>
      </c>
      <c r="P431" t="s">
        <v>72</v>
      </c>
      <c r="Q431" t="s">
        <v>73</v>
      </c>
      <c r="R431" t="s">
        <v>74</v>
      </c>
      <c r="S431" t="s">
        <v>738</v>
      </c>
      <c r="T431" s="2">
        <v>638</v>
      </c>
      <c r="U431" s="3">
        <v>1.88</v>
      </c>
      <c r="V431" s="4">
        <v>1199</v>
      </c>
      <c r="AF431" s="5">
        <v>15.3025</v>
      </c>
      <c r="AI431" s="1">
        <v>3</v>
      </c>
      <c r="AJ431" t="s">
        <v>81</v>
      </c>
      <c r="AK431" t="s">
        <v>82</v>
      </c>
      <c r="AL431" t="s">
        <v>83</v>
      </c>
      <c r="AM431" s="3">
        <v>1.63</v>
      </c>
      <c r="AN431" s="4">
        <v>1604</v>
      </c>
      <c r="AO431" s="1">
        <v>985</v>
      </c>
      <c r="AS431" s="3">
        <v>0</v>
      </c>
      <c r="AT431" s="3">
        <v>2.64</v>
      </c>
      <c r="AU431" s="4">
        <v>919</v>
      </c>
      <c r="AV431" s="6">
        <v>347</v>
      </c>
      <c r="AW431" t="s">
        <v>84</v>
      </c>
      <c r="AY431" s="3">
        <v>1.8</v>
      </c>
      <c r="AZ431" s="4">
        <v>1239</v>
      </c>
      <c r="BA431" s="1">
        <v>689</v>
      </c>
      <c r="BB431" s="1">
        <v>191</v>
      </c>
      <c r="BC431" s="1">
        <v>26</v>
      </c>
    </row>
    <row r="432" spans="1:62" x14ac:dyDescent="0.25">
      <c r="A432" t="s">
        <v>2509</v>
      </c>
      <c r="B432" t="s">
        <v>2510</v>
      </c>
      <c r="C432" s="1">
        <v>127</v>
      </c>
      <c r="D432" s="1">
        <v>1997</v>
      </c>
      <c r="E432" t="s">
        <v>64</v>
      </c>
      <c r="F432" t="s">
        <v>87</v>
      </c>
      <c r="G432" t="s">
        <v>2511</v>
      </c>
      <c r="H432" t="s">
        <v>2512</v>
      </c>
      <c r="I432" t="s">
        <v>2513</v>
      </c>
      <c r="J432" t="s">
        <v>2511</v>
      </c>
      <c r="K432" s="1">
        <v>4</v>
      </c>
      <c r="L432" t="s">
        <v>91</v>
      </c>
      <c r="M432" t="s">
        <v>70</v>
      </c>
      <c r="N432" t="s">
        <v>71</v>
      </c>
      <c r="P432" t="s">
        <v>72</v>
      </c>
      <c r="Q432" t="s">
        <v>73</v>
      </c>
      <c r="R432" t="s">
        <v>74</v>
      </c>
      <c r="S432" t="s">
        <v>92</v>
      </c>
      <c r="T432" s="2">
        <v>919</v>
      </c>
      <c r="U432" s="3">
        <v>2.2799999999999998</v>
      </c>
      <c r="V432" s="4">
        <v>2097</v>
      </c>
      <c r="AF432" s="5">
        <v>4.7244000000000002</v>
      </c>
      <c r="AI432" s="1">
        <v>5</v>
      </c>
      <c r="AJ432" t="s">
        <v>81</v>
      </c>
      <c r="AK432" t="s">
        <v>82</v>
      </c>
      <c r="AL432" t="s">
        <v>83</v>
      </c>
      <c r="AM432" s="3">
        <v>2.16</v>
      </c>
      <c r="AN432" s="4">
        <v>2570</v>
      </c>
      <c r="AO432" s="1">
        <v>1189</v>
      </c>
      <c r="AS432" s="3">
        <v>612644.06000000006</v>
      </c>
      <c r="AW432" t="s">
        <v>84</v>
      </c>
      <c r="AY432" s="3">
        <v>2.31</v>
      </c>
      <c r="AZ432" s="4">
        <v>2003</v>
      </c>
      <c r="BA432" s="1">
        <v>866</v>
      </c>
      <c r="BB432" s="1">
        <v>106</v>
      </c>
      <c r="BC432" s="1">
        <v>21</v>
      </c>
      <c r="BG432" t="s">
        <v>94</v>
      </c>
    </row>
    <row r="433" spans="1:62" x14ac:dyDescent="0.25">
      <c r="A433" t="s">
        <v>2514</v>
      </c>
      <c r="B433" t="s">
        <v>2515</v>
      </c>
      <c r="C433" s="1">
        <v>232</v>
      </c>
      <c r="D433" s="1">
        <v>1995</v>
      </c>
      <c r="E433" t="s">
        <v>64</v>
      </c>
      <c r="F433" t="s">
        <v>87</v>
      </c>
      <c r="G433" t="s">
        <v>2511</v>
      </c>
      <c r="H433" t="s">
        <v>2516</v>
      </c>
      <c r="I433" t="s">
        <v>2517</v>
      </c>
      <c r="J433" t="s">
        <v>2511</v>
      </c>
      <c r="K433" s="1">
        <v>3</v>
      </c>
      <c r="L433" t="s">
        <v>91</v>
      </c>
      <c r="M433" t="s">
        <v>70</v>
      </c>
      <c r="N433" t="s">
        <v>71</v>
      </c>
      <c r="P433" t="s">
        <v>72</v>
      </c>
      <c r="Q433" t="s">
        <v>73</v>
      </c>
      <c r="R433" t="s">
        <v>74</v>
      </c>
      <c r="S433" t="s">
        <v>92</v>
      </c>
      <c r="T433" s="2">
        <v>1053</v>
      </c>
      <c r="U433" s="3">
        <v>2.5</v>
      </c>
      <c r="V433" s="4">
        <v>2630</v>
      </c>
      <c r="AF433" s="5">
        <v>4.3102999999999998</v>
      </c>
      <c r="AG433" s="1">
        <v>1</v>
      </c>
      <c r="AI433" s="1">
        <v>4</v>
      </c>
      <c r="AJ433" t="s">
        <v>81</v>
      </c>
      <c r="AK433" t="s">
        <v>82</v>
      </c>
      <c r="AL433" t="s">
        <v>83</v>
      </c>
      <c r="AM433" s="3">
        <v>2.4</v>
      </c>
      <c r="AN433" s="4">
        <v>2920</v>
      </c>
      <c r="AO433" s="1">
        <v>1214</v>
      </c>
      <c r="AP433" s="3">
        <v>2.38</v>
      </c>
      <c r="AQ433" s="4">
        <v>3406</v>
      </c>
      <c r="AR433" s="1">
        <v>1433</v>
      </c>
      <c r="AS433" s="3">
        <v>1390818.3</v>
      </c>
      <c r="AW433" t="s">
        <v>84</v>
      </c>
      <c r="AY433" s="3">
        <v>2.65</v>
      </c>
      <c r="AZ433" s="4">
        <v>2242</v>
      </c>
      <c r="BA433" s="1">
        <v>845</v>
      </c>
      <c r="BB433" s="1">
        <v>112</v>
      </c>
      <c r="BC433" s="1">
        <v>102</v>
      </c>
      <c r="BD433" s="1">
        <v>18</v>
      </c>
      <c r="BG433" t="s">
        <v>131</v>
      </c>
    </row>
    <row r="434" spans="1:62" x14ac:dyDescent="0.25">
      <c r="A434" t="s">
        <v>2518</v>
      </c>
      <c r="B434" t="s">
        <v>2519</v>
      </c>
      <c r="C434" s="1">
        <v>334</v>
      </c>
      <c r="D434" s="1">
        <v>1993</v>
      </c>
      <c r="E434" t="s">
        <v>64</v>
      </c>
      <c r="F434" t="s">
        <v>87</v>
      </c>
      <c r="G434" t="s">
        <v>697</v>
      </c>
      <c r="H434" t="s">
        <v>2520</v>
      </c>
      <c r="I434" t="s">
        <v>2521</v>
      </c>
      <c r="J434" t="s">
        <v>697</v>
      </c>
      <c r="K434" s="1">
        <v>4</v>
      </c>
      <c r="L434" t="s">
        <v>91</v>
      </c>
      <c r="M434" t="s">
        <v>70</v>
      </c>
      <c r="N434" t="s">
        <v>71</v>
      </c>
      <c r="O434" t="s">
        <v>118</v>
      </c>
      <c r="P434" t="s">
        <v>72</v>
      </c>
      <c r="Q434" t="s">
        <v>73</v>
      </c>
      <c r="R434" t="s">
        <v>74</v>
      </c>
      <c r="S434" t="s">
        <v>607</v>
      </c>
      <c r="T434" s="2">
        <v>849</v>
      </c>
      <c r="U434" s="3">
        <v>2.5299999999999998</v>
      </c>
      <c r="V434" s="4">
        <v>2145</v>
      </c>
      <c r="AF434" s="5">
        <v>3.5928</v>
      </c>
      <c r="AI434" s="1">
        <v>3</v>
      </c>
      <c r="AJ434" t="s">
        <v>81</v>
      </c>
      <c r="AK434" t="s">
        <v>82</v>
      </c>
      <c r="AL434" t="s">
        <v>83</v>
      </c>
      <c r="AM434" s="3">
        <v>2.38</v>
      </c>
      <c r="AN434" s="4">
        <v>2622</v>
      </c>
      <c r="AO434" s="1">
        <v>1100</v>
      </c>
      <c r="AP434" s="3">
        <v>2.46</v>
      </c>
      <c r="AQ434" s="4">
        <v>3217</v>
      </c>
      <c r="AR434" s="1">
        <v>1307</v>
      </c>
      <c r="AS434" s="3">
        <v>1743323.42</v>
      </c>
      <c r="AW434" t="s">
        <v>84</v>
      </c>
      <c r="AY434" s="3">
        <v>2.62</v>
      </c>
      <c r="AZ434" s="4">
        <v>1921</v>
      </c>
      <c r="BA434" s="1">
        <v>732</v>
      </c>
      <c r="BB434" s="1">
        <v>229</v>
      </c>
      <c r="BC434" s="1">
        <v>103</v>
      </c>
      <c r="BD434" s="1">
        <v>2</v>
      </c>
      <c r="BF434" t="s">
        <v>579</v>
      </c>
      <c r="BG434" t="s">
        <v>104</v>
      </c>
    </row>
    <row r="435" spans="1:62" x14ac:dyDescent="0.25">
      <c r="A435" t="s">
        <v>2522</v>
      </c>
      <c r="B435" t="s">
        <v>2523</v>
      </c>
      <c r="C435" s="1">
        <v>186</v>
      </c>
      <c r="D435" s="1">
        <v>1994</v>
      </c>
      <c r="E435" t="s">
        <v>64</v>
      </c>
      <c r="F435" t="s">
        <v>87</v>
      </c>
      <c r="G435" t="s">
        <v>697</v>
      </c>
      <c r="H435" t="s">
        <v>2524</v>
      </c>
      <c r="I435" t="s">
        <v>2525</v>
      </c>
      <c r="J435" t="s">
        <v>697</v>
      </c>
      <c r="K435" s="1">
        <v>3</v>
      </c>
      <c r="L435" t="s">
        <v>91</v>
      </c>
      <c r="M435" t="s">
        <v>70</v>
      </c>
      <c r="N435" t="s">
        <v>71</v>
      </c>
      <c r="P435" t="s">
        <v>72</v>
      </c>
      <c r="Q435" t="s">
        <v>73</v>
      </c>
      <c r="R435" t="s">
        <v>74</v>
      </c>
      <c r="S435" t="s">
        <v>607</v>
      </c>
      <c r="T435" s="2">
        <v>871</v>
      </c>
      <c r="U435" s="3">
        <v>2.5099999999999998</v>
      </c>
      <c r="V435" s="4">
        <v>2187</v>
      </c>
      <c r="AF435" s="5">
        <v>3.7633999999999999</v>
      </c>
      <c r="AI435" s="1">
        <v>3</v>
      </c>
      <c r="AJ435" t="s">
        <v>81</v>
      </c>
      <c r="AK435" t="s">
        <v>82</v>
      </c>
      <c r="AL435" t="s">
        <v>83</v>
      </c>
      <c r="AM435" s="3">
        <v>2.52</v>
      </c>
      <c r="AN435" s="4">
        <v>2648</v>
      </c>
      <c r="AO435" s="1">
        <v>1051</v>
      </c>
      <c r="AS435" s="3">
        <v>961062.9</v>
      </c>
      <c r="AW435" t="s">
        <v>84</v>
      </c>
      <c r="AY435" s="3">
        <v>2.5</v>
      </c>
      <c r="AZ435" s="4">
        <v>1868</v>
      </c>
      <c r="BA435" s="1">
        <v>748</v>
      </c>
      <c r="BB435" s="1">
        <v>110</v>
      </c>
      <c r="BC435" s="1">
        <v>76</v>
      </c>
    </row>
    <row r="436" spans="1:62" x14ac:dyDescent="0.25">
      <c r="A436" t="s">
        <v>2526</v>
      </c>
      <c r="B436" t="s">
        <v>2527</v>
      </c>
      <c r="C436" s="1">
        <v>160</v>
      </c>
      <c r="D436" s="1">
        <v>1998</v>
      </c>
      <c r="E436" t="s">
        <v>64</v>
      </c>
      <c r="F436" t="s">
        <v>123</v>
      </c>
      <c r="G436" t="s">
        <v>2528</v>
      </c>
      <c r="H436" t="s">
        <v>2529</v>
      </c>
      <c r="I436" t="s">
        <v>2530</v>
      </c>
      <c r="J436" t="s">
        <v>2528</v>
      </c>
      <c r="K436" s="1">
        <v>3</v>
      </c>
      <c r="L436" t="s">
        <v>91</v>
      </c>
      <c r="M436" t="s">
        <v>70</v>
      </c>
      <c r="N436" t="s">
        <v>71</v>
      </c>
      <c r="P436" t="s">
        <v>72</v>
      </c>
      <c r="Q436" t="s">
        <v>129</v>
      </c>
      <c r="R436" t="s">
        <v>74</v>
      </c>
      <c r="S436" t="s">
        <v>2531</v>
      </c>
      <c r="T436" s="2">
        <v>532</v>
      </c>
      <c r="U436" s="3">
        <v>6.79</v>
      </c>
      <c r="V436" s="4">
        <v>3619</v>
      </c>
      <c r="AF436" s="5">
        <v>16.25</v>
      </c>
      <c r="AI436" s="1">
        <v>3</v>
      </c>
      <c r="AJ436" t="s">
        <v>81</v>
      </c>
      <c r="AK436" t="s">
        <v>82</v>
      </c>
      <c r="AL436" t="s">
        <v>83</v>
      </c>
      <c r="AM436" s="3">
        <v>4.6399999999999997</v>
      </c>
      <c r="AN436" s="4">
        <v>3899</v>
      </c>
      <c r="AO436" s="1">
        <v>840</v>
      </c>
      <c r="AS436" s="3">
        <v>274163.7</v>
      </c>
      <c r="AT436" s="3">
        <v>9.33</v>
      </c>
      <c r="AU436" s="4">
        <v>3679</v>
      </c>
      <c r="AV436" s="6">
        <v>394</v>
      </c>
      <c r="AW436" t="s">
        <v>84</v>
      </c>
      <c r="AY436" s="3">
        <v>5.92</v>
      </c>
      <c r="AZ436" s="4">
        <v>3401</v>
      </c>
      <c r="BA436" s="1">
        <v>575</v>
      </c>
      <c r="BB436" s="1">
        <v>56</v>
      </c>
      <c r="BC436" s="1">
        <v>27</v>
      </c>
      <c r="BF436" t="s">
        <v>679</v>
      </c>
      <c r="BG436" t="s">
        <v>104</v>
      </c>
    </row>
    <row r="437" spans="1:62" x14ac:dyDescent="0.25">
      <c r="A437" t="s">
        <v>2532</v>
      </c>
      <c r="B437" t="s">
        <v>2533</v>
      </c>
      <c r="C437" s="1">
        <v>362</v>
      </c>
      <c r="D437" s="1">
        <v>1999</v>
      </c>
      <c r="E437" t="s">
        <v>64</v>
      </c>
      <c r="F437" t="s">
        <v>123</v>
      </c>
      <c r="G437" t="s">
        <v>199</v>
      </c>
      <c r="H437" t="s">
        <v>2534</v>
      </c>
      <c r="I437" t="s">
        <v>2535</v>
      </c>
      <c r="J437" t="s">
        <v>199</v>
      </c>
      <c r="K437" s="1">
        <v>4</v>
      </c>
      <c r="L437" t="s">
        <v>729</v>
      </c>
      <c r="M437" t="s">
        <v>70</v>
      </c>
      <c r="N437" t="s">
        <v>71</v>
      </c>
      <c r="P437" t="s">
        <v>72</v>
      </c>
      <c r="Q437" t="s">
        <v>129</v>
      </c>
      <c r="R437" t="s">
        <v>74</v>
      </c>
      <c r="S437" t="s">
        <v>2536</v>
      </c>
      <c r="T437" s="2">
        <v>979</v>
      </c>
      <c r="U437" s="3">
        <v>1.47</v>
      </c>
      <c r="V437" s="4">
        <v>1435</v>
      </c>
      <c r="AF437" s="5">
        <v>7.4585999999999997</v>
      </c>
      <c r="AI437" s="1">
        <v>3</v>
      </c>
      <c r="AJ437" t="s">
        <v>81</v>
      </c>
      <c r="AK437" t="s">
        <v>82</v>
      </c>
      <c r="AL437" t="s">
        <v>83</v>
      </c>
      <c r="AM437" s="3">
        <v>1.37</v>
      </c>
      <c r="AN437" s="4">
        <v>1517</v>
      </c>
      <c r="AO437" s="1">
        <v>1108</v>
      </c>
      <c r="AP437" s="3">
        <v>1.32</v>
      </c>
      <c r="AQ437" s="4">
        <v>1972</v>
      </c>
      <c r="AR437" s="1">
        <v>1493</v>
      </c>
      <c r="AS437" s="3">
        <v>1061055.8600000001</v>
      </c>
      <c r="AW437" t="s">
        <v>84</v>
      </c>
      <c r="AY437" s="3">
        <v>1.67</v>
      </c>
      <c r="AZ437" s="4">
        <v>1205</v>
      </c>
      <c r="BA437" s="1">
        <v>723</v>
      </c>
      <c r="BB437" s="1">
        <v>177</v>
      </c>
      <c r="BC437" s="1">
        <v>129</v>
      </c>
      <c r="BD437" s="1">
        <v>56</v>
      </c>
      <c r="BF437" t="s">
        <v>145</v>
      </c>
      <c r="BG437" t="s">
        <v>104</v>
      </c>
    </row>
    <row r="438" spans="1:62" x14ac:dyDescent="0.25">
      <c r="A438" t="s">
        <v>2537</v>
      </c>
      <c r="B438" t="s">
        <v>2538</v>
      </c>
      <c r="C438" s="1">
        <v>234</v>
      </c>
      <c r="D438" s="1">
        <v>1999</v>
      </c>
      <c r="E438" t="s">
        <v>64</v>
      </c>
      <c r="F438" t="s">
        <v>501</v>
      </c>
      <c r="G438" t="s">
        <v>2539</v>
      </c>
      <c r="H438" t="s">
        <v>2540</v>
      </c>
      <c r="I438" t="s">
        <v>2541</v>
      </c>
      <c r="J438" t="s">
        <v>2539</v>
      </c>
      <c r="K438" s="1">
        <v>3</v>
      </c>
      <c r="L438" t="s">
        <v>69</v>
      </c>
      <c r="M438" t="s">
        <v>70</v>
      </c>
      <c r="N438" t="s">
        <v>71</v>
      </c>
      <c r="O438" t="s">
        <v>118</v>
      </c>
      <c r="P438" t="s">
        <v>72</v>
      </c>
      <c r="Q438" t="s">
        <v>152</v>
      </c>
      <c r="R438" t="s">
        <v>74</v>
      </c>
      <c r="S438" t="s">
        <v>504</v>
      </c>
      <c r="T438" s="2">
        <v>1013</v>
      </c>
      <c r="U438" s="3">
        <v>1.23</v>
      </c>
      <c r="V438" s="4">
        <v>1246</v>
      </c>
      <c r="AF438" s="5">
        <v>11.9658</v>
      </c>
      <c r="AI438" s="1">
        <v>2</v>
      </c>
      <c r="AJ438" t="s">
        <v>81</v>
      </c>
      <c r="AK438" t="s">
        <v>82</v>
      </c>
      <c r="AL438" t="s">
        <v>83</v>
      </c>
      <c r="AM438" s="3">
        <v>1.23</v>
      </c>
      <c r="AN438" s="4">
        <v>1246</v>
      </c>
      <c r="AO438" s="1">
        <v>1014</v>
      </c>
      <c r="AS438" s="3">
        <v>361264.68</v>
      </c>
      <c r="AW438" t="s">
        <v>84</v>
      </c>
      <c r="BC438" s="1">
        <v>234</v>
      </c>
      <c r="BG438" t="s">
        <v>131</v>
      </c>
    </row>
    <row r="439" spans="1:62" x14ac:dyDescent="0.25">
      <c r="A439" t="s">
        <v>2542</v>
      </c>
      <c r="B439" t="s">
        <v>2543</v>
      </c>
      <c r="C439" s="1">
        <v>364</v>
      </c>
      <c r="D439" s="1">
        <v>1994</v>
      </c>
      <c r="E439" t="s">
        <v>64</v>
      </c>
      <c r="F439" t="s">
        <v>140</v>
      </c>
      <c r="G439" t="s">
        <v>2473</v>
      </c>
      <c r="H439" t="s">
        <v>2544</v>
      </c>
      <c r="I439" t="s">
        <v>2545</v>
      </c>
      <c r="J439" t="s">
        <v>2473</v>
      </c>
      <c r="K439" s="1">
        <v>4</v>
      </c>
      <c r="L439" t="s">
        <v>729</v>
      </c>
      <c r="M439" t="s">
        <v>70</v>
      </c>
      <c r="N439" t="s">
        <v>71</v>
      </c>
      <c r="P439" t="s">
        <v>72</v>
      </c>
      <c r="Q439" t="s">
        <v>140</v>
      </c>
      <c r="R439" t="s">
        <v>74</v>
      </c>
      <c r="S439" t="s">
        <v>2546</v>
      </c>
      <c r="T439" s="2">
        <v>934</v>
      </c>
      <c r="U439" s="3">
        <v>1.52</v>
      </c>
      <c r="V439" s="4">
        <v>1416</v>
      </c>
      <c r="AF439" s="5">
        <v>7.9669999999999996</v>
      </c>
      <c r="AH439" s="1">
        <v>2016</v>
      </c>
      <c r="AI439" s="1">
        <v>3</v>
      </c>
      <c r="AJ439" t="s">
        <v>81</v>
      </c>
      <c r="AK439" t="s">
        <v>82</v>
      </c>
      <c r="AL439" t="s">
        <v>83</v>
      </c>
      <c r="AM439" s="3">
        <v>1.51</v>
      </c>
      <c r="AN439" s="4">
        <v>1607</v>
      </c>
      <c r="AO439" s="1">
        <v>1064</v>
      </c>
      <c r="AP439" s="3">
        <v>1.36</v>
      </c>
      <c r="AQ439" s="4">
        <v>1857</v>
      </c>
      <c r="AR439" s="1">
        <v>1362</v>
      </c>
      <c r="AS439" s="3">
        <v>1042945.59</v>
      </c>
      <c r="AW439" t="s">
        <v>84</v>
      </c>
      <c r="AY439" s="3">
        <v>1.56</v>
      </c>
      <c r="AZ439" s="4">
        <v>1192</v>
      </c>
      <c r="BA439" s="1">
        <v>766</v>
      </c>
      <c r="BB439" s="1">
        <v>180</v>
      </c>
      <c r="BC439" s="1">
        <v>163</v>
      </c>
      <c r="BD439" s="1">
        <v>21</v>
      </c>
      <c r="BG439" t="s">
        <v>131</v>
      </c>
    </row>
    <row r="440" spans="1:62" x14ac:dyDescent="0.25">
      <c r="A440" t="s">
        <v>2547</v>
      </c>
      <c r="B440" t="s">
        <v>2548</v>
      </c>
      <c r="C440" s="1">
        <v>315</v>
      </c>
      <c r="D440" s="1">
        <v>1998</v>
      </c>
      <c r="E440" t="s">
        <v>64</v>
      </c>
      <c r="F440" t="s">
        <v>814</v>
      </c>
      <c r="G440" t="s">
        <v>2311</v>
      </c>
      <c r="H440" t="s">
        <v>2549</v>
      </c>
      <c r="I440" t="s">
        <v>2550</v>
      </c>
      <c r="J440" t="s">
        <v>2311</v>
      </c>
      <c r="K440" s="1">
        <v>3</v>
      </c>
      <c r="L440" t="s">
        <v>91</v>
      </c>
      <c r="M440" t="s">
        <v>70</v>
      </c>
      <c r="N440" t="s">
        <v>71</v>
      </c>
      <c r="P440" t="s">
        <v>72</v>
      </c>
      <c r="Q440" t="s">
        <v>814</v>
      </c>
      <c r="R440" t="s">
        <v>74</v>
      </c>
      <c r="S440" t="s">
        <v>816</v>
      </c>
      <c r="T440" s="2">
        <v>1219</v>
      </c>
      <c r="U440" s="3">
        <v>1.86</v>
      </c>
      <c r="V440" s="4">
        <v>2266</v>
      </c>
      <c r="AF440" s="5">
        <v>4.4443999999999999</v>
      </c>
      <c r="AH440" s="1">
        <v>2009</v>
      </c>
      <c r="AI440" s="1">
        <v>2</v>
      </c>
      <c r="AJ440" t="s">
        <v>81</v>
      </c>
      <c r="AK440" t="s">
        <v>82</v>
      </c>
      <c r="AL440" t="s">
        <v>83</v>
      </c>
      <c r="AM440" s="3">
        <v>1.96</v>
      </c>
      <c r="AN440" s="4">
        <v>2190</v>
      </c>
      <c r="AO440" s="1">
        <v>1118</v>
      </c>
      <c r="AP440" s="3">
        <v>1.56</v>
      </c>
      <c r="AQ440" s="4">
        <v>2756</v>
      </c>
      <c r="AR440" s="1">
        <v>1770</v>
      </c>
      <c r="AS440" s="3">
        <v>1793710.87</v>
      </c>
      <c r="AW440" t="s">
        <v>84</v>
      </c>
      <c r="AY440" s="3">
        <v>2.14</v>
      </c>
      <c r="AZ440" s="4">
        <v>1782</v>
      </c>
      <c r="BA440" s="1">
        <v>834</v>
      </c>
      <c r="BB440" s="1">
        <v>90</v>
      </c>
      <c r="BC440" s="1">
        <v>135</v>
      </c>
      <c r="BD440" s="1">
        <v>45</v>
      </c>
      <c r="BE440" s="1">
        <v>45</v>
      </c>
      <c r="BF440" t="s">
        <v>261</v>
      </c>
      <c r="BG440" t="s">
        <v>104</v>
      </c>
      <c r="BH440" s="3">
        <v>1.71</v>
      </c>
      <c r="BI440" s="4">
        <v>2975</v>
      </c>
      <c r="BJ440" s="1">
        <v>1741</v>
      </c>
    </row>
    <row r="441" spans="1:62" x14ac:dyDescent="0.25">
      <c r="A441" t="s">
        <v>2551</v>
      </c>
      <c r="B441" t="s">
        <v>2552</v>
      </c>
      <c r="C441" s="1">
        <v>136</v>
      </c>
      <c r="D441" s="1">
        <v>2000</v>
      </c>
      <c r="E441" t="s">
        <v>64</v>
      </c>
      <c r="F441" t="s">
        <v>814</v>
      </c>
      <c r="G441" t="s">
        <v>866</v>
      </c>
      <c r="H441" t="s">
        <v>2553</v>
      </c>
      <c r="I441" t="s">
        <v>2554</v>
      </c>
      <c r="J441" t="s">
        <v>866</v>
      </c>
      <c r="K441" s="1">
        <v>2</v>
      </c>
      <c r="L441" t="s">
        <v>69</v>
      </c>
      <c r="M441" t="s">
        <v>70</v>
      </c>
      <c r="N441" t="s">
        <v>127</v>
      </c>
      <c r="P441" t="s">
        <v>72</v>
      </c>
      <c r="Q441" t="s">
        <v>814</v>
      </c>
      <c r="R441" t="s">
        <v>74</v>
      </c>
      <c r="S441" t="s">
        <v>816</v>
      </c>
      <c r="AF441" s="5">
        <v>7.3529</v>
      </c>
      <c r="AI441" s="1">
        <v>1</v>
      </c>
      <c r="AJ441" t="s">
        <v>81</v>
      </c>
      <c r="AK441" t="s">
        <v>82</v>
      </c>
      <c r="AL441" t="s">
        <v>83</v>
      </c>
      <c r="AS441" s="3">
        <v>415017.66</v>
      </c>
      <c r="AW441" t="s">
        <v>84</v>
      </c>
    </row>
    <row r="442" spans="1:62" x14ac:dyDescent="0.25">
      <c r="A442" t="s">
        <v>2555</v>
      </c>
      <c r="B442" t="s">
        <v>2556</v>
      </c>
      <c r="C442" s="1">
        <v>148</v>
      </c>
      <c r="D442" s="1">
        <v>1995</v>
      </c>
      <c r="E442" t="s">
        <v>64</v>
      </c>
      <c r="F442" t="s">
        <v>123</v>
      </c>
      <c r="G442" t="s">
        <v>2557</v>
      </c>
      <c r="H442" t="s">
        <v>2558</v>
      </c>
      <c r="I442" t="s">
        <v>2559</v>
      </c>
      <c r="J442" t="s">
        <v>2557</v>
      </c>
      <c r="K442" s="1">
        <v>3</v>
      </c>
      <c r="L442" t="s">
        <v>91</v>
      </c>
      <c r="M442" t="s">
        <v>70</v>
      </c>
      <c r="N442" t="s">
        <v>71</v>
      </c>
      <c r="P442" t="s">
        <v>72</v>
      </c>
      <c r="Q442" t="s">
        <v>129</v>
      </c>
      <c r="R442" t="s">
        <v>74</v>
      </c>
      <c r="S442" t="s">
        <v>130</v>
      </c>
      <c r="T442" s="2">
        <v>910</v>
      </c>
      <c r="U442" s="3">
        <v>1.5</v>
      </c>
      <c r="V442" s="4">
        <v>1363</v>
      </c>
      <c r="AF442" s="5">
        <v>9.4595000000000002</v>
      </c>
      <c r="AI442" s="1">
        <v>1</v>
      </c>
      <c r="AJ442" t="s">
        <v>81</v>
      </c>
      <c r="AK442" t="s">
        <v>82</v>
      </c>
      <c r="AL442" t="s">
        <v>83</v>
      </c>
      <c r="AM442" s="3">
        <v>1.45</v>
      </c>
      <c r="AN442" s="4">
        <v>1495</v>
      </c>
      <c r="AO442" s="1">
        <v>1031</v>
      </c>
      <c r="AP442" s="3">
        <v>1.45</v>
      </c>
      <c r="AQ442" s="4">
        <v>1749</v>
      </c>
      <c r="AR442" s="1">
        <v>1208</v>
      </c>
      <c r="AS442" s="3">
        <v>358225.59</v>
      </c>
      <c r="AW442" t="s">
        <v>84</v>
      </c>
      <c r="AY442" s="3">
        <v>1.57</v>
      </c>
      <c r="AZ442" s="4">
        <v>1179</v>
      </c>
      <c r="BA442" s="1">
        <v>749</v>
      </c>
      <c r="BB442" s="1">
        <v>68</v>
      </c>
      <c r="BC442" s="1">
        <v>72</v>
      </c>
      <c r="BD442" s="1">
        <v>8</v>
      </c>
      <c r="BF442" t="s">
        <v>2247</v>
      </c>
      <c r="BG442" t="s">
        <v>131</v>
      </c>
    </row>
    <row r="443" spans="1:62" x14ac:dyDescent="0.25">
      <c r="A443" t="s">
        <v>2560</v>
      </c>
      <c r="B443" t="s">
        <v>2561</v>
      </c>
      <c r="C443" s="1">
        <v>230</v>
      </c>
      <c r="D443" s="1">
        <v>1999</v>
      </c>
      <c r="E443" t="s">
        <v>64</v>
      </c>
      <c r="F443" t="s">
        <v>660</v>
      </c>
      <c r="G443" t="s">
        <v>2562</v>
      </c>
      <c r="H443" t="s">
        <v>2563</v>
      </c>
      <c r="I443" t="s">
        <v>2564</v>
      </c>
      <c r="J443" t="s">
        <v>2562</v>
      </c>
      <c r="K443" s="1">
        <v>3</v>
      </c>
      <c r="L443" t="s">
        <v>91</v>
      </c>
      <c r="M443" t="s">
        <v>70</v>
      </c>
      <c r="N443" t="s">
        <v>71</v>
      </c>
      <c r="O443" t="s">
        <v>118</v>
      </c>
      <c r="P443" t="s">
        <v>72</v>
      </c>
      <c r="Q443" t="s">
        <v>664</v>
      </c>
      <c r="R443" t="s">
        <v>74</v>
      </c>
      <c r="S443" t="s">
        <v>2565</v>
      </c>
      <c r="T443" s="2">
        <v>932</v>
      </c>
      <c r="U443" s="3">
        <v>1.53</v>
      </c>
      <c r="V443" s="4">
        <v>1424</v>
      </c>
      <c r="AF443" s="5">
        <v>6.5217000000000001</v>
      </c>
      <c r="AI443" s="1">
        <v>3</v>
      </c>
      <c r="AJ443" t="s">
        <v>81</v>
      </c>
      <c r="AK443" t="s">
        <v>82</v>
      </c>
      <c r="AL443" t="s">
        <v>83</v>
      </c>
      <c r="AM443" s="3">
        <v>1.39</v>
      </c>
      <c r="AN443" s="4">
        <v>1441</v>
      </c>
      <c r="AO443" s="1">
        <v>1039</v>
      </c>
      <c r="AW443" t="s">
        <v>84</v>
      </c>
      <c r="AY443" s="3">
        <v>1.82</v>
      </c>
      <c r="AZ443" s="4">
        <v>1396</v>
      </c>
      <c r="BA443" s="1">
        <v>765</v>
      </c>
      <c r="BB443" s="1">
        <v>89</v>
      </c>
      <c r="BC443" s="1">
        <v>141</v>
      </c>
    </row>
    <row r="444" spans="1:62" x14ac:dyDescent="0.25">
      <c r="A444" t="s">
        <v>555</v>
      </c>
      <c r="C444" s="1">
        <v>58</v>
      </c>
      <c r="D444" s="1">
        <v>1990</v>
      </c>
      <c r="E444" t="s">
        <v>64</v>
      </c>
      <c r="F444" t="s">
        <v>439</v>
      </c>
      <c r="G444" t="s">
        <v>556</v>
      </c>
      <c r="I444" t="s">
        <v>557</v>
      </c>
      <c r="J444" t="s">
        <v>556</v>
      </c>
      <c r="K444" s="1">
        <v>2</v>
      </c>
      <c r="L444" t="s">
        <v>69</v>
      </c>
      <c r="M444" t="s">
        <v>70</v>
      </c>
      <c r="N444" t="s">
        <v>127</v>
      </c>
      <c r="P444" t="s">
        <v>72</v>
      </c>
      <c r="Q444" t="s">
        <v>558</v>
      </c>
      <c r="R444" t="s">
        <v>74</v>
      </c>
      <c r="S444" t="s">
        <v>559</v>
      </c>
      <c r="AF444" s="5">
        <v>8.6206999999999994</v>
      </c>
      <c r="AI444" s="1">
        <v>1</v>
      </c>
      <c r="AJ444" t="s">
        <v>81</v>
      </c>
      <c r="AK444" t="s">
        <v>82</v>
      </c>
      <c r="AL444" t="s">
        <v>83</v>
      </c>
      <c r="AS444" s="3">
        <v>10.64</v>
      </c>
      <c r="AW444" t="s">
        <v>84</v>
      </c>
      <c r="BB444" s="1">
        <v>58</v>
      </c>
    </row>
    <row r="445" spans="1:62" x14ac:dyDescent="0.25">
      <c r="A445" t="s">
        <v>2566</v>
      </c>
      <c r="B445" t="s">
        <v>2567</v>
      </c>
      <c r="C445" s="1">
        <v>289</v>
      </c>
      <c r="D445" s="1">
        <v>1997</v>
      </c>
      <c r="E445" t="s">
        <v>64</v>
      </c>
      <c r="F445" t="s">
        <v>123</v>
      </c>
      <c r="G445" t="s">
        <v>1155</v>
      </c>
      <c r="H445" t="s">
        <v>2568</v>
      </c>
      <c r="I445" t="s">
        <v>2569</v>
      </c>
      <c r="J445" t="s">
        <v>1155</v>
      </c>
      <c r="K445" s="1">
        <v>2</v>
      </c>
      <c r="L445" t="s">
        <v>69</v>
      </c>
      <c r="M445" t="s">
        <v>70</v>
      </c>
      <c r="N445" t="s">
        <v>127</v>
      </c>
      <c r="P445" t="s">
        <v>72</v>
      </c>
      <c r="Q445" t="s">
        <v>129</v>
      </c>
      <c r="R445" t="s">
        <v>74</v>
      </c>
      <c r="S445" t="s">
        <v>2570</v>
      </c>
      <c r="AF445" s="5">
        <v>7.9584999999999999</v>
      </c>
      <c r="AI445" s="1">
        <v>1</v>
      </c>
      <c r="AJ445" t="s">
        <v>81</v>
      </c>
      <c r="AK445" t="s">
        <v>82</v>
      </c>
      <c r="AL445" t="s">
        <v>83</v>
      </c>
      <c r="AS445" s="3">
        <v>275490.88</v>
      </c>
      <c r="AW445" t="s">
        <v>84</v>
      </c>
    </row>
    <row r="446" spans="1:62" x14ac:dyDescent="0.25">
      <c r="A446" t="s">
        <v>2571</v>
      </c>
      <c r="B446" t="s">
        <v>2572</v>
      </c>
      <c r="C446" s="1">
        <v>300</v>
      </c>
      <c r="D446" s="1">
        <v>1995</v>
      </c>
      <c r="E446" t="s">
        <v>64</v>
      </c>
      <c r="F446" t="s">
        <v>1133</v>
      </c>
      <c r="G446" t="s">
        <v>2573</v>
      </c>
      <c r="H446" t="s">
        <v>2574</v>
      </c>
      <c r="I446" t="s">
        <v>2575</v>
      </c>
      <c r="J446" t="s">
        <v>2573</v>
      </c>
      <c r="K446" s="1">
        <v>2</v>
      </c>
      <c r="L446" t="s">
        <v>69</v>
      </c>
      <c r="M446" t="s">
        <v>70</v>
      </c>
      <c r="N446" t="s">
        <v>71</v>
      </c>
      <c r="O446" t="s">
        <v>118</v>
      </c>
      <c r="P446" t="s">
        <v>72</v>
      </c>
      <c r="Q446" t="s">
        <v>264</v>
      </c>
      <c r="R446" t="s">
        <v>74</v>
      </c>
      <c r="S446" t="s">
        <v>2576</v>
      </c>
      <c r="T446" s="2">
        <v>832</v>
      </c>
      <c r="U446" s="3">
        <v>1.4</v>
      </c>
      <c r="V446" s="4">
        <v>1163</v>
      </c>
      <c r="AF446" s="5">
        <v>9.6667000000000005</v>
      </c>
      <c r="AI446" s="1">
        <v>3</v>
      </c>
      <c r="AJ446" t="s">
        <v>81</v>
      </c>
      <c r="AK446" t="s">
        <v>82</v>
      </c>
      <c r="AL446" t="s">
        <v>83</v>
      </c>
      <c r="AM446" s="3">
        <v>1.29</v>
      </c>
      <c r="AN446" s="4">
        <v>1163</v>
      </c>
      <c r="AO446" s="1">
        <v>900</v>
      </c>
      <c r="AP446" s="3">
        <v>1.68</v>
      </c>
      <c r="AQ446" s="4">
        <v>1850</v>
      </c>
      <c r="AR446" s="1">
        <v>1100</v>
      </c>
      <c r="AS446" s="3">
        <v>615802.6</v>
      </c>
      <c r="AW446" t="s">
        <v>84</v>
      </c>
      <c r="AY446" s="3">
        <v>1.37</v>
      </c>
      <c r="AZ446" s="4">
        <v>888</v>
      </c>
      <c r="BA446" s="1">
        <v>650</v>
      </c>
      <c r="BB446" s="1">
        <v>120</v>
      </c>
      <c r="BC446" s="1">
        <v>132</v>
      </c>
      <c r="BD446" s="1">
        <v>48</v>
      </c>
      <c r="BF446" t="s">
        <v>1403</v>
      </c>
      <c r="BG446" t="s">
        <v>131</v>
      </c>
    </row>
    <row r="447" spans="1:62" x14ac:dyDescent="0.25">
      <c r="A447" t="s">
        <v>2577</v>
      </c>
      <c r="B447" t="s">
        <v>2578</v>
      </c>
      <c r="C447" s="1">
        <v>267</v>
      </c>
      <c r="D447" s="1">
        <v>2000</v>
      </c>
      <c r="E447" t="s">
        <v>64</v>
      </c>
      <c r="F447" t="s">
        <v>1133</v>
      </c>
      <c r="G447" t="s">
        <v>687</v>
      </c>
      <c r="H447" t="s">
        <v>2579</v>
      </c>
      <c r="I447" t="s">
        <v>2580</v>
      </c>
      <c r="J447" t="s">
        <v>687</v>
      </c>
      <c r="K447" s="1">
        <v>4</v>
      </c>
      <c r="L447" t="s">
        <v>729</v>
      </c>
      <c r="M447" t="s">
        <v>70</v>
      </c>
      <c r="N447" t="s">
        <v>71</v>
      </c>
      <c r="P447" t="s">
        <v>72</v>
      </c>
      <c r="Q447" t="s">
        <v>264</v>
      </c>
      <c r="R447" t="s">
        <v>74</v>
      </c>
      <c r="S447" t="s">
        <v>2581</v>
      </c>
      <c r="T447" s="2">
        <v>1017</v>
      </c>
      <c r="U447" s="3">
        <v>1.8</v>
      </c>
      <c r="V447" s="4">
        <v>1827</v>
      </c>
      <c r="AF447" s="5">
        <v>2.9963000000000002</v>
      </c>
      <c r="AI447" s="1">
        <v>3</v>
      </c>
      <c r="AJ447" t="s">
        <v>81</v>
      </c>
      <c r="AK447" t="s">
        <v>82</v>
      </c>
      <c r="AL447" t="s">
        <v>83</v>
      </c>
      <c r="AM447" s="3">
        <v>1.83</v>
      </c>
      <c r="AN447" s="4">
        <v>2032</v>
      </c>
      <c r="AO447" s="1">
        <v>1111</v>
      </c>
      <c r="AP447" s="3">
        <v>1.8</v>
      </c>
      <c r="AQ447" s="4">
        <v>2599</v>
      </c>
      <c r="AR447" s="1">
        <v>1440</v>
      </c>
      <c r="AS447" s="3">
        <v>1189885.2</v>
      </c>
      <c r="AW447" t="s">
        <v>84</v>
      </c>
      <c r="AY447" s="3">
        <v>1.75</v>
      </c>
      <c r="AZ447" s="4">
        <v>1454</v>
      </c>
      <c r="BA447" s="1">
        <v>832</v>
      </c>
      <c r="BB447" s="1">
        <v>122</v>
      </c>
      <c r="BC447" s="1">
        <v>117</v>
      </c>
      <c r="BD447" s="1">
        <v>28</v>
      </c>
      <c r="BF447" t="s">
        <v>2203</v>
      </c>
      <c r="BG447" t="s">
        <v>104</v>
      </c>
    </row>
    <row r="448" spans="1:62" x14ac:dyDescent="0.25">
      <c r="A448" t="s">
        <v>2582</v>
      </c>
      <c r="B448" t="s">
        <v>2583</v>
      </c>
      <c r="C448" s="1">
        <v>231</v>
      </c>
      <c r="D448" s="1">
        <v>1995</v>
      </c>
      <c r="E448" t="s">
        <v>64</v>
      </c>
      <c r="F448" t="s">
        <v>1133</v>
      </c>
      <c r="G448" t="s">
        <v>1205</v>
      </c>
      <c r="H448" t="s">
        <v>2584</v>
      </c>
      <c r="I448" t="s">
        <v>2585</v>
      </c>
      <c r="J448" t="s">
        <v>1205</v>
      </c>
      <c r="K448" s="1">
        <v>4</v>
      </c>
      <c r="L448" t="s">
        <v>729</v>
      </c>
      <c r="M448" t="s">
        <v>70</v>
      </c>
      <c r="N448" t="s">
        <v>71</v>
      </c>
      <c r="P448" t="s">
        <v>72</v>
      </c>
      <c r="Q448" t="s">
        <v>264</v>
      </c>
      <c r="R448" t="s">
        <v>74</v>
      </c>
      <c r="S448" t="s">
        <v>2586</v>
      </c>
      <c r="T448" s="2">
        <v>1035</v>
      </c>
      <c r="U448" s="3">
        <v>1.8</v>
      </c>
      <c r="V448" s="4">
        <v>1865</v>
      </c>
      <c r="AF448" s="5">
        <v>5.6276999999999999</v>
      </c>
      <c r="AI448" s="1">
        <v>2</v>
      </c>
      <c r="AJ448" t="s">
        <v>81</v>
      </c>
      <c r="AK448" t="s">
        <v>82</v>
      </c>
      <c r="AL448" t="s">
        <v>83</v>
      </c>
      <c r="AM448" s="3">
        <v>1.78</v>
      </c>
      <c r="AN448" s="4">
        <v>1983</v>
      </c>
      <c r="AO448" s="1">
        <v>1114</v>
      </c>
      <c r="AP448" s="3">
        <v>1.71</v>
      </c>
      <c r="AQ448" s="4">
        <v>2388</v>
      </c>
      <c r="AR448" s="1">
        <v>1395</v>
      </c>
      <c r="AS448" s="3">
        <v>950845.76</v>
      </c>
      <c r="AW448" t="s">
        <v>84</v>
      </c>
      <c r="AY448" s="3">
        <v>1.9</v>
      </c>
      <c r="AZ448" s="4">
        <v>1514</v>
      </c>
      <c r="BA448" s="1">
        <v>798</v>
      </c>
      <c r="BB448" s="1">
        <v>79</v>
      </c>
      <c r="BC448" s="1">
        <v>128</v>
      </c>
      <c r="BD448" s="1">
        <v>24</v>
      </c>
    </row>
    <row r="449" spans="1:62" x14ac:dyDescent="0.25">
      <c r="A449" t="s">
        <v>2587</v>
      </c>
      <c r="B449" t="s">
        <v>2588</v>
      </c>
      <c r="C449" s="1">
        <v>351</v>
      </c>
      <c r="D449" s="1">
        <v>1997</v>
      </c>
      <c r="E449" t="s">
        <v>64</v>
      </c>
      <c r="F449" t="s">
        <v>660</v>
      </c>
      <c r="G449" t="s">
        <v>1038</v>
      </c>
      <c r="H449" t="s">
        <v>2589</v>
      </c>
      <c r="I449" t="s">
        <v>2590</v>
      </c>
      <c r="J449" t="s">
        <v>1038</v>
      </c>
      <c r="K449" s="1">
        <v>4</v>
      </c>
      <c r="L449" t="s">
        <v>91</v>
      </c>
      <c r="M449" t="s">
        <v>70</v>
      </c>
      <c r="N449" t="s">
        <v>71</v>
      </c>
      <c r="P449" t="s">
        <v>72</v>
      </c>
      <c r="Q449" t="s">
        <v>664</v>
      </c>
      <c r="R449" t="s">
        <v>74</v>
      </c>
      <c r="S449" t="s">
        <v>2591</v>
      </c>
      <c r="T449" s="2">
        <v>947</v>
      </c>
      <c r="U449" s="3">
        <v>1.5</v>
      </c>
      <c r="V449" s="4">
        <v>1418</v>
      </c>
      <c r="AF449" s="5">
        <v>7.6923000000000004</v>
      </c>
      <c r="AI449" s="1">
        <v>3</v>
      </c>
      <c r="AJ449" t="s">
        <v>81</v>
      </c>
      <c r="AK449" t="s">
        <v>82</v>
      </c>
      <c r="AL449" t="s">
        <v>83</v>
      </c>
      <c r="AM449" s="3">
        <v>1.46</v>
      </c>
      <c r="AN449" s="4">
        <v>1504</v>
      </c>
      <c r="AO449" s="1">
        <v>1027</v>
      </c>
      <c r="AP449" s="3">
        <v>1.4</v>
      </c>
      <c r="AQ449" s="4">
        <v>1843</v>
      </c>
      <c r="AR449" s="1">
        <v>1320</v>
      </c>
      <c r="AS449" s="3">
        <v>829894.83</v>
      </c>
      <c r="AW449" t="s">
        <v>84</v>
      </c>
      <c r="AY449" s="3">
        <v>1.6</v>
      </c>
      <c r="AZ449" s="4">
        <v>1196</v>
      </c>
      <c r="BA449" s="1">
        <v>749</v>
      </c>
      <c r="BB449" s="1">
        <v>149</v>
      </c>
      <c r="BC449" s="1">
        <v>156</v>
      </c>
      <c r="BD449" s="1">
        <v>46</v>
      </c>
    </row>
    <row r="450" spans="1:62" x14ac:dyDescent="0.25">
      <c r="A450" t="s">
        <v>2592</v>
      </c>
      <c r="B450" t="s">
        <v>2593</v>
      </c>
      <c r="C450" s="1">
        <v>148</v>
      </c>
      <c r="D450" s="1">
        <v>1999</v>
      </c>
      <c r="E450" t="s">
        <v>64</v>
      </c>
      <c r="F450" t="s">
        <v>1168</v>
      </c>
      <c r="G450" t="s">
        <v>2594</v>
      </c>
      <c r="H450" t="s">
        <v>2595</v>
      </c>
      <c r="I450" t="s">
        <v>2593</v>
      </c>
      <c r="J450" t="s">
        <v>2594</v>
      </c>
      <c r="K450" s="1">
        <v>3</v>
      </c>
      <c r="L450" t="s">
        <v>91</v>
      </c>
      <c r="M450" t="s">
        <v>70</v>
      </c>
      <c r="N450" t="s">
        <v>71</v>
      </c>
      <c r="O450" t="s">
        <v>118</v>
      </c>
      <c r="P450" t="s">
        <v>72</v>
      </c>
      <c r="Q450" t="s">
        <v>152</v>
      </c>
      <c r="R450" t="s">
        <v>74</v>
      </c>
      <c r="S450" t="s">
        <v>2596</v>
      </c>
      <c r="T450" s="2">
        <v>816</v>
      </c>
      <c r="U450" s="3">
        <v>1.28</v>
      </c>
      <c r="V450" s="4">
        <v>1049</v>
      </c>
      <c r="AF450" s="5">
        <v>2.0270000000000001</v>
      </c>
      <c r="AI450" s="1">
        <v>1</v>
      </c>
      <c r="AJ450" t="s">
        <v>81</v>
      </c>
      <c r="AK450" t="s">
        <v>82</v>
      </c>
      <c r="AL450" t="s">
        <v>83</v>
      </c>
      <c r="AM450" s="3">
        <v>1.37</v>
      </c>
      <c r="AN450" s="4">
        <v>1337</v>
      </c>
      <c r="AO450" s="1">
        <v>979</v>
      </c>
      <c r="AS450" s="3">
        <v>255851.4</v>
      </c>
      <c r="AW450" t="s">
        <v>84</v>
      </c>
      <c r="AY450" s="3">
        <v>1.23</v>
      </c>
      <c r="AZ450" s="4">
        <v>911</v>
      </c>
      <c r="BA450" s="1">
        <v>739</v>
      </c>
      <c r="BB450" s="1">
        <v>100</v>
      </c>
      <c r="BC450" s="1">
        <v>48</v>
      </c>
    </row>
    <row r="451" spans="1:62" x14ac:dyDescent="0.25">
      <c r="A451" t="s">
        <v>2597</v>
      </c>
      <c r="B451" t="s">
        <v>2598</v>
      </c>
      <c r="C451" s="1">
        <v>172</v>
      </c>
      <c r="D451" s="1">
        <v>1997</v>
      </c>
      <c r="E451" t="s">
        <v>64</v>
      </c>
      <c r="F451" t="s">
        <v>2063</v>
      </c>
      <c r="G451" t="s">
        <v>403</v>
      </c>
      <c r="H451" t="s">
        <v>2599</v>
      </c>
      <c r="I451" t="s">
        <v>2600</v>
      </c>
      <c r="J451" t="s">
        <v>403</v>
      </c>
      <c r="K451" s="1">
        <v>3</v>
      </c>
      <c r="L451" t="s">
        <v>91</v>
      </c>
      <c r="M451" t="s">
        <v>70</v>
      </c>
      <c r="N451" t="s">
        <v>71</v>
      </c>
      <c r="O451" t="s">
        <v>118</v>
      </c>
      <c r="P451" t="s">
        <v>72</v>
      </c>
      <c r="Q451" t="s">
        <v>152</v>
      </c>
      <c r="R451" t="s">
        <v>74</v>
      </c>
      <c r="S451" t="s">
        <v>2601</v>
      </c>
      <c r="T451" s="2">
        <v>824</v>
      </c>
      <c r="U451" s="3">
        <v>1.91</v>
      </c>
      <c r="V451" s="4">
        <v>1573</v>
      </c>
      <c r="AF451" s="5">
        <v>4.6512000000000002</v>
      </c>
      <c r="AI451" s="1">
        <v>1</v>
      </c>
      <c r="AJ451" t="s">
        <v>81</v>
      </c>
      <c r="AK451" t="s">
        <v>82</v>
      </c>
      <c r="AL451" t="s">
        <v>83</v>
      </c>
      <c r="AM451" s="3">
        <v>1.77</v>
      </c>
      <c r="AN451" s="4">
        <v>1564</v>
      </c>
      <c r="AO451" s="1">
        <v>884</v>
      </c>
      <c r="AP451" s="3">
        <v>1.71</v>
      </c>
      <c r="AQ451" s="4">
        <v>2068</v>
      </c>
      <c r="AR451" s="1">
        <v>1208</v>
      </c>
      <c r="AW451" t="s">
        <v>84</v>
      </c>
      <c r="AY451" s="3">
        <v>2.19</v>
      </c>
      <c r="AZ451" s="4">
        <v>1463</v>
      </c>
      <c r="BA451" s="1">
        <v>668</v>
      </c>
      <c r="BB451" s="1">
        <v>74</v>
      </c>
      <c r="BC451" s="1">
        <v>80</v>
      </c>
      <c r="BD451" s="1">
        <v>18</v>
      </c>
      <c r="BF451" t="s">
        <v>2602</v>
      </c>
      <c r="BG451" t="s">
        <v>131</v>
      </c>
    </row>
    <row r="452" spans="1:62" x14ac:dyDescent="0.25">
      <c r="A452" t="s">
        <v>2603</v>
      </c>
      <c r="B452" t="s">
        <v>2604</v>
      </c>
      <c r="C452" s="1">
        <v>548</v>
      </c>
      <c r="D452" s="1">
        <v>1998</v>
      </c>
      <c r="E452" t="s">
        <v>64</v>
      </c>
      <c r="F452" t="s">
        <v>140</v>
      </c>
      <c r="G452" t="s">
        <v>1277</v>
      </c>
      <c r="H452" t="s">
        <v>2605</v>
      </c>
      <c r="I452" t="s">
        <v>2606</v>
      </c>
      <c r="J452" t="s">
        <v>1277</v>
      </c>
      <c r="K452" s="1">
        <v>4</v>
      </c>
      <c r="L452" t="s">
        <v>729</v>
      </c>
      <c r="M452" t="s">
        <v>70</v>
      </c>
      <c r="N452" t="s">
        <v>71</v>
      </c>
      <c r="P452" t="s">
        <v>72</v>
      </c>
      <c r="Q452" t="s">
        <v>140</v>
      </c>
      <c r="R452" t="s">
        <v>74</v>
      </c>
      <c r="S452" t="s">
        <v>144</v>
      </c>
      <c r="T452" s="2">
        <v>1154</v>
      </c>
      <c r="U452" s="3">
        <v>1.7</v>
      </c>
      <c r="V452" s="4">
        <v>1961</v>
      </c>
      <c r="AF452" s="5">
        <v>7.8467000000000002</v>
      </c>
      <c r="AG452" s="1">
        <v>1</v>
      </c>
      <c r="AH452" s="1">
        <v>2022</v>
      </c>
      <c r="AI452" s="1">
        <v>2</v>
      </c>
      <c r="AJ452" t="s">
        <v>81</v>
      </c>
      <c r="AK452" t="s">
        <v>82</v>
      </c>
      <c r="AL452" t="s">
        <v>83</v>
      </c>
      <c r="AM452" s="3">
        <v>1.79</v>
      </c>
      <c r="AN452" s="4">
        <v>1940</v>
      </c>
      <c r="AO452" s="1">
        <v>1083</v>
      </c>
      <c r="AP452" s="3">
        <v>1.57</v>
      </c>
      <c r="AQ452" s="4">
        <v>2472</v>
      </c>
      <c r="AR452" s="1">
        <v>1574</v>
      </c>
      <c r="AS452" s="3">
        <v>1516104.84</v>
      </c>
      <c r="AW452" t="s">
        <v>84</v>
      </c>
      <c r="AY452" s="3">
        <v>1.8</v>
      </c>
      <c r="AZ452" s="4">
        <v>1453</v>
      </c>
      <c r="BA452" s="1">
        <v>807</v>
      </c>
      <c r="BB452" s="1">
        <v>158</v>
      </c>
      <c r="BC452" s="1">
        <v>242</v>
      </c>
      <c r="BD452" s="1">
        <v>111</v>
      </c>
      <c r="BE452" s="1">
        <v>37</v>
      </c>
      <c r="BF452" t="s">
        <v>2607</v>
      </c>
      <c r="BG452" t="s">
        <v>104</v>
      </c>
      <c r="BH452" s="3">
        <v>1.47</v>
      </c>
      <c r="BI452" s="4">
        <v>2731</v>
      </c>
      <c r="BJ452" s="1">
        <v>1855</v>
      </c>
    </row>
    <row r="453" spans="1:62" x14ac:dyDescent="0.25">
      <c r="A453" t="s">
        <v>2608</v>
      </c>
      <c r="B453" t="s">
        <v>2609</v>
      </c>
      <c r="C453" s="1">
        <v>160</v>
      </c>
      <c r="D453" s="1">
        <v>1999</v>
      </c>
      <c r="E453" t="s">
        <v>64</v>
      </c>
      <c r="F453" t="s">
        <v>531</v>
      </c>
      <c r="G453" t="s">
        <v>2610</v>
      </c>
      <c r="H453" t="s">
        <v>2611</v>
      </c>
      <c r="I453" t="s">
        <v>2610</v>
      </c>
      <c r="K453" s="1">
        <v>3</v>
      </c>
      <c r="L453" t="s">
        <v>91</v>
      </c>
      <c r="M453" t="s">
        <v>70</v>
      </c>
      <c r="N453" t="s">
        <v>71</v>
      </c>
      <c r="O453" t="s">
        <v>118</v>
      </c>
      <c r="P453" t="s">
        <v>72</v>
      </c>
      <c r="Q453" t="s">
        <v>531</v>
      </c>
      <c r="R453" t="s">
        <v>74</v>
      </c>
      <c r="S453" t="s">
        <v>2034</v>
      </c>
      <c r="T453" s="2">
        <v>1273</v>
      </c>
      <c r="U453" s="3">
        <v>1.52</v>
      </c>
      <c r="V453" s="4">
        <v>1934</v>
      </c>
      <c r="AF453" s="5">
        <v>5.625</v>
      </c>
      <c r="AI453" s="1">
        <v>2</v>
      </c>
      <c r="AJ453" t="s">
        <v>81</v>
      </c>
      <c r="AK453" t="s">
        <v>82</v>
      </c>
      <c r="AL453" t="s">
        <v>83</v>
      </c>
      <c r="AP453" s="3">
        <v>1.58</v>
      </c>
      <c r="AQ453" s="4">
        <v>1847</v>
      </c>
      <c r="AR453" s="1">
        <v>1167</v>
      </c>
      <c r="AS453" s="3">
        <v>337619.25</v>
      </c>
      <c r="AW453" t="s">
        <v>84</v>
      </c>
      <c r="BD453" s="1">
        <v>56</v>
      </c>
      <c r="BE453" s="1">
        <v>104</v>
      </c>
      <c r="BG453" t="s">
        <v>131</v>
      </c>
      <c r="BH453" s="3">
        <v>1.49</v>
      </c>
      <c r="BI453" s="4">
        <v>1981</v>
      </c>
      <c r="BJ453" s="1">
        <v>1331</v>
      </c>
    </row>
    <row r="454" spans="1:62" x14ac:dyDescent="0.25">
      <c r="A454" t="s">
        <v>2612</v>
      </c>
      <c r="B454" t="s">
        <v>2613</v>
      </c>
      <c r="C454" s="1">
        <v>224</v>
      </c>
      <c r="D454" s="1">
        <v>1996</v>
      </c>
      <c r="E454" t="s">
        <v>64</v>
      </c>
      <c r="F454" t="s">
        <v>734</v>
      </c>
      <c r="G454" t="s">
        <v>2614</v>
      </c>
      <c r="H454" t="s">
        <v>2615</v>
      </c>
      <c r="I454" t="s">
        <v>2616</v>
      </c>
      <c r="J454" t="s">
        <v>2614</v>
      </c>
      <c r="K454" s="1">
        <v>4</v>
      </c>
      <c r="L454" t="s">
        <v>91</v>
      </c>
      <c r="M454" t="s">
        <v>70</v>
      </c>
      <c r="N454" t="s">
        <v>71</v>
      </c>
      <c r="P454" t="s">
        <v>72</v>
      </c>
      <c r="Q454" t="s">
        <v>73</v>
      </c>
      <c r="R454" t="s">
        <v>74</v>
      </c>
      <c r="S454" t="s">
        <v>2617</v>
      </c>
      <c r="T454" s="2">
        <v>962</v>
      </c>
      <c r="U454" s="3">
        <v>1.82</v>
      </c>
      <c r="V454" s="4">
        <v>1756</v>
      </c>
      <c r="AF454" s="5">
        <v>4.0179</v>
      </c>
      <c r="AI454" s="1">
        <v>2</v>
      </c>
      <c r="AJ454" t="s">
        <v>81</v>
      </c>
      <c r="AK454" t="s">
        <v>82</v>
      </c>
      <c r="AL454" t="s">
        <v>83</v>
      </c>
      <c r="AM454" s="3">
        <v>1.82</v>
      </c>
      <c r="AN454" s="4">
        <v>2055</v>
      </c>
      <c r="AO454" s="1">
        <v>1132</v>
      </c>
      <c r="AP454" s="3">
        <v>1.76</v>
      </c>
      <c r="AQ454" s="4">
        <v>2268</v>
      </c>
      <c r="AR454" s="1">
        <v>1287</v>
      </c>
      <c r="AS454" s="3">
        <v>740275.67</v>
      </c>
      <c r="AW454" t="s">
        <v>84</v>
      </c>
      <c r="AY454" s="3">
        <v>1.83</v>
      </c>
      <c r="AZ454" s="4">
        <v>1513</v>
      </c>
      <c r="BA454" s="1">
        <v>828</v>
      </c>
      <c r="BB454" s="1">
        <v>131</v>
      </c>
      <c r="BC454" s="1">
        <v>81</v>
      </c>
      <c r="BD454" s="1">
        <v>12</v>
      </c>
      <c r="BG454" t="s">
        <v>131</v>
      </c>
    </row>
    <row r="455" spans="1:62" x14ac:dyDescent="0.25">
      <c r="A455" t="s">
        <v>2618</v>
      </c>
      <c r="B455" t="s">
        <v>2619</v>
      </c>
      <c r="C455" s="1">
        <v>376</v>
      </c>
      <c r="D455" s="1">
        <v>1994</v>
      </c>
      <c r="E455" t="s">
        <v>64</v>
      </c>
      <c r="F455" t="s">
        <v>734</v>
      </c>
      <c r="G455" t="s">
        <v>697</v>
      </c>
      <c r="H455" t="s">
        <v>2620</v>
      </c>
      <c r="I455" t="s">
        <v>2621</v>
      </c>
      <c r="J455" t="s">
        <v>697</v>
      </c>
      <c r="K455" s="1">
        <v>3</v>
      </c>
      <c r="L455" t="s">
        <v>91</v>
      </c>
      <c r="M455" t="s">
        <v>70</v>
      </c>
      <c r="N455" t="s">
        <v>71</v>
      </c>
      <c r="P455" t="s">
        <v>72</v>
      </c>
      <c r="Q455" t="s">
        <v>73</v>
      </c>
      <c r="R455" t="s">
        <v>74</v>
      </c>
      <c r="S455" t="s">
        <v>730</v>
      </c>
      <c r="T455" s="2">
        <v>904</v>
      </c>
      <c r="U455" s="3">
        <v>1.54</v>
      </c>
      <c r="V455" s="4">
        <v>1389</v>
      </c>
      <c r="AF455" s="5">
        <v>6.383</v>
      </c>
      <c r="AI455" s="1">
        <v>3</v>
      </c>
      <c r="AJ455" t="s">
        <v>81</v>
      </c>
      <c r="AK455" t="s">
        <v>82</v>
      </c>
      <c r="AL455" t="s">
        <v>83</v>
      </c>
      <c r="AM455" s="3">
        <v>1.43</v>
      </c>
      <c r="AN455" s="4">
        <v>1515</v>
      </c>
      <c r="AO455" s="1">
        <v>1056</v>
      </c>
      <c r="AP455" s="3">
        <v>1.57</v>
      </c>
      <c r="AQ455" s="4">
        <v>2124</v>
      </c>
      <c r="AR455" s="1">
        <v>1352</v>
      </c>
      <c r="AS455" s="3">
        <v>1132124.98</v>
      </c>
      <c r="AW455" t="s">
        <v>84</v>
      </c>
      <c r="AY455" s="3">
        <v>1.66</v>
      </c>
      <c r="AZ455" s="4">
        <v>1190</v>
      </c>
      <c r="BA455" s="1">
        <v>718</v>
      </c>
      <c r="BB455" s="1">
        <v>190</v>
      </c>
      <c r="BC455" s="1">
        <v>162</v>
      </c>
      <c r="BD455" s="1">
        <v>24</v>
      </c>
      <c r="BF455" t="s">
        <v>2622</v>
      </c>
      <c r="BG455" t="s">
        <v>131</v>
      </c>
    </row>
    <row r="456" spans="1:62" x14ac:dyDescent="0.25">
      <c r="A456" t="s">
        <v>2623</v>
      </c>
      <c r="B456" t="s">
        <v>2624</v>
      </c>
      <c r="C456" s="1">
        <v>224</v>
      </c>
      <c r="D456" s="1">
        <v>1996</v>
      </c>
      <c r="E456" t="s">
        <v>64</v>
      </c>
      <c r="F456" t="s">
        <v>734</v>
      </c>
      <c r="G456" t="s">
        <v>2625</v>
      </c>
      <c r="H456" t="s">
        <v>2626</v>
      </c>
      <c r="I456" t="s">
        <v>2627</v>
      </c>
      <c r="J456" t="s">
        <v>2625</v>
      </c>
      <c r="K456" s="1">
        <v>3</v>
      </c>
      <c r="L456" t="s">
        <v>91</v>
      </c>
      <c r="M456" t="s">
        <v>70</v>
      </c>
      <c r="N456" t="s">
        <v>71</v>
      </c>
      <c r="O456" t="s">
        <v>128</v>
      </c>
      <c r="P456" t="s">
        <v>72</v>
      </c>
      <c r="Q456" t="s">
        <v>73</v>
      </c>
      <c r="R456" t="s">
        <v>74</v>
      </c>
      <c r="S456" t="s">
        <v>730</v>
      </c>
      <c r="T456" s="2">
        <v>980</v>
      </c>
      <c r="U456" s="3">
        <v>1.71</v>
      </c>
      <c r="V456" s="4">
        <v>1677</v>
      </c>
      <c r="AF456" s="5">
        <v>9.8214000000000006</v>
      </c>
      <c r="AI456" s="1">
        <v>2</v>
      </c>
      <c r="AJ456" t="s">
        <v>81</v>
      </c>
      <c r="AK456" t="s">
        <v>82</v>
      </c>
      <c r="AL456" t="s">
        <v>83</v>
      </c>
      <c r="AM456" s="3">
        <v>1.62</v>
      </c>
      <c r="AN456" s="4">
        <v>1863</v>
      </c>
      <c r="AO456" s="1">
        <v>1153</v>
      </c>
      <c r="AP456" s="3">
        <v>1.63</v>
      </c>
      <c r="AQ456" s="4">
        <v>2713</v>
      </c>
      <c r="AR456" s="1">
        <v>1659</v>
      </c>
      <c r="AS456" s="3">
        <v>740775.26</v>
      </c>
      <c r="AW456" t="s">
        <v>84</v>
      </c>
      <c r="AY456" s="3">
        <v>1.81</v>
      </c>
      <c r="AZ456" s="4">
        <v>1468</v>
      </c>
      <c r="BA456" s="1">
        <v>812</v>
      </c>
      <c r="BB456" s="1">
        <v>131</v>
      </c>
      <c r="BC456" s="1">
        <v>81</v>
      </c>
      <c r="BD456" s="1">
        <v>12</v>
      </c>
      <c r="BF456" t="s">
        <v>2628</v>
      </c>
      <c r="BG456" t="s">
        <v>104</v>
      </c>
    </row>
    <row r="457" spans="1:62" x14ac:dyDescent="0.25">
      <c r="A457" t="s">
        <v>2629</v>
      </c>
      <c r="B457" t="s">
        <v>2630</v>
      </c>
      <c r="C457" s="1">
        <v>60</v>
      </c>
      <c r="D457" s="1">
        <v>1995</v>
      </c>
      <c r="E457" t="s">
        <v>64</v>
      </c>
      <c r="F457" t="s">
        <v>148</v>
      </c>
      <c r="G457" t="s">
        <v>2631</v>
      </c>
      <c r="H457" t="s">
        <v>2632</v>
      </c>
      <c r="I457" t="s">
        <v>2633</v>
      </c>
      <c r="J457" t="s">
        <v>2631</v>
      </c>
      <c r="K457" s="1">
        <v>3</v>
      </c>
      <c r="L457" t="s">
        <v>69</v>
      </c>
      <c r="M457" t="s">
        <v>70</v>
      </c>
      <c r="N457" t="s">
        <v>71</v>
      </c>
      <c r="O457" t="s">
        <v>426</v>
      </c>
      <c r="P457" t="s">
        <v>72</v>
      </c>
      <c r="Q457" t="s">
        <v>152</v>
      </c>
      <c r="R457" t="s">
        <v>74</v>
      </c>
      <c r="S457" t="s">
        <v>2634</v>
      </c>
      <c r="T457" s="2">
        <v>508</v>
      </c>
      <c r="U457" s="3">
        <v>1.95</v>
      </c>
      <c r="V457" s="4">
        <v>993</v>
      </c>
      <c r="AF457" s="5">
        <v>23.333300000000001</v>
      </c>
      <c r="AI457" s="1">
        <v>3</v>
      </c>
      <c r="AJ457" t="s">
        <v>81</v>
      </c>
      <c r="AK457" t="s">
        <v>82</v>
      </c>
      <c r="AL457" t="s">
        <v>83</v>
      </c>
      <c r="AT457" s="3">
        <v>1.99</v>
      </c>
      <c r="AU457" s="4">
        <v>824</v>
      </c>
      <c r="AV457" s="6">
        <v>415</v>
      </c>
      <c r="AW457" t="s">
        <v>84</v>
      </c>
      <c r="AY457" s="3">
        <v>1.94</v>
      </c>
      <c r="AZ457" s="4">
        <v>1049</v>
      </c>
      <c r="BA457" s="1">
        <v>540</v>
      </c>
      <c r="BB457" s="1">
        <v>45</v>
      </c>
    </row>
    <row r="458" spans="1:62" x14ac:dyDescent="0.25">
      <c r="A458" t="s">
        <v>2635</v>
      </c>
      <c r="B458" t="s">
        <v>2636</v>
      </c>
      <c r="C458" s="1">
        <v>60</v>
      </c>
      <c r="D458" s="1">
        <v>1995</v>
      </c>
      <c r="E458" t="s">
        <v>64</v>
      </c>
      <c r="F458" t="s">
        <v>148</v>
      </c>
      <c r="G458" t="s">
        <v>2637</v>
      </c>
      <c r="H458" t="s">
        <v>2638</v>
      </c>
      <c r="I458" t="s">
        <v>2639</v>
      </c>
      <c r="J458" t="s">
        <v>2637</v>
      </c>
      <c r="K458" s="1">
        <v>3</v>
      </c>
      <c r="L458" t="s">
        <v>69</v>
      </c>
      <c r="M458" t="s">
        <v>70</v>
      </c>
      <c r="N458" t="s">
        <v>71</v>
      </c>
      <c r="O458" t="s">
        <v>426</v>
      </c>
      <c r="P458" t="s">
        <v>72</v>
      </c>
      <c r="Q458" t="s">
        <v>152</v>
      </c>
      <c r="R458" t="s">
        <v>74</v>
      </c>
      <c r="S458" t="s">
        <v>2640</v>
      </c>
      <c r="T458" s="2">
        <v>530</v>
      </c>
      <c r="U458" s="3">
        <v>1.91</v>
      </c>
      <c r="V458" s="4">
        <v>1012</v>
      </c>
      <c r="AF458" s="5">
        <v>5</v>
      </c>
      <c r="AI458" s="1">
        <v>3</v>
      </c>
      <c r="AJ458" t="s">
        <v>81</v>
      </c>
      <c r="AK458" t="s">
        <v>82</v>
      </c>
      <c r="AL458" t="s">
        <v>83</v>
      </c>
      <c r="AT458" s="3">
        <v>1.72</v>
      </c>
      <c r="AU458" s="4">
        <v>824</v>
      </c>
      <c r="AV458" s="6">
        <v>480</v>
      </c>
      <c r="AW458" t="s">
        <v>84</v>
      </c>
      <c r="AY458" s="3">
        <v>1.94</v>
      </c>
      <c r="AZ458" s="4">
        <v>1049</v>
      </c>
      <c r="BA458" s="1">
        <v>540</v>
      </c>
      <c r="BB458" s="1">
        <v>50</v>
      </c>
    </row>
    <row r="459" spans="1:62" x14ac:dyDescent="0.25">
      <c r="A459" t="s">
        <v>2641</v>
      </c>
      <c r="B459" t="s">
        <v>2642</v>
      </c>
      <c r="C459" s="1">
        <v>240</v>
      </c>
      <c r="D459" s="1">
        <v>2000</v>
      </c>
      <c r="E459" t="s">
        <v>64</v>
      </c>
      <c r="F459" t="s">
        <v>228</v>
      </c>
      <c r="G459" t="s">
        <v>2643</v>
      </c>
      <c r="H459" t="s">
        <v>2644</v>
      </c>
      <c r="I459" t="s">
        <v>2645</v>
      </c>
      <c r="J459" t="s">
        <v>2643</v>
      </c>
      <c r="K459" s="1">
        <v>4</v>
      </c>
      <c r="L459" t="s">
        <v>91</v>
      </c>
      <c r="M459" t="s">
        <v>70</v>
      </c>
      <c r="N459" t="s">
        <v>71</v>
      </c>
      <c r="O459" t="s">
        <v>118</v>
      </c>
      <c r="P459" t="s">
        <v>72</v>
      </c>
      <c r="Q459" t="s">
        <v>393</v>
      </c>
      <c r="R459" t="s">
        <v>74</v>
      </c>
      <c r="S459" t="s">
        <v>2646</v>
      </c>
      <c r="T459" s="2">
        <v>947</v>
      </c>
      <c r="U459" s="3">
        <v>1.62</v>
      </c>
      <c r="V459" s="4">
        <v>1535</v>
      </c>
      <c r="AF459" s="5">
        <v>3.3332999999999999</v>
      </c>
      <c r="AI459" s="1">
        <v>2</v>
      </c>
      <c r="AJ459" t="s">
        <v>81</v>
      </c>
      <c r="AK459" t="s">
        <v>82</v>
      </c>
      <c r="AL459" t="s">
        <v>83</v>
      </c>
      <c r="AM459" s="3">
        <v>1.68</v>
      </c>
      <c r="AN459" s="4">
        <v>1705</v>
      </c>
      <c r="AO459" s="1">
        <v>1012</v>
      </c>
      <c r="AS459" s="3">
        <v>374319.65</v>
      </c>
      <c r="AW459" t="s">
        <v>84</v>
      </c>
      <c r="AY459" s="3">
        <v>1.54</v>
      </c>
      <c r="AZ459" s="4">
        <v>1364</v>
      </c>
      <c r="BA459" s="1">
        <v>883</v>
      </c>
      <c r="BB459" s="1">
        <v>120</v>
      </c>
      <c r="BC459" s="1">
        <v>120</v>
      </c>
      <c r="BG459" t="s">
        <v>131</v>
      </c>
    </row>
    <row r="460" spans="1:62" x14ac:dyDescent="0.25">
      <c r="A460" t="s">
        <v>2647</v>
      </c>
      <c r="B460" t="s">
        <v>2648</v>
      </c>
      <c r="C460" s="1">
        <v>100</v>
      </c>
      <c r="D460" s="1">
        <v>1996</v>
      </c>
      <c r="E460" t="s">
        <v>64</v>
      </c>
      <c r="F460" t="s">
        <v>756</v>
      </c>
      <c r="G460" t="s">
        <v>2649</v>
      </c>
      <c r="H460" t="s">
        <v>2650</v>
      </c>
      <c r="I460" t="s">
        <v>2651</v>
      </c>
      <c r="J460" t="s">
        <v>2649</v>
      </c>
      <c r="K460" s="1">
        <v>3</v>
      </c>
      <c r="L460" t="s">
        <v>91</v>
      </c>
      <c r="M460" t="s">
        <v>70</v>
      </c>
      <c r="N460" t="s">
        <v>71</v>
      </c>
      <c r="P460" t="s">
        <v>72</v>
      </c>
      <c r="Q460" t="s">
        <v>73</v>
      </c>
      <c r="R460" t="s">
        <v>74</v>
      </c>
      <c r="S460" t="s">
        <v>2652</v>
      </c>
      <c r="T460" s="2">
        <v>1279</v>
      </c>
      <c r="U460" s="3">
        <v>1.97</v>
      </c>
      <c r="V460" s="4">
        <v>2521</v>
      </c>
      <c r="AF460" s="5">
        <v>2</v>
      </c>
      <c r="AI460" s="1">
        <v>2</v>
      </c>
      <c r="AJ460" t="s">
        <v>81</v>
      </c>
      <c r="AK460" t="s">
        <v>82</v>
      </c>
      <c r="AL460" t="s">
        <v>83</v>
      </c>
      <c r="AM460" s="3">
        <v>1.87</v>
      </c>
      <c r="AN460" s="4">
        <v>2933</v>
      </c>
      <c r="AO460" s="1">
        <v>1570</v>
      </c>
      <c r="AS460" s="3">
        <v>598988.04</v>
      </c>
      <c r="AW460" t="s">
        <v>84</v>
      </c>
      <c r="AY460" s="3">
        <v>2.1</v>
      </c>
      <c r="AZ460" s="4">
        <v>2170</v>
      </c>
      <c r="BA460" s="1">
        <v>1032</v>
      </c>
      <c r="BB460" s="1">
        <v>54</v>
      </c>
      <c r="BC460" s="1">
        <v>46</v>
      </c>
    </row>
    <row r="461" spans="1:62" x14ac:dyDescent="0.25">
      <c r="A461" t="s">
        <v>2653</v>
      </c>
      <c r="B461" t="s">
        <v>2654</v>
      </c>
      <c r="C461" s="1">
        <v>422</v>
      </c>
      <c r="D461" s="1">
        <v>1998</v>
      </c>
      <c r="E461" t="s">
        <v>64</v>
      </c>
      <c r="F461" t="s">
        <v>123</v>
      </c>
      <c r="G461" t="s">
        <v>1038</v>
      </c>
      <c r="H461" t="s">
        <v>2655</v>
      </c>
      <c r="I461" t="s">
        <v>2656</v>
      </c>
      <c r="J461" t="s">
        <v>1038</v>
      </c>
      <c r="K461" s="1">
        <v>4</v>
      </c>
      <c r="L461" t="s">
        <v>729</v>
      </c>
      <c r="M461" t="s">
        <v>70</v>
      </c>
      <c r="N461" t="s">
        <v>71</v>
      </c>
      <c r="P461" t="s">
        <v>72</v>
      </c>
      <c r="Q461" t="s">
        <v>129</v>
      </c>
      <c r="R461" t="s">
        <v>74</v>
      </c>
      <c r="S461" t="s">
        <v>130</v>
      </c>
      <c r="T461" s="2">
        <v>986</v>
      </c>
      <c r="U461" s="3">
        <v>1.67</v>
      </c>
      <c r="V461" s="4">
        <v>1650</v>
      </c>
      <c r="AF461" s="5">
        <v>5.2133000000000003</v>
      </c>
      <c r="AI461" s="1">
        <v>3</v>
      </c>
      <c r="AJ461" t="s">
        <v>81</v>
      </c>
      <c r="AK461" t="s">
        <v>82</v>
      </c>
      <c r="AL461" t="s">
        <v>83</v>
      </c>
      <c r="AM461" s="3">
        <v>1.57</v>
      </c>
      <c r="AN461" s="4">
        <v>1798</v>
      </c>
      <c r="AO461" s="1">
        <v>1145</v>
      </c>
      <c r="AP461" s="3">
        <v>1.66</v>
      </c>
      <c r="AQ461" s="4">
        <v>2313</v>
      </c>
      <c r="AR461" s="1">
        <v>1389</v>
      </c>
      <c r="AS461" s="3">
        <v>1168198.3</v>
      </c>
      <c r="AW461" t="s">
        <v>84</v>
      </c>
      <c r="AY461" s="3">
        <v>1.81</v>
      </c>
      <c r="AZ461" s="4">
        <v>1421</v>
      </c>
      <c r="BA461" s="1">
        <v>785</v>
      </c>
      <c r="BB461" s="1">
        <v>206</v>
      </c>
      <c r="BC461" s="1">
        <v>186</v>
      </c>
      <c r="BD461" s="1">
        <v>30</v>
      </c>
    </row>
    <row r="462" spans="1:62" x14ac:dyDescent="0.25">
      <c r="A462" t="s">
        <v>593</v>
      </c>
      <c r="B462" t="s">
        <v>594</v>
      </c>
      <c r="C462" s="1">
        <v>202</v>
      </c>
      <c r="D462" s="1">
        <v>1990</v>
      </c>
      <c r="E462" t="s">
        <v>64</v>
      </c>
      <c r="F462" t="s">
        <v>140</v>
      </c>
      <c r="H462" t="s">
        <v>595</v>
      </c>
      <c r="K462" s="1">
        <v>2</v>
      </c>
      <c r="L462" t="s">
        <v>69</v>
      </c>
      <c r="M462" t="s">
        <v>70</v>
      </c>
      <c r="N462" t="s">
        <v>71</v>
      </c>
      <c r="P462" t="s">
        <v>72</v>
      </c>
      <c r="Q462" t="s">
        <v>140</v>
      </c>
      <c r="R462" t="s">
        <v>74</v>
      </c>
      <c r="S462" t="s">
        <v>596</v>
      </c>
      <c r="AI462" s="1">
        <v>2</v>
      </c>
      <c r="AJ462" t="s">
        <v>81</v>
      </c>
      <c r="AK462" t="s">
        <v>82</v>
      </c>
      <c r="AL462" t="s">
        <v>83</v>
      </c>
      <c r="AW462" t="s">
        <v>84</v>
      </c>
    </row>
    <row r="463" spans="1:62" x14ac:dyDescent="0.25">
      <c r="A463" t="s">
        <v>2657</v>
      </c>
      <c r="B463" t="s">
        <v>2658</v>
      </c>
      <c r="C463" s="1">
        <v>344</v>
      </c>
      <c r="D463" s="1">
        <v>2000</v>
      </c>
      <c r="E463" t="s">
        <v>64</v>
      </c>
      <c r="F463" t="s">
        <v>800</v>
      </c>
      <c r="G463" t="s">
        <v>2659</v>
      </c>
      <c r="H463" t="s">
        <v>2660</v>
      </c>
      <c r="I463" t="s">
        <v>2661</v>
      </c>
      <c r="J463" t="s">
        <v>2659</v>
      </c>
      <c r="K463" s="1">
        <v>4</v>
      </c>
      <c r="L463" t="s">
        <v>729</v>
      </c>
      <c r="M463" t="s">
        <v>70</v>
      </c>
      <c r="N463" t="s">
        <v>71</v>
      </c>
      <c r="P463" t="s">
        <v>72</v>
      </c>
      <c r="Q463" t="s">
        <v>800</v>
      </c>
      <c r="R463" t="s">
        <v>74</v>
      </c>
      <c r="S463" t="s">
        <v>2662</v>
      </c>
      <c r="T463" s="2">
        <v>951</v>
      </c>
      <c r="U463" s="3">
        <v>1.89</v>
      </c>
      <c r="V463" s="4">
        <v>1800</v>
      </c>
      <c r="AF463" s="5">
        <v>7.8487999999999998</v>
      </c>
      <c r="AI463" s="1">
        <v>2</v>
      </c>
      <c r="AJ463" t="s">
        <v>81</v>
      </c>
      <c r="AK463" t="s">
        <v>82</v>
      </c>
      <c r="AL463" t="s">
        <v>83</v>
      </c>
      <c r="AM463" s="3">
        <v>1.81</v>
      </c>
      <c r="AN463" s="4">
        <v>2010</v>
      </c>
      <c r="AO463" s="1">
        <v>1110</v>
      </c>
      <c r="AP463" s="3">
        <v>1.97</v>
      </c>
      <c r="AQ463" s="4">
        <v>2680</v>
      </c>
      <c r="AR463" s="1">
        <v>1364</v>
      </c>
      <c r="AS463" s="3">
        <v>373767</v>
      </c>
      <c r="AW463" t="s">
        <v>84</v>
      </c>
      <c r="AY463" s="3">
        <v>1.96</v>
      </c>
      <c r="AZ463" s="4">
        <v>1541</v>
      </c>
      <c r="BA463" s="1">
        <v>787</v>
      </c>
      <c r="BB463" s="1">
        <v>188</v>
      </c>
      <c r="BC463" s="1">
        <v>132</v>
      </c>
      <c r="BD463" s="1">
        <v>24</v>
      </c>
      <c r="BF463" t="s">
        <v>2663</v>
      </c>
      <c r="BG463" t="s">
        <v>131</v>
      </c>
    </row>
    <row r="464" spans="1:62" x14ac:dyDescent="0.25">
      <c r="A464" t="s">
        <v>2664</v>
      </c>
      <c r="B464" t="s">
        <v>2665</v>
      </c>
      <c r="C464" s="1">
        <v>250</v>
      </c>
      <c r="D464" s="1">
        <v>1998</v>
      </c>
      <c r="E464" t="s">
        <v>64</v>
      </c>
      <c r="F464" t="s">
        <v>215</v>
      </c>
      <c r="G464" t="s">
        <v>2666</v>
      </c>
      <c r="H464" t="s">
        <v>2667</v>
      </c>
      <c r="I464" t="s">
        <v>2668</v>
      </c>
      <c r="J464" t="s">
        <v>2666</v>
      </c>
      <c r="K464" s="1">
        <v>4</v>
      </c>
      <c r="L464" t="s">
        <v>91</v>
      </c>
      <c r="M464" t="s">
        <v>70</v>
      </c>
      <c r="N464" t="s">
        <v>71</v>
      </c>
      <c r="P464" t="s">
        <v>72</v>
      </c>
      <c r="Q464" t="s">
        <v>215</v>
      </c>
      <c r="R464" t="s">
        <v>74</v>
      </c>
      <c r="S464" t="s">
        <v>2669</v>
      </c>
      <c r="T464" s="2">
        <v>926</v>
      </c>
      <c r="U464" s="3">
        <v>1.1499999999999999</v>
      </c>
      <c r="V464" s="4">
        <v>1068</v>
      </c>
      <c r="AF464" s="5">
        <v>5.6</v>
      </c>
      <c r="AI464" s="1">
        <v>2</v>
      </c>
      <c r="AJ464" t="s">
        <v>81</v>
      </c>
      <c r="AK464" t="s">
        <v>82</v>
      </c>
      <c r="AL464" t="s">
        <v>83</v>
      </c>
      <c r="AM464" s="3">
        <v>1.1200000000000001</v>
      </c>
      <c r="AN464" s="4">
        <v>1047</v>
      </c>
      <c r="AO464" s="1">
        <v>937</v>
      </c>
      <c r="AP464" s="3">
        <v>1.1499999999999999</v>
      </c>
      <c r="AQ464" s="4">
        <v>1193</v>
      </c>
      <c r="AR464" s="1">
        <v>1035</v>
      </c>
      <c r="AS464" s="3">
        <v>432624.02</v>
      </c>
      <c r="AW464" t="s">
        <v>84</v>
      </c>
      <c r="AY464" s="3">
        <v>1.25</v>
      </c>
      <c r="AZ464" s="4">
        <v>861</v>
      </c>
      <c r="BA464" s="1">
        <v>690</v>
      </c>
      <c r="BB464" s="1">
        <v>50</v>
      </c>
      <c r="BC464" s="1">
        <v>100</v>
      </c>
      <c r="BD464" s="1">
        <v>100</v>
      </c>
      <c r="BF464" t="s">
        <v>2670</v>
      </c>
      <c r="BG464" t="s">
        <v>104</v>
      </c>
    </row>
    <row r="465" spans="1:62" x14ac:dyDescent="0.25">
      <c r="A465" t="s">
        <v>2671</v>
      </c>
      <c r="B465" t="s">
        <v>2672</v>
      </c>
      <c r="C465" s="1">
        <v>250</v>
      </c>
      <c r="D465" s="1">
        <v>1997</v>
      </c>
      <c r="E465" t="s">
        <v>64</v>
      </c>
      <c r="F465" t="s">
        <v>611</v>
      </c>
      <c r="G465" t="s">
        <v>2673</v>
      </c>
      <c r="H465" t="s">
        <v>2674</v>
      </c>
      <c r="I465" t="s">
        <v>2675</v>
      </c>
      <c r="J465" t="s">
        <v>2673</v>
      </c>
      <c r="K465" s="1">
        <v>3</v>
      </c>
      <c r="L465" t="s">
        <v>91</v>
      </c>
      <c r="M465" t="s">
        <v>70</v>
      </c>
      <c r="N465" t="s">
        <v>71</v>
      </c>
      <c r="O465" t="s">
        <v>118</v>
      </c>
      <c r="P465" t="s">
        <v>72</v>
      </c>
      <c r="Q465" t="s">
        <v>611</v>
      </c>
      <c r="R465" t="s">
        <v>74</v>
      </c>
      <c r="S465" t="s">
        <v>2676</v>
      </c>
      <c r="T465" s="2">
        <v>1145</v>
      </c>
      <c r="U465" s="3">
        <v>1.28</v>
      </c>
      <c r="V465" s="4">
        <v>1461</v>
      </c>
      <c r="AF465" s="5">
        <v>21.2</v>
      </c>
      <c r="AI465" s="1">
        <v>2</v>
      </c>
      <c r="AJ465" t="s">
        <v>81</v>
      </c>
      <c r="AK465" t="s">
        <v>82</v>
      </c>
      <c r="AL465" t="s">
        <v>83</v>
      </c>
      <c r="AM465" s="3">
        <v>1.31</v>
      </c>
      <c r="AN465" s="4">
        <v>1329</v>
      </c>
      <c r="AO465" s="1">
        <v>1015</v>
      </c>
      <c r="AP465" s="3">
        <v>1.24</v>
      </c>
      <c r="AQ465" s="4">
        <v>1472</v>
      </c>
      <c r="AR465" s="1">
        <v>1184</v>
      </c>
      <c r="AS465" s="3">
        <v>545697.84</v>
      </c>
      <c r="AW465" t="s">
        <v>84</v>
      </c>
      <c r="BC465" s="1">
        <v>108</v>
      </c>
      <c r="BD465" s="1">
        <v>104</v>
      </c>
      <c r="BE465" s="1">
        <v>38</v>
      </c>
      <c r="BF465" t="s">
        <v>2677</v>
      </c>
      <c r="BG465" t="s">
        <v>104</v>
      </c>
      <c r="BH465" s="3">
        <v>1.28</v>
      </c>
      <c r="BI465" s="4">
        <v>1807</v>
      </c>
      <c r="BJ465" s="1">
        <v>1413</v>
      </c>
    </row>
    <row r="466" spans="1:62" x14ac:dyDescent="0.25">
      <c r="A466" t="s">
        <v>2678</v>
      </c>
      <c r="B466" t="s">
        <v>2679</v>
      </c>
      <c r="C466" s="1">
        <v>240</v>
      </c>
      <c r="D466" s="1">
        <v>2000</v>
      </c>
      <c r="E466" t="s">
        <v>64</v>
      </c>
      <c r="F466" t="s">
        <v>611</v>
      </c>
      <c r="G466" t="s">
        <v>199</v>
      </c>
      <c r="H466" t="s">
        <v>2680</v>
      </c>
      <c r="I466" t="s">
        <v>2681</v>
      </c>
      <c r="J466" t="s">
        <v>199</v>
      </c>
      <c r="K466" s="1">
        <v>4</v>
      </c>
      <c r="L466" t="s">
        <v>729</v>
      </c>
      <c r="M466" t="s">
        <v>70</v>
      </c>
      <c r="N466" t="s">
        <v>71</v>
      </c>
      <c r="P466" t="s">
        <v>72</v>
      </c>
      <c r="Q466" t="s">
        <v>611</v>
      </c>
      <c r="R466" t="s">
        <v>74</v>
      </c>
      <c r="S466" t="s">
        <v>615</v>
      </c>
      <c r="T466" s="2">
        <v>821</v>
      </c>
      <c r="U466" s="3">
        <v>1.63</v>
      </c>
      <c r="V466" s="4">
        <v>1341</v>
      </c>
      <c r="AF466" s="5">
        <v>10.416700000000001</v>
      </c>
      <c r="AH466" s="1">
        <v>2014</v>
      </c>
      <c r="AI466" s="1">
        <v>3</v>
      </c>
      <c r="AJ466" t="s">
        <v>81</v>
      </c>
      <c r="AK466" t="s">
        <v>82</v>
      </c>
      <c r="AL466" t="s">
        <v>83</v>
      </c>
      <c r="AM466" s="3">
        <v>1.56</v>
      </c>
      <c r="AN466" s="4">
        <v>1542</v>
      </c>
      <c r="AO466" s="1">
        <v>989</v>
      </c>
      <c r="AP466" s="3">
        <v>1.71</v>
      </c>
      <c r="AQ466" s="4">
        <v>2067</v>
      </c>
      <c r="AR466" s="1">
        <v>1207</v>
      </c>
      <c r="AS466" s="3">
        <v>926549.46</v>
      </c>
      <c r="AW466" t="s">
        <v>84</v>
      </c>
      <c r="AY466" s="3">
        <v>1.67</v>
      </c>
      <c r="AZ466" s="4">
        <v>1131</v>
      </c>
      <c r="BA466" s="1">
        <v>676</v>
      </c>
      <c r="BB466" s="1">
        <v>134</v>
      </c>
      <c r="BC466" s="1">
        <v>98</v>
      </c>
      <c r="BD466" s="1">
        <v>8</v>
      </c>
      <c r="BF466" t="s">
        <v>1708</v>
      </c>
      <c r="BG466" t="s">
        <v>104</v>
      </c>
    </row>
    <row r="467" spans="1:62" x14ac:dyDescent="0.25">
      <c r="A467" t="s">
        <v>2682</v>
      </c>
      <c r="B467" t="s">
        <v>2683</v>
      </c>
      <c r="C467" s="1">
        <v>212</v>
      </c>
      <c r="D467" s="1">
        <v>1998</v>
      </c>
      <c r="E467" t="s">
        <v>64</v>
      </c>
      <c r="F467" t="s">
        <v>625</v>
      </c>
      <c r="G467" t="s">
        <v>2684</v>
      </c>
      <c r="H467" t="s">
        <v>2685</v>
      </c>
      <c r="I467" t="s">
        <v>2686</v>
      </c>
      <c r="J467" t="s">
        <v>2684</v>
      </c>
      <c r="K467" s="1">
        <v>3</v>
      </c>
      <c r="L467" t="s">
        <v>91</v>
      </c>
      <c r="M467" t="s">
        <v>70</v>
      </c>
      <c r="N467" t="s">
        <v>71</v>
      </c>
      <c r="O467" t="s">
        <v>118</v>
      </c>
      <c r="P467" t="s">
        <v>72</v>
      </c>
      <c r="Q467" t="s">
        <v>73</v>
      </c>
      <c r="R467" t="s">
        <v>74</v>
      </c>
      <c r="S467" t="s">
        <v>2687</v>
      </c>
      <c r="T467" s="2">
        <v>777</v>
      </c>
      <c r="U467" s="3">
        <v>1.66</v>
      </c>
      <c r="V467" s="4">
        <v>1288</v>
      </c>
      <c r="AF467" s="5">
        <v>0.94340000000000002</v>
      </c>
      <c r="AI467" s="1">
        <v>2</v>
      </c>
      <c r="AJ467" t="s">
        <v>81</v>
      </c>
      <c r="AK467" t="s">
        <v>82</v>
      </c>
      <c r="AL467" t="s">
        <v>83</v>
      </c>
      <c r="AM467" s="3">
        <v>1.53</v>
      </c>
      <c r="AN467" s="4">
        <v>1406</v>
      </c>
      <c r="AO467" s="1">
        <v>920</v>
      </c>
      <c r="AS467" s="3">
        <v>843983.05</v>
      </c>
      <c r="AW467" t="s">
        <v>84</v>
      </c>
      <c r="AY467" s="3">
        <v>1.83</v>
      </c>
      <c r="AZ467" s="4">
        <v>1180</v>
      </c>
      <c r="BA467" s="1">
        <v>645</v>
      </c>
      <c r="BB467" s="1">
        <v>110</v>
      </c>
      <c r="BC467" s="1">
        <v>102</v>
      </c>
      <c r="BG467" t="s">
        <v>131</v>
      </c>
    </row>
    <row r="468" spans="1:62" x14ac:dyDescent="0.25">
      <c r="A468" t="s">
        <v>2688</v>
      </c>
      <c r="B468" t="s">
        <v>2689</v>
      </c>
      <c r="C468" s="1">
        <v>184</v>
      </c>
      <c r="D468" s="1">
        <v>1999</v>
      </c>
      <c r="E468" t="s">
        <v>64</v>
      </c>
      <c r="F468" t="s">
        <v>545</v>
      </c>
      <c r="G468" t="s">
        <v>546</v>
      </c>
      <c r="H468" t="s">
        <v>2690</v>
      </c>
      <c r="I468" t="s">
        <v>2691</v>
      </c>
      <c r="J468" t="s">
        <v>546</v>
      </c>
      <c r="K468" s="1">
        <v>3</v>
      </c>
      <c r="L468" t="s">
        <v>91</v>
      </c>
      <c r="M468" t="s">
        <v>70</v>
      </c>
      <c r="N468" t="s">
        <v>71</v>
      </c>
      <c r="P468" t="s">
        <v>72</v>
      </c>
      <c r="Q468" t="s">
        <v>73</v>
      </c>
      <c r="R468" t="s">
        <v>74</v>
      </c>
      <c r="S468" t="s">
        <v>2692</v>
      </c>
      <c r="T468" s="2">
        <v>1157</v>
      </c>
      <c r="U468" s="3">
        <v>1.37</v>
      </c>
      <c r="V468" s="4">
        <v>1585</v>
      </c>
      <c r="AF468" s="5">
        <v>3.8043</v>
      </c>
      <c r="AI468" s="1">
        <v>2</v>
      </c>
      <c r="AJ468" t="s">
        <v>81</v>
      </c>
      <c r="AK468" t="s">
        <v>82</v>
      </c>
      <c r="AL468" t="s">
        <v>83</v>
      </c>
      <c r="AM468" s="3">
        <v>1.29</v>
      </c>
      <c r="AN468" s="4">
        <v>1350</v>
      </c>
      <c r="AO468" s="1">
        <v>1050</v>
      </c>
      <c r="AP468" s="3">
        <v>1.42</v>
      </c>
      <c r="AQ468" s="4">
        <v>1705</v>
      </c>
      <c r="AR468" s="1">
        <v>1204</v>
      </c>
      <c r="AS468" s="3">
        <v>681352.62</v>
      </c>
      <c r="AW468" t="s">
        <v>84</v>
      </c>
      <c r="BC468" s="1">
        <v>72</v>
      </c>
      <c r="BD468" s="1">
        <v>104</v>
      </c>
      <c r="BE468" s="1">
        <v>8</v>
      </c>
      <c r="BG468" t="s">
        <v>131</v>
      </c>
      <c r="BH468" s="3">
        <v>1.4</v>
      </c>
      <c r="BI468" s="4">
        <v>2130</v>
      </c>
      <c r="BJ468" s="1">
        <v>1521</v>
      </c>
    </row>
    <row r="469" spans="1:62" x14ac:dyDescent="0.25">
      <c r="A469" t="s">
        <v>2693</v>
      </c>
      <c r="B469" t="s">
        <v>2694</v>
      </c>
      <c r="C469" s="1">
        <v>156</v>
      </c>
      <c r="D469" s="1">
        <v>1997</v>
      </c>
      <c r="E469" t="s">
        <v>64</v>
      </c>
      <c r="F469" t="s">
        <v>97</v>
      </c>
      <c r="G469" t="s">
        <v>1155</v>
      </c>
      <c r="H469" t="s">
        <v>2695</v>
      </c>
      <c r="I469" t="s">
        <v>2696</v>
      </c>
      <c r="J469" t="s">
        <v>1155</v>
      </c>
      <c r="K469" s="1">
        <v>2</v>
      </c>
      <c r="L469" t="s">
        <v>69</v>
      </c>
      <c r="M469" t="s">
        <v>70</v>
      </c>
      <c r="N469" t="s">
        <v>127</v>
      </c>
      <c r="P469" t="s">
        <v>72</v>
      </c>
      <c r="Q469" t="s">
        <v>1662</v>
      </c>
      <c r="R469" t="s">
        <v>74</v>
      </c>
      <c r="S469" t="s">
        <v>1663</v>
      </c>
      <c r="AF469" s="5">
        <v>8.9743999999999993</v>
      </c>
      <c r="AI469" s="1">
        <v>1</v>
      </c>
      <c r="AJ469" t="s">
        <v>81</v>
      </c>
      <c r="AK469" t="s">
        <v>82</v>
      </c>
      <c r="AL469" t="s">
        <v>83</v>
      </c>
      <c r="AS469" s="3">
        <v>393890.11</v>
      </c>
      <c r="AW469" t="s">
        <v>84</v>
      </c>
    </row>
    <row r="470" spans="1:62" x14ac:dyDescent="0.25">
      <c r="A470" t="s">
        <v>2697</v>
      </c>
      <c r="B470" t="s">
        <v>2698</v>
      </c>
      <c r="C470" s="1">
        <v>170</v>
      </c>
      <c r="D470" s="1">
        <v>1999</v>
      </c>
      <c r="E470" t="s">
        <v>64</v>
      </c>
      <c r="F470" t="s">
        <v>211</v>
      </c>
      <c r="G470" t="s">
        <v>562</v>
      </c>
      <c r="H470" t="s">
        <v>2699</v>
      </c>
      <c r="I470" t="s">
        <v>2700</v>
      </c>
      <c r="J470" t="s">
        <v>562</v>
      </c>
      <c r="K470" s="1">
        <v>4</v>
      </c>
      <c r="L470" t="s">
        <v>91</v>
      </c>
      <c r="M470" t="s">
        <v>70</v>
      </c>
      <c r="N470" t="s">
        <v>71</v>
      </c>
      <c r="P470" t="s">
        <v>72</v>
      </c>
      <c r="Q470" t="s">
        <v>215</v>
      </c>
      <c r="R470" t="s">
        <v>74</v>
      </c>
      <c r="S470" t="s">
        <v>216</v>
      </c>
      <c r="T470" s="2">
        <v>941</v>
      </c>
      <c r="U470" s="3">
        <v>1.42</v>
      </c>
      <c r="V470" s="4">
        <v>1340</v>
      </c>
      <c r="AF470" s="5">
        <v>5.8823999999999996</v>
      </c>
      <c r="AI470" s="1">
        <v>3</v>
      </c>
      <c r="AJ470" t="s">
        <v>81</v>
      </c>
      <c r="AK470" t="s">
        <v>82</v>
      </c>
      <c r="AL470" t="s">
        <v>83</v>
      </c>
      <c r="AM470" s="3">
        <v>1.48</v>
      </c>
      <c r="AN470" s="4">
        <v>1501</v>
      </c>
      <c r="AO470" s="1">
        <v>1012</v>
      </c>
      <c r="AP470" s="3">
        <v>1.29</v>
      </c>
      <c r="AQ470" s="4">
        <v>1720</v>
      </c>
      <c r="AR470" s="1">
        <v>1332</v>
      </c>
      <c r="AS470" s="3">
        <v>540066.89</v>
      </c>
      <c r="AW470" t="s">
        <v>84</v>
      </c>
      <c r="AY470" s="3">
        <v>1.43</v>
      </c>
      <c r="AZ470" s="4">
        <v>1178</v>
      </c>
      <c r="BA470" s="1">
        <v>824</v>
      </c>
      <c r="BB470" s="1">
        <v>98</v>
      </c>
      <c r="BC470" s="1">
        <v>52</v>
      </c>
      <c r="BD470" s="1">
        <v>20</v>
      </c>
      <c r="BF470" t="s">
        <v>566</v>
      </c>
      <c r="BG470" t="s">
        <v>104</v>
      </c>
    </row>
    <row r="471" spans="1:62" x14ac:dyDescent="0.25">
      <c r="A471" t="s">
        <v>2701</v>
      </c>
      <c r="B471" t="s">
        <v>2702</v>
      </c>
      <c r="C471" s="1">
        <v>152</v>
      </c>
      <c r="D471" s="1">
        <v>1995</v>
      </c>
      <c r="E471" t="s">
        <v>64</v>
      </c>
      <c r="F471" t="s">
        <v>611</v>
      </c>
      <c r="G471" t="s">
        <v>697</v>
      </c>
      <c r="H471" t="s">
        <v>2703</v>
      </c>
      <c r="I471" t="s">
        <v>2704</v>
      </c>
      <c r="J471" t="s">
        <v>697</v>
      </c>
      <c r="K471" s="1">
        <v>3</v>
      </c>
      <c r="L471" t="s">
        <v>69</v>
      </c>
      <c r="M471" t="s">
        <v>70</v>
      </c>
      <c r="N471" t="s">
        <v>71</v>
      </c>
      <c r="O471" t="s">
        <v>118</v>
      </c>
      <c r="P471" t="s">
        <v>72</v>
      </c>
      <c r="Q471" t="s">
        <v>611</v>
      </c>
      <c r="R471" t="s">
        <v>74</v>
      </c>
      <c r="S471" t="s">
        <v>2705</v>
      </c>
      <c r="T471" s="2">
        <v>810</v>
      </c>
      <c r="U471" s="3">
        <v>1.68</v>
      </c>
      <c r="V471" s="4">
        <v>1362</v>
      </c>
      <c r="AF471" s="5">
        <v>14.473699999999999</v>
      </c>
      <c r="AI471" s="1">
        <v>3</v>
      </c>
      <c r="AJ471" t="s">
        <v>81</v>
      </c>
      <c r="AK471" t="s">
        <v>82</v>
      </c>
      <c r="AL471" t="s">
        <v>83</v>
      </c>
      <c r="AM471" s="3">
        <v>1.65</v>
      </c>
      <c r="AN471" s="4">
        <v>1372</v>
      </c>
      <c r="AO471" s="1">
        <v>830</v>
      </c>
      <c r="AP471" s="3">
        <v>1.73</v>
      </c>
      <c r="AQ471" s="4">
        <v>1733</v>
      </c>
      <c r="AR471" s="1">
        <v>1001</v>
      </c>
      <c r="AS471" s="3">
        <v>193267.99</v>
      </c>
      <c r="AW471" t="s">
        <v>84</v>
      </c>
      <c r="AY471" s="3">
        <v>1.67</v>
      </c>
      <c r="AZ471" s="4">
        <v>1093</v>
      </c>
      <c r="BA471" s="1">
        <v>655</v>
      </c>
      <c r="BB471" s="1">
        <v>52</v>
      </c>
      <c r="BC471" s="1">
        <v>64</v>
      </c>
      <c r="BD471" s="1">
        <v>36</v>
      </c>
      <c r="BG471" t="s">
        <v>131</v>
      </c>
    </row>
    <row r="472" spans="1:62" x14ac:dyDescent="0.25">
      <c r="A472" t="s">
        <v>651</v>
      </c>
      <c r="B472" t="s">
        <v>652</v>
      </c>
      <c r="C472" s="1">
        <v>51</v>
      </c>
      <c r="D472" s="1">
        <v>1990</v>
      </c>
      <c r="E472" t="s">
        <v>64</v>
      </c>
      <c r="F472" t="s">
        <v>653</v>
      </c>
      <c r="G472" t="s">
        <v>654</v>
      </c>
      <c r="H472" t="s">
        <v>655</v>
      </c>
      <c r="I472" t="s">
        <v>656</v>
      </c>
      <c r="J472" t="s">
        <v>654</v>
      </c>
      <c r="K472" s="1">
        <v>3</v>
      </c>
      <c r="L472" t="s">
        <v>69</v>
      </c>
      <c r="M472" t="s">
        <v>70</v>
      </c>
      <c r="N472" t="s">
        <v>71</v>
      </c>
      <c r="P472" t="s">
        <v>72</v>
      </c>
      <c r="Q472" t="s">
        <v>152</v>
      </c>
      <c r="R472" t="s">
        <v>74</v>
      </c>
      <c r="S472" t="s">
        <v>657</v>
      </c>
      <c r="T472" s="2">
        <v>762</v>
      </c>
      <c r="U472" s="3">
        <v>1.52</v>
      </c>
      <c r="V472" s="4">
        <v>1157</v>
      </c>
      <c r="AF472" s="5">
        <v>7.8430999999999997</v>
      </c>
      <c r="AH472" s="1">
        <v>2000</v>
      </c>
      <c r="AI472" s="1">
        <v>1</v>
      </c>
      <c r="AJ472" t="s">
        <v>81</v>
      </c>
      <c r="AK472" t="s">
        <v>82</v>
      </c>
      <c r="AL472" t="s">
        <v>83</v>
      </c>
      <c r="AM472" s="3">
        <v>1.55</v>
      </c>
      <c r="AN472" s="4">
        <v>1309</v>
      </c>
      <c r="AO472" s="1">
        <v>844</v>
      </c>
      <c r="AS472" s="3">
        <v>136876.68</v>
      </c>
      <c r="AW472" t="s">
        <v>84</v>
      </c>
      <c r="AY472" s="3">
        <v>1.47</v>
      </c>
      <c r="AZ472" s="4">
        <v>999</v>
      </c>
      <c r="BA472" s="1">
        <v>678</v>
      </c>
      <c r="BB472" s="1">
        <v>25</v>
      </c>
      <c r="BC472" s="1">
        <v>26</v>
      </c>
    </row>
    <row r="473" spans="1:62" x14ac:dyDescent="0.25">
      <c r="A473" t="s">
        <v>2706</v>
      </c>
      <c r="B473" t="s">
        <v>2707</v>
      </c>
      <c r="C473" s="1">
        <v>208</v>
      </c>
      <c r="D473" s="1">
        <v>1996</v>
      </c>
      <c r="E473" t="s">
        <v>64</v>
      </c>
      <c r="F473" t="s">
        <v>660</v>
      </c>
      <c r="G473" t="s">
        <v>2708</v>
      </c>
      <c r="H473" t="s">
        <v>2709</v>
      </c>
      <c r="I473" t="s">
        <v>2710</v>
      </c>
      <c r="J473" t="s">
        <v>2708</v>
      </c>
      <c r="K473" s="1">
        <v>3</v>
      </c>
      <c r="L473" t="s">
        <v>91</v>
      </c>
      <c r="M473" t="s">
        <v>70</v>
      </c>
      <c r="N473" t="s">
        <v>71</v>
      </c>
      <c r="P473" t="s">
        <v>72</v>
      </c>
      <c r="Q473" t="s">
        <v>664</v>
      </c>
      <c r="R473" t="s">
        <v>74</v>
      </c>
      <c r="S473" t="s">
        <v>2711</v>
      </c>
      <c r="T473" s="2">
        <v>876</v>
      </c>
      <c r="U473" s="3">
        <v>1.61</v>
      </c>
      <c r="V473" s="4">
        <v>1410</v>
      </c>
      <c r="AF473" s="5">
        <v>8.1730999999999998</v>
      </c>
      <c r="AI473" s="1">
        <v>2</v>
      </c>
      <c r="AJ473" t="s">
        <v>81</v>
      </c>
      <c r="AK473" t="s">
        <v>82</v>
      </c>
      <c r="AL473" t="s">
        <v>83</v>
      </c>
      <c r="AM473" s="3">
        <v>1.44</v>
      </c>
      <c r="AN473" s="4">
        <v>1501</v>
      </c>
      <c r="AO473" s="1">
        <v>1046</v>
      </c>
      <c r="AP473" s="3">
        <v>1.56</v>
      </c>
      <c r="AQ473" s="4">
        <v>1855</v>
      </c>
      <c r="AR473" s="1">
        <v>1190</v>
      </c>
      <c r="AS473" s="3">
        <v>530141.21</v>
      </c>
      <c r="AW473" t="s">
        <v>84</v>
      </c>
      <c r="AY473" s="3">
        <v>1.9</v>
      </c>
      <c r="AZ473" s="4">
        <v>1246</v>
      </c>
      <c r="BA473" s="1">
        <v>655</v>
      </c>
      <c r="BB473" s="1">
        <v>96</v>
      </c>
      <c r="BC473" s="1">
        <v>96</v>
      </c>
      <c r="BD473" s="1">
        <v>16</v>
      </c>
      <c r="BG473" t="s">
        <v>94</v>
      </c>
    </row>
    <row r="474" spans="1:62" x14ac:dyDescent="0.25">
      <c r="A474" t="s">
        <v>2712</v>
      </c>
      <c r="B474" t="s">
        <v>2713</v>
      </c>
      <c r="C474" s="1">
        <v>220</v>
      </c>
      <c r="D474" s="1">
        <v>1995</v>
      </c>
      <c r="E474" t="s">
        <v>64</v>
      </c>
      <c r="F474" t="s">
        <v>660</v>
      </c>
      <c r="G474" t="s">
        <v>2714</v>
      </c>
      <c r="H474" t="s">
        <v>2715</v>
      </c>
      <c r="I474" t="s">
        <v>2716</v>
      </c>
      <c r="J474" t="s">
        <v>2714</v>
      </c>
      <c r="K474" s="1">
        <v>3</v>
      </c>
      <c r="L474" t="s">
        <v>91</v>
      </c>
      <c r="M474" t="s">
        <v>70</v>
      </c>
      <c r="N474" t="s">
        <v>71</v>
      </c>
      <c r="O474" t="s">
        <v>118</v>
      </c>
      <c r="P474" t="s">
        <v>72</v>
      </c>
      <c r="Q474" t="s">
        <v>664</v>
      </c>
      <c r="R474" t="s">
        <v>74</v>
      </c>
      <c r="S474" t="s">
        <v>2717</v>
      </c>
      <c r="T474" s="2">
        <v>807</v>
      </c>
      <c r="U474" s="3">
        <v>1.81</v>
      </c>
      <c r="V474" s="4">
        <v>1465</v>
      </c>
      <c r="AF474" s="5">
        <v>13.181800000000001</v>
      </c>
      <c r="AI474" s="1">
        <v>2</v>
      </c>
      <c r="AJ474" t="s">
        <v>81</v>
      </c>
      <c r="AK474" t="s">
        <v>82</v>
      </c>
      <c r="AL474" t="s">
        <v>83</v>
      </c>
      <c r="AM474" s="3">
        <v>1.82</v>
      </c>
      <c r="AN474" s="4">
        <v>1427</v>
      </c>
      <c r="AO474" s="1">
        <v>783</v>
      </c>
      <c r="AP474" s="3">
        <v>1.7</v>
      </c>
      <c r="AQ474" s="4">
        <v>1632</v>
      </c>
      <c r="AR474" s="1">
        <v>959</v>
      </c>
      <c r="AS474" s="3">
        <v>222508.75</v>
      </c>
      <c r="AW474" t="s">
        <v>84</v>
      </c>
      <c r="AY474" s="3">
        <v>2.11</v>
      </c>
      <c r="AZ474" s="4">
        <v>1225</v>
      </c>
      <c r="BA474" s="1">
        <v>580</v>
      </c>
      <c r="BB474" s="1">
        <v>60</v>
      </c>
      <c r="BC474" s="1">
        <v>60</v>
      </c>
      <c r="BD474" s="1">
        <v>100</v>
      </c>
      <c r="BF474" t="s">
        <v>2718</v>
      </c>
      <c r="BG474" t="s">
        <v>131</v>
      </c>
    </row>
    <row r="475" spans="1:62" x14ac:dyDescent="0.25">
      <c r="A475" t="s">
        <v>2719</v>
      </c>
      <c r="B475" t="s">
        <v>2720</v>
      </c>
      <c r="C475" s="1">
        <v>129</v>
      </c>
      <c r="D475" s="1">
        <v>1997</v>
      </c>
      <c r="E475" t="s">
        <v>64</v>
      </c>
      <c r="F475" t="s">
        <v>2421</v>
      </c>
      <c r="G475" t="s">
        <v>2721</v>
      </c>
      <c r="H475" t="s">
        <v>2722</v>
      </c>
      <c r="I475" t="s">
        <v>2723</v>
      </c>
      <c r="J475" t="s">
        <v>2721</v>
      </c>
      <c r="K475" s="1">
        <v>3</v>
      </c>
      <c r="L475" t="s">
        <v>91</v>
      </c>
      <c r="M475" t="s">
        <v>70</v>
      </c>
      <c r="N475" t="s">
        <v>71</v>
      </c>
      <c r="P475" t="s">
        <v>72</v>
      </c>
      <c r="Q475" t="s">
        <v>73</v>
      </c>
      <c r="R475" t="s">
        <v>74</v>
      </c>
      <c r="S475" t="s">
        <v>2424</v>
      </c>
      <c r="T475" s="2">
        <v>862</v>
      </c>
      <c r="U475" s="3">
        <v>1.9</v>
      </c>
      <c r="V475" s="4">
        <v>1640</v>
      </c>
      <c r="AF475" s="5">
        <v>3.8759999999999999</v>
      </c>
      <c r="AI475" s="1">
        <v>8</v>
      </c>
      <c r="AJ475" t="s">
        <v>81</v>
      </c>
      <c r="AK475" t="s">
        <v>82</v>
      </c>
      <c r="AL475" t="s">
        <v>83</v>
      </c>
      <c r="AM475" s="3">
        <v>1.72</v>
      </c>
      <c r="AN475" s="4">
        <v>2171</v>
      </c>
      <c r="AO475" s="1">
        <v>1265</v>
      </c>
      <c r="AP475" s="3">
        <v>1.1399999999999999</v>
      </c>
      <c r="AQ475" s="4">
        <v>3056</v>
      </c>
      <c r="AR475" s="1">
        <v>2685</v>
      </c>
      <c r="AS475" s="3">
        <v>531782.72</v>
      </c>
      <c r="AW475" t="s">
        <v>84</v>
      </c>
      <c r="AY475" s="3">
        <v>1.95</v>
      </c>
      <c r="AZ475" s="4">
        <v>1572</v>
      </c>
      <c r="BA475" s="1">
        <v>805</v>
      </c>
      <c r="BB475" s="1">
        <v>116</v>
      </c>
      <c r="BC475" s="1">
        <v>12</v>
      </c>
      <c r="BD475" s="1">
        <v>1</v>
      </c>
    </row>
    <row r="476" spans="1:62" x14ac:dyDescent="0.25">
      <c r="A476" t="s">
        <v>2724</v>
      </c>
      <c r="B476" t="s">
        <v>2725</v>
      </c>
      <c r="C476" s="1">
        <v>152</v>
      </c>
      <c r="D476" s="1">
        <v>1999</v>
      </c>
      <c r="E476" t="s">
        <v>64</v>
      </c>
      <c r="F476" t="s">
        <v>2726</v>
      </c>
      <c r="G476" t="s">
        <v>2727</v>
      </c>
      <c r="H476" t="s">
        <v>2728</v>
      </c>
      <c r="I476" t="s">
        <v>2729</v>
      </c>
      <c r="J476" t="s">
        <v>2727</v>
      </c>
      <c r="K476" s="1">
        <v>4</v>
      </c>
      <c r="L476" t="s">
        <v>91</v>
      </c>
      <c r="M476" t="s">
        <v>70</v>
      </c>
      <c r="N476" t="s">
        <v>71</v>
      </c>
      <c r="P476" t="s">
        <v>72</v>
      </c>
      <c r="Q476" t="s">
        <v>73</v>
      </c>
      <c r="R476" t="s">
        <v>74</v>
      </c>
      <c r="S476" t="s">
        <v>1568</v>
      </c>
      <c r="T476" s="2">
        <v>1302</v>
      </c>
      <c r="U476" s="3">
        <v>2.4900000000000002</v>
      </c>
      <c r="V476" s="4">
        <v>3244</v>
      </c>
      <c r="AF476" s="5">
        <v>3.2894999999999999</v>
      </c>
      <c r="AI476" s="1">
        <v>8</v>
      </c>
      <c r="AJ476" t="s">
        <v>81</v>
      </c>
      <c r="AK476" t="s">
        <v>82</v>
      </c>
      <c r="AL476" t="s">
        <v>83</v>
      </c>
      <c r="AM476" s="3">
        <v>2.4300000000000002</v>
      </c>
      <c r="AN476" s="4">
        <v>3542</v>
      </c>
      <c r="AO476" s="1">
        <v>1459</v>
      </c>
      <c r="AP476" s="3">
        <v>2.14</v>
      </c>
      <c r="AQ476" s="4">
        <v>5688</v>
      </c>
      <c r="AR476" s="1">
        <v>2661</v>
      </c>
      <c r="AS476" s="3">
        <v>11301.14</v>
      </c>
      <c r="AW476" t="s">
        <v>84</v>
      </c>
      <c r="AY476" s="3">
        <v>2.74</v>
      </c>
      <c r="AZ476" s="4">
        <v>2531</v>
      </c>
      <c r="BA476" s="1">
        <v>924</v>
      </c>
      <c r="BB476" s="1">
        <v>49</v>
      </c>
      <c r="BC476" s="1">
        <v>101</v>
      </c>
      <c r="BD476" s="1">
        <v>2</v>
      </c>
      <c r="BG476" t="s">
        <v>131</v>
      </c>
    </row>
    <row r="477" spans="1:62" x14ac:dyDescent="0.25">
      <c r="A477" t="s">
        <v>2730</v>
      </c>
      <c r="B477" t="s">
        <v>2731</v>
      </c>
      <c r="C477" s="1">
        <v>334</v>
      </c>
      <c r="D477" s="1">
        <v>1997</v>
      </c>
      <c r="E477" t="s">
        <v>64</v>
      </c>
      <c r="F477" t="s">
        <v>264</v>
      </c>
      <c r="G477" t="s">
        <v>2732</v>
      </c>
      <c r="I477" t="s">
        <v>2733</v>
      </c>
      <c r="J477" t="s">
        <v>2732</v>
      </c>
      <c r="K477" s="1">
        <v>3</v>
      </c>
      <c r="L477" t="s">
        <v>69</v>
      </c>
      <c r="M477" t="s">
        <v>70</v>
      </c>
      <c r="N477" t="s">
        <v>127</v>
      </c>
      <c r="P477" t="s">
        <v>72</v>
      </c>
      <c r="Q477" t="s">
        <v>531</v>
      </c>
      <c r="R477" t="s">
        <v>74</v>
      </c>
      <c r="S477" t="s">
        <v>2734</v>
      </c>
      <c r="AI477" s="1">
        <v>1</v>
      </c>
      <c r="AJ477" t="s">
        <v>81</v>
      </c>
      <c r="AK477" t="s">
        <v>82</v>
      </c>
      <c r="AL477" t="s">
        <v>83</v>
      </c>
      <c r="AS477" s="3">
        <v>740610.53</v>
      </c>
      <c r="AW477" t="s">
        <v>84</v>
      </c>
    </row>
    <row r="478" spans="1:62" x14ac:dyDescent="0.25">
      <c r="A478" t="s">
        <v>2735</v>
      </c>
      <c r="B478" t="s">
        <v>2736</v>
      </c>
      <c r="C478" s="1">
        <v>527</v>
      </c>
      <c r="D478" s="1">
        <v>1997</v>
      </c>
      <c r="E478" t="s">
        <v>64</v>
      </c>
      <c r="F478" t="s">
        <v>2737</v>
      </c>
      <c r="G478" t="s">
        <v>2738</v>
      </c>
      <c r="I478" t="s">
        <v>2739</v>
      </c>
      <c r="J478" t="s">
        <v>2738</v>
      </c>
      <c r="K478" s="1">
        <v>3</v>
      </c>
      <c r="L478" t="s">
        <v>91</v>
      </c>
      <c r="M478" t="s">
        <v>70</v>
      </c>
      <c r="N478" t="s">
        <v>71</v>
      </c>
      <c r="P478" t="s">
        <v>1335</v>
      </c>
      <c r="Q478" t="s">
        <v>73</v>
      </c>
      <c r="R478" t="s">
        <v>74</v>
      </c>
      <c r="S478" t="s">
        <v>2424</v>
      </c>
      <c r="T478" s="2">
        <v>871</v>
      </c>
      <c r="AI478" s="1">
        <v>4</v>
      </c>
      <c r="AJ478" t="s">
        <v>81</v>
      </c>
      <c r="AK478" t="s">
        <v>82</v>
      </c>
      <c r="AL478" t="s">
        <v>83</v>
      </c>
      <c r="AO478" s="1">
        <v>1125</v>
      </c>
      <c r="AR478" s="1">
        <v>1571</v>
      </c>
      <c r="AS478" s="3">
        <v>202807.36</v>
      </c>
      <c r="AW478" t="s">
        <v>84</v>
      </c>
      <c r="BA478" s="1">
        <v>679</v>
      </c>
      <c r="BB478" s="1">
        <v>334</v>
      </c>
      <c r="BC478" s="1">
        <v>159</v>
      </c>
      <c r="BD478" s="1">
        <v>34</v>
      </c>
      <c r="BG478" t="s">
        <v>131</v>
      </c>
    </row>
    <row r="479" spans="1:62" x14ac:dyDescent="0.25">
      <c r="A479" t="s">
        <v>2740</v>
      </c>
      <c r="B479" t="s">
        <v>2741</v>
      </c>
      <c r="C479" s="1">
        <v>66</v>
      </c>
      <c r="D479" s="1">
        <v>1997</v>
      </c>
      <c r="E479" t="s">
        <v>64</v>
      </c>
      <c r="F479" t="s">
        <v>114</v>
      </c>
      <c r="G479" t="s">
        <v>2742</v>
      </c>
      <c r="H479" t="s">
        <v>2743</v>
      </c>
      <c r="I479" t="s">
        <v>2744</v>
      </c>
      <c r="J479" t="s">
        <v>2742</v>
      </c>
      <c r="K479" s="1">
        <v>2</v>
      </c>
      <c r="L479" t="s">
        <v>69</v>
      </c>
      <c r="M479" t="s">
        <v>70</v>
      </c>
      <c r="N479" t="s">
        <v>71</v>
      </c>
      <c r="O479" t="s">
        <v>118</v>
      </c>
      <c r="P479" t="s">
        <v>72</v>
      </c>
      <c r="Q479" t="s">
        <v>917</v>
      </c>
      <c r="R479" t="s">
        <v>74</v>
      </c>
      <c r="S479" t="s">
        <v>918</v>
      </c>
      <c r="T479" s="2">
        <v>1341</v>
      </c>
      <c r="U479" s="3">
        <v>0.95</v>
      </c>
      <c r="V479" s="4">
        <v>1269</v>
      </c>
      <c r="AF479" s="5">
        <v>4.5454999999999997</v>
      </c>
      <c r="AI479" s="1">
        <v>1</v>
      </c>
      <c r="AJ479" t="s">
        <v>81</v>
      </c>
      <c r="AK479" t="s">
        <v>82</v>
      </c>
      <c r="AL479" t="s">
        <v>83</v>
      </c>
      <c r="AS479" s="3">
        <v>1079.2</v>
      </c>
      <c r="AW479" t="s">
        <v>84</v>
      </c>
      <c r="BE479" s="1">
        <v>66</v>
      </c>
      <c r="BH479" s="3">
        <v>0.95</v>
      </c>
      <c r="BI479" s="4">
        <v>1269</v>
      </c>
      <c r="BJ479" s="1">
        <v>1341</v>
      </c>
    </row>
    <row r="480" spans="1:62" x14ac:dyDescent="0.25">
      <c r="A480" t="s">
        <v>2745</v>
      </c>
      <c r="B480" t="s">
        <v>2746</v>
      </c>
      <c r="C480" s="1">
        <v>252</v>
      </c>
      <c r="D480" s="1">
        <v>1999</v>
      </c>
      <c r="E480" t="s">
        <v>64</v>
      </c>
      <c r="F480" t="s">
        <v>638</v>
      </c>
      <c r="G480" t="s">
        <v>2747</v>
      </c>
      <c r="H480" t="s">
        <v>2748</v>
      </c>
      <c r="I480" t="s">
        <v>2749</v>
      </c>
      <c r="J480" t="s">
        <v>2747</v>
      </c>
      <c r="K480" s="1">
        <v>3</v>
      </c>
      <c r="L480" t="s">
        <v>91</v>
      </c>
      <c r="M480" t="s">
        <v>70</v>
      </c>
      <c r="N480" t="s">
        <v>71</v>
      </c>
      <c r="O480" t="s">
        <v>118</v>
      </c>
      <c r="P480" t="s">
        <v>72</v>
      </c>
      <c r="Q480" t="s">
        <v>2750</v>
      </c>
      <c r="R480" t="s">
        <v>74</v>
      </c>
      <c r="S480" t="s">
        <v>2751</v>
      </c>
      <c r="T480" s="2">
        <v>745</v>
      </c>
      <c r="U480" s="3">
        <v>1.58</v>
      </c>
      <c r="V480" s="4">
        <v>1180</v>
      </c>
      <c r="AF480" s="5">
        <v>0.39679999999999999</v>
      </c>
      <c r="AH480" s="1">
        <v>2003</v>
      </c>
      <c r="AI480" s="1">
        <v>1</v>
      </c>
      <c r="AJ480" t="s">
        <v>81</v>
      </c>
      <c r="AK480" t="s">
        <v>82</v>
      </c>
      <c r="AL480" t="s">
        <v>83</v>
      </c>
      <c r="AM480" s="3">
        <v>1.5</v>
      </c>
      <c r="AN480" s="4">
        <v>1283</v>
      </c>
      <c r="AO480" s="1">
        <v>854</v>
      </c>
      <c r="AS480" s="3">
        <v>121400.54</v>
      </c>
      <c r="AW480" t="s">
        <v>84</v>
      </c>
      <c r="AY480" s="3">
        <v>1.66</v>
      </c>
      <c r="AZ480" s="4">
        <v>1108</v>
      </c>
      <c r="BA480" s="1">
        <v>669</v>
      </c>
      <c r="BB480" s="1">
        <v>148</v>
      </c>
      <c r="BC480" s="1">
        <v>104</v>
      </c>
      <c r="BF480" t="s">
        <v>2752</v>
      </c>
      <c r="BG480" t="s">
        <v>104</v>
      </c>
    </row>
    <row r="481" spans="1:59" x14ac:dyDescent="0.25">
      <c r="A481" t="s">
        <v>2753</v>
      </c>
      <c r="B481" t="s">
        <v>2754</v>
      </c>
      <c r="C481" s="1">
        <v>119</v>
      </c>
      <c r="D481" s="1">
        <v>1996</v>
      </c>
      <c r="E481" t="s">
        <v>64</v>
      </c>
      <c r="F481" t="s">
        <v>293</v>
      </c>
      <c r="G481" t="s">
        <v>1493</v>
      </c>
      <c r="H481" t="s">
        <v>2755</v>
      </c>
      <c r="I481" t="s">
        <v>2756</v>
      </c>
      <c r="J481" t="s">
        <v>1493</v>
      </c>
      <c r="K481" s="1">
        <v>2</v>
      </c>
      <c r="L481" t="s">
        <v>69</v>
      </c>
      <c r="M481" t="s">
        <v>70</v>
      </c>
      <c r="N481" t="s">
        <v>71</v>
      </c>
      <c r="P481" t="s">
        <v>72</v>
      </c>
      <c r="Q481" t="s">
        <v>73</v>
      </c>
      <c r="R481" t="s">
        <v>74</v>
      </c>
      <c r="S481" t="s">
        <v>2757</v>
      </c>
      <c r="T481" s="2">
        <v>591</v>
      </c>
      <c r="U481" s="3">
        <v>4.67</v>
      </c>
      <c r="V481" s="4">
        <v>2762</v>
      </c>
      <c r="AF481" s="5">
        <v>10.9244</v>
      </c>
      <c r="AI481" s="1">
        <v>3</v>
      </c>
      <c r="AJ481" t="s">
        <v>81</v>
      </c>
      <c r="AK481" t="s">
        <v>82</v>
      </c>
      <c r="AL481" t="s">
        <v>83</v>
      </c>
      <c r="AM481" s="3">
        <v>3.24</v>
      </c>
      <c r="AN481" s="4">
        <v>3299</v>
      </c>
      <c r="AO481" s="1">
        <v>1018</v>
      </c>
      <c r="AS481" s="3">
        <v>187742.52</v>
      </c>
      <c r="AT481" s="3">
        <v>5.53</v>
      </c>
      <c r="AU481" s="4">
        <v>2400</v>
      </c>
      <c r="AV481" s="6">
        <v>434</v>
      </c>
      <c r="AW481" t="s">
        <v>84</v>
      </c>
      <c r="AY481" s="3">
        <v>4.67</v>
      </c>
      <c r="AZ481" s="4">
        <v>2999</v>
      </c>
      <c r="BA481" s="1">
        <v>642</v>
      </c>
      <c r="BB481" s="1">
        <v>51</v>
      </c>
      <c r="BC481" s="1">
        <v>14</v>
      </c>
    </row>
    <row r="482" spans="1:59" x14ac:dyDescent="0.25">
      <c r="A482" t="s">
        <v>2758</v>
      </c>
      <c r="B482" t="s">
        <v>2759</v>
      </c>
      <c r="C482" s="1">
        <v>490</v>
      </c>
      <c r="D482" s="1">
        <v>2000</v>
      </c>
      <c r="E482" t="s">
        <v>64</v>
      </c>
      <c r="F482" t="s">
        <v>756</v>
      </c>
      <c r="G482" t="s">
        <v>1976</v>
      </c>
      <c r="H482" t="s">
        <v>2760</v>
      </c>
      <c r="I482" t="s">
        <v>2761</v>
      </c>
      <c r="J482" t="s">
        <v>1976</v>
      </c>
      <c r="K482" s="1">
        <v>4</v>
      </c>
      <c r="L482" t="s">
        <v>91</v>
      </c>
      <c r="M482" t="s">
        <v>70</v>
      </c>
      <c r="N482" t="s">
        <v>71</v>
      </c>
      <c r="P482" t="s">
        <v>72</v>
      </c>
      <c r="Q482" t="s">
        <v>73</v>
      </c>
      <c r="R482" t="s">
        <v>74</v>
      </c>
      <c r="S482" t="s">
        <v>2475</v>
      </c>
      <c r="T482" s="2">
        <v>1019</v>
      </c>
      <c r="U482" s="3">
        <v>1.58</v>
      </c>
      <c r="V482" s="4">
        <v>1609</v>
      </c>
      <c r="AF482" s="5">
        <v>9.5917999999999992</v>
      </c>
      <c r="AG482" s="1">
        <v>1</v>
      </c>
      <c r="AI482" s="1">
        <v>4</v>
      </c>
      <c r="AJ482" t="s">
        <v>81</v>
      </c>
      <c r="AK482" t="s">
        <v>82</v>
      </c>
      <c r="AL482" t="s">
        <v>83</v>
      </c>
      <c r="AM482" s="3">
        <v>1.41</v>
      </c>
      <c r="AN482" s="4">
        <v>1770</v>
      </c>
      <c r="AO482" s="1">
        <v>1253</v>
      </c>
      <c r="AP482" s="3">
        <v>1.49</v>
      </c>
      <c r="AQ482" s="4">
        <v>2333</v>
      </c>
      <c r="AR482" s="1">
        <v>1563</v>
      </c>
      <c r="AS482" s="3">
        <v>2249275.2000000002</v>
      </c>
      <c r="AT482" s="3">
        <v>1.71</v>
      </c>
      <c r="AU482" s="4">
        <v>1019</v>
      </c>
      <c r="AV482" s="6">
        <v>595</v>
      </c>
      <c r="AW482" t="s">
        <v>84</v>
      </c>
      <c r="AY482" s="3">
        <v>1.84</v>
      </c>
      <c r="AZ482" s="4">
        <v>1361</v>
      </c>
      <c r="BA482" s="1">
        <v>737</v>
      </c>
      <c r="BB482" s="1">
        <v>236</v>
      </c>
      <c r="BC482" s="1">
        <v>199</v>
      </c>
      <c r="BD482" s="1">
        <v>45</v>
      </c>
    </row>
    <row r="483" spans="1:59" x14ac:dyDescent="0.25">
      <c r="A483" t="s">
        <v>2762</v>
      </c>
      <c r="B483" t="s">
        <v>2763</v>
      </c>
      <c r="C483" s="1">
        <v>240</v>
      </c>
      <c r="D483" s="1">
        <v>1997</v>
      </c>
      <c r="E483" t="s">
        <v>64</v>
      </c>
      <c r="F483" t="s">
        <v>134</v>
      </c>
      <c r="G483" t="s">
        <v>2764</v>
      </c>
      <c r="H483" t="s">
        <v>2765</v>
      </c>
      <c r="I483" t="s">
        <v>2766</v>
      </c>
      <c r="J483" t="s">
        <v>2764</v>
      </c>
      <c r="K483" s="1">
        <v>4</v>
      </c>
      <c r="L483" t="s">
        <v>91</v>
      </c>
      <c r="M483" t="s">
        <v>70</v>
      </c>
      <c r="N483" t="s">
        <v>71</v>
      </c>
      <c r="P483" t="s">
        <v>72</v>
      </c>
      <c r="Q483" t="s">
        <v>73</v>
      </c>
      <c r="R483" t="s">
        <v>74</v>
      </c>
      <c r="S483" t="s">
        <v>2767</v>
      </c>
      <c r="T483" s="2">
        <v>885</v>
      </c>
      <c r="U483" s="3">
        <v>1.3</v>
      </c>
      <c r="V483" s="4">
        <v>1148</v>
      </c>
      <c r="AF483" s="5">
        <v>6.6666999999999996</v>
      </c>
      <c r="AI483" s="1">
        <v>3</v>
      </c>
      <c r="AJ483" t="s">
        <v>81</v>
      </c>
      <c r="AK483" t="s">
        <v>82</v>
      </c>
      <c r="AL483" t="s">
        <v>83</v>
      </c>
      <c r="AM483" s="3">
        <v>1.28</v>
      </c>
      <c r="AN483" s="4">
        <v>1320</v>
      </c>
      <c r="AO483" s="1">
        <v>1035</v>
      </c>
      <c r="AP483" s="3">
        <v>1.6</v>
      </c>
      <c r="AQ483" s="4">
        <v>2174</v>
      </c>
      <c r="AR483" s="1">
        <v>1355</v>
      </c>
      <c r="AS483" s="3">
        <v>985198</v>
      </c>
      <c r="AW483" t="s">
        <v>84</v>
      </c>
      <c r="AY483" s="3">
        <v>1.26</v>
      </c>
      <c r="AZ483" s="4">
        <v>941</v>
      </c>
      <c r="BA483" s="1">
        <v>744</v>
      </c>
      <c r="BB483" s="1">
        <v>136</v>
      </c>
      <c r="BC483" s="1">
        <v>92</v>
      </c>
      <c r="BD483" s="1">
        <v>12</v>
      </c>
      <c r="BG483" t="s">
        <v>131</v>
      </c>
    </row>
    <row r="484" spans="1:59" x14ac:dyDescent="0.25">
      <c r="A484" t="s">
        <v>2768</v>
      </c>
      <c r="B484" t="s">
        <v>2769</v>
      </c>
      <c r="C484" s="1">
        <v>232</v>
      </c>
      <c r="D484" s="1">
        <v>1999</v>
      </c>
      <c r="E484" t="s">
        <v>64</v>
      </c>
      <c r="F484" t="s">
        <v>123</v>
      </c>
      <c r="G484" t="s">
        <v>1400</v>
      </c>
      <c r="H484" t="s">
        <v>2770</v>
      </c>
      <c r="I484" t="s">
        <v>2771</v>
      </c>
      <c r="J484" t="s">
        <v>1400</v>
      </c>
      <c r="K484" s="1">
        <v>3</v>
      </c>
      <c r="L484" t="s">
        <v>91</v>
      </c>
      <c r="M484" t="s">
        <v>70</v>
      </c>
      <c r="N484" t="s">
        <v>71</v>
      </c>
      <c r="O484" t="s">
        <v>128</v>
      </c>
      <c r="P484" t="s">
        <v>72</v>
      </c>
      <c r="Q484" t="s">
        <v>129</v>
      </c>
      <c r="R484" t="s">
        <v>74</v>
      </c>
      <c r="S484" t="s">
        <v>2772</v>
      </c>
      <c r="T484" s="2">
        <v>837</v>
      </c>
      <c r="U484" s="3">
        <v>1.73</v>
      </c>
      <c r="V484" s="4">
        <v>1453</v>
      </c>
      <c r="AF484" s="5">
        <v>9.4827999999999992</v>
      </c>
      <c r="AI484" s="1">
        <v>3</v>
      </c>
      <c r="AJ484" t="s">
        <v>81</v>
      </c>
      <c r="AK484" t="s">
        <v>82</v>
      </c>
      <c r="AL484" t="s">
        <v>83</v>
      </c>
      <c r="AM484" s="3">
        <v>1.54</v>
      </c>
      <c r="AN484" s="4">
        <v>1507</v>
      </c>
      <c r="AO484" s="1">
        <v>981</v>
      </c>
      <c r="AP484" s="3">
        <v>1.72</v>
      </c>
      <c r="AQ484" s="4">
        <v>2115</v>
      </c>
      <c r="AR484" s="1">
        <v>1231</v>
      </c>
      <c r="AS484" s="3">
        <v>713706.95</v>
      </c>
      <c r="AW484" t="s">
        <v>84</v>
      </c>
      <c r="AY484" s="3">
        <v>2</v>
      </c>
      <c r="AZ484" s="4">
        <v>1256</v>
      </c>
      <c r="BA484" s="1">
        <v>630</v>
      </c>
      <c r="BB484" s="1">
        <v>113</v>
      </c>
      <c r="BC484" s="1">
        <v>93</v>
      </c>
      <c r="BD484" s="1">
        <v>26</v>
      </c>
      <c r="BG484" t="s">
        <v>131</v>
      </c>
    </row>
    <row r="485" spans="1:59" x14ac:dyDescent="0.25">
      <c r="A485" t="s">
        <v>2773</v>
      </c>
      <c r="B485" t="s">
        <v>2774</v>
      </c>
      <c r="C485" s="1">
        <v>312</v>
      </c>
      <c r="D485" s="1">
        <v>1996</v>
      </c>
      <c r="E485" t="s">
        <v>64</v>
      </c>
      <c r="F485" t="s">
        <v>228</v>
      </c>
      <c r="G485" t="s">
        <v>1169</v>
      </c>
      <c r="H485" t="s">
        <v>2775</v>
      </c>
      <c r="I485" t="s">
        <v>2776</v>
      </c>
      <c r="J485" t="s">
        <v>1169</v>
      </c>
      <c r="K485" s="1">
        <v>4</v>
      </c>
      <c r="L485" t="s">
        <v>91</v>
      </c>
      <c r="M485" t="s">
        <v>70</v>
      </c>
      <c r="N485" t="s">
        <v>71</v>
      </c>
      <c r="P485" t="s">
        <v>72</v>
      </c>
      <c r="Q485" t="s">
        <v>232</v>
      </c>
      <c r="R485" t="s">
        <v>74</v>
      </c>
      <c r="S485" t="s">
        <v>2777</v>
      </c>
      <c r="T485" s="2">
        <v>928</v>
      </c>
      <c r="U485" s="3">
        <v>1.58</v>
      </c>
      <c r="V485" s="4">
        <v>1468</v>
      </c>
      <c r="AF485" s="5">
        <v>31.730799999999999</v>
      </c>
      <c r="AH485" s="1">
        <v>2017</v>
      </c>
      <c r="AI485" s="1">
        <v>3</v>
      </c>
      <c r="AJ485" t="s">
        <v>81</v>
      </c>
      <c r="AK485" t="s">
        <v>82</v>
      </c>
      <c r="AL485" t="s">
        <v>83</v>
      </c>
      <c r="AM485" s="3">
        <v>1.5</v>
      </c>
      <c r="AN485" s="4">
        <v>1593</v>
      </c>
      <c r="AO485" s="1">
        <v>1065</v>
      </c>
      <c r="AP485" s="3">
        <v>1.53</v>
      </c>
      <c r="AQ485" s="4">
        <v>2030</v>
      </c>
      <c r="AR485" s="1">
        <v>1330</v>
      </c>
      <c r="AS485" s="3">
        <v>1171357.03</v>
      </c>
      <c r="AW485" t="s">
        <v>84</v>
      </c>
      <c r="AY485" s="3">
        <v>1.7</v>
      </c>
      <c r="AZ485" s="4">
        <v>1276</v>
      </c>
      <c r="BA485" s="1">
        <v>751</v>
      </c>
      <c r="BB485" s="1">
        <v>156</v>
      </c>
      <c r="BC485" s="1">
        <v>132</v>
      </c>
      <c r="BD485" s="1">
        <v>24</v>
      </c>
      <c r="BG485" t="s">
        <v>131</v>
      </c>
    </row>
    <row r="486" spans="1:59" x14ac:dyDescent="0.25">
      <c r="A486" t="s">
        <v>2778</v>
      </c>
      <c r="B486" t="s">
        <v>2779</v>
      </c>
      <c r="C486" s="1">
        <v>418</v>
      </c>
      <c r="D486" s="1">
        <v>2000</v>
      </c>
      <c r="E486" t="s">
        <v>64</v>
      </c>
      <c r="F486" t="s">
        <v>110</v>
      </c>
      <c r="G486" t="s">
        <v>2780</v>
      </c>
      <c r="H486" t="s">
        <v>2781</v>
      </c>
      <c r="I486" t="s">
        <v>2782</v>
      </c>
      <c r="J486" t="s">
        <v>2780</v>
      </c>
      <c r="K486" s="1">
        <v>4</v>
      </c>
      <c r="L486" t="s">
        <v>91</v>
      </c>
      <c r="M486" t="s">
        <v>70</v>
      </c>
      <c r="N486" t="s">
        <v>71</v>
      </c>
      <c r="P486" t="s">
        <v>72</v>
      </c>
      <c r="Q486" t="s">
        <v>110</v>
      </c>
      <c r="R486" t="s">
        <v>74</v>
      </c>
      <c r="S486" t="s">
        <v>2783</v>
      </c>
      <c r="T486" s="2">
        <v>888</v>
      </c>
      <c r="U486" s="3">
        <v>1.57</v>
      </c>
      <c r="V486" s="4">
        <v>1394</v>
      </c>
      <c r="AF486" s="5">
        <v>5.0239000000000003</v>
      </c>
      <c r="AH486" s="1">
        <v>2016</v>
      </c>
      <c r="AI486" s="1">
        <v>3</v>
      </c>
      <c r="AJ486" t="s">
        <v>81</v>
      </c>
      <c r="AK486" t="s">
        <v>82</v>
      </c>
      <c r="AL486" t="s">
        <v>83</v>
      </c>
      <c r="AM486" s="3">
        <v>1.46</v>
      </c>
      <c r="AN486" s="4">
        <v>1505</v>
      </c>
      <c r="AO486" s="1">
        <v>1029</v>
      </c>
      <c r="AP486" s="3">
        <v>1.37</v>
      </c>
      <c r="AQ486" s="4">
        <v>1790</v>
      </c>
      <c r="AR486" s="1">
        <v>1306</v>
      </c>
      <c r="AS486" s="3">
        <v>1617329.22</v>
      </c>
      <c r="AW486" t="s">
        <v>84</v>
      </c>
      <c r="AY486" s="3">
        <v>1.76</v>
      </c>
      <c r="AZ486" s="4">
        <v>1234</v>
      </c>
      <c r="BA486" s="1">
        <v>702</v>
      </c>
      <c r="BB486" s="1">
        <v>210</v>
      </c>
      <c r="BC486" s="1">
        <v>172</v>
      </c>
      <c r="BD486" s="1">
        <v>36</v>
      </c>
      <c r="BF486" t="s">
        <v>987</v>
      </c>
      <c r="BG486" t="s">
        <v>131</v>
      </c>
    </row>
    <row r="487" spans="1:59" x14ac:dyDescent="0.25">
      <c r="A487" t="s">
        <v>2784</v>
      </c>
      <c r="B487" t="s">
        <v>2785</v>
      </c>
      <c r="C487" s="1">
        <v>200</v>
      </c>
      <c r="D487" s="1">
        <v>1999</v>
      </c>
      <c r="E487" t="s">
        <v>64</v>
      </c>
      <c r="F487" t="s">
        <v>725</v>
      </c>
      <c r="G487" t="s">
        <v>2786</v>
      </c>
      <c r="H487" t="s">
        <v>2787</v>
      </c>
      <c r="I487" t="s">
        <v>2788</v>
      </c>
      <c r="J487" t="s">
        <v>2786</v>
      </c>
      <c r="K487" s="1">
        <v>3</v>
      </c>
      <c r="L487" t="s">
        <v>91</v>
      </c>
      <c r="M487" t="s">
        <v>70</v>
      </c>
      <c r="N487" t="s">
        <v>71</v>
      </c>
      <c r="P487" t="s">
        <v>72</v>
      </c>
      <c r="Q487" t="s">
        <v>73</v>
      </c>
      <c r="R487" t="s">
        <v>74</v>
      </c>
      <c r="S487" t="s">
        <v>730</v>
      </c>
      <c r="T487" s="2">
        <v>1016</v>
      </c>
      <c r="U487" s="3">
        <v>1.38</v>
      </c>
      <c r="V487" s="4">
        <v>1405</v>
      </c>
      <c r="AF487" s="5">
        <v>4</v>
      </c>
      <c r="AI487" s="1">
        <v>3</v>
      </c>
      <c r="AJ487" t="s">
        <v>81</v>
      </c>
      <c r="AK487" t="s">
        <v>82</v>
      </c>
      <c r="AL487" t="s">
        <v>83</v>
      </c>
      <c r="AM487" s="3">
        <v>1.34</v>
      </c>
      <c r="AN487" s="4">
        <v>1515</v>
      </c>
      <c r="AO487" s="1">
        <v>1134</v>
      </c>
      <c r="AP487" s="3">
        <v>1.51</v>
      </c>
      <c r="AQ487" s="4">
        <v>1995</v>
      </c>
      <c r="AR487" s="1">
        <v>1325</v>
      </c>
      <c r="AS487" s="3">
        <v>545946.41</v>
      </c>
      <c r="AW487" t="s">
        <v>84</v>
      </c>
      <c r="AY487" s="3">
        <v>1.41</v>
      </c>
      <c r="AZ487" s="4">
        <v>1075</v>
      </c>
      <c r="BA487" s="1">
        <v>760</v>
      </c>
      <c r="BB487" s="1">
        <v>74</v>
      </c>
      <c r="BC487" s="1">
        <v>104</v>
      </c>
      <c r="BD487" s="1">
        <v>22</v>
      </c>
    </row>
    <row r="488" spans="1:59" x14ac:dyDescent="0.25">
      <c r="A488" t="s">
        <v>2789</v>
      </c>
      <c r="B488" t="s">
        <v>2790</v>
      </c>
      <c r="C488" s="1">
        <v>272</v>
      </c>
      <c r="D488" s="1">
        <v>1998</v>
      </c>
      <c r="E488" t="s">
        <v>64</v>
      </c>
      <c r="F488" t="s">
        <v>725</v>
      </c>
      <c r="G488" t="s">
        <v>2786</v>
      </c>
      <c r="H488" t="s">
        <v>2791</v>
      </c>
      <c r="I488" t="s">
        <v>2792</v>
      </c>
      <c r="J488" t="s">
        <v>2786</v>
      </c>
      <c r="K488" s="1">
        <v>3</v>
      </c>
      <c r="L488" t="s">
        <v>91</v>
      </c>
      <c r="M488" t="s">
        <v>70</v>
      </c>
      <c r="N488" t="s">
        <v>71</v>
      </c>
      <c r="P488" t="s">
        <v>72</v>
      </c>
      <c r="Q488" t="s">
        <v>73</v>
      </c>
      <c r="R488" t="s">
        <v>74</v>
      </c>
      <c r="S488" t="s">
        <v>730</v>
      </c>
      <c r="T488" s="2">
        <v>982</v>
      </c>
      <c r="U488" s="3">
        <v>1.35</v>
      </c>
      <c r="V488" s="4">
        <v>1325</v>
      </c>
      <c r="AF488" s="5">
        <v>5.5147000000000004</v>
      </c>
      <c r="AI488" s="1">
        <v>3</v>
      </c>
      <c r="AJ488" t="s">
        <v>81</v>
      </c>
      <c r="AK488" t="s">
        <v>82</v>
      </c>
      <c r="AL488" t="s">
        <v>83</v>
      </c>
      <c r="AM488" s="3">
        <v>1.31</v>
      </c>
      <c r="AN488" s="4">
        <v>1430</v>
      </c>
      <c r="AO488" s="1">
        <v>1090</v>
      </c>
      <c r="AP488" s="3">
        <v>1.45</v>
      </c>
      <c r="AQ488" s="4">
        <v>1759</v>
      </c>
      <c r="AR488" s="1">
        <v>1215</v>
      </c>
      <c r="AS488" s="3">
        <v>731705.91</v>
      </c>
      <c r="AW488" t="s">
        <v>84</v>
      </c>
      <c r="AY488" s="3">
        <v>1.42</v>
      </c>
      <c r="AZ488" s="4">
        <v>973</v>
      </c>
      <c r="BA488" s="1">
        <v>684</v>
      </c>
      <c r="BB488" s="1">
        <v>80</v>
      </c>
      <c r="BC488" s="1">
        <v>168</v>
      </c>
      <c r="BD488" s="1">
        <v>24</v>
      </c>
      <c r="BF488" t="s">
        <v>2793</v>
      </c>
    </row>
    <row r="489" spans="1:59" x14ac:dyDescent="0.25">
      <c r="A489" t="s">
        <v>2794</v>
      </c>
      <c r="B489" t="s">
        <v>2795</v>
      </c>
      <c r="C489" s="1">
        <v>332</v>
      </c>
      <c r="D489" s="1">
        <v>1998</v>
      </c>
      <c r="E489" t="s">
        <v>64</v>
      </c>
      <c r="F489" t="s">
        <v>725</v>
      </c>
      <c r="G489" t="s">
        <v>2796</v>
      </c>
      <c r="H489" t="s">
        <v>2797</v>
      </c>
      <c r="I489" t="s">
        <v>2798</v>
      </c>
      <c r="J489" t="s">
        <v>2796</v>
      </c>
      <c r="K489" s="1">
        <v>4</v>
      </c>
      <c r="L489" t="s">
        <v>729</v>
      </c>
      <c r="M489" t="s">
        <v>70</v>
      </c>
      <c r="N489" t="s">
        <v>71</v>
      </c>
      <c r="P489" t="s">
        <v>72</v>
      </c>
      <c r="Q489" t="s">
        <v>73</v>
      </c>
      <c r="R489" t="s">
        <v>74</v>
      </c>
      <c r="S489" t="s">
        <v>730</v>
      </c>
      <c r="T489" s="2">
        <v>1104</v>
      </c>
      <c r="U489" s="3">
        <v>1.55</v>
      </c>
      <c r="V489" s="4">
        <v>1718</v>
      </c>
      <c r="AF489" s="5">
        <v>5.4217000000000004</v>
      </c>
      <c r="AH489" s="1">
        <v>2015</v>
      </c>
      <c r="AI489" s="1">
        <v>3</v>
      </c>
      <c r="AJ489" t="s">
        <v>81</v>
      </c>
      <c r="AK489" t="s">
        <v>82</v>
      </c>
      <c r="AL489" t="s">
        <v>83</v>
      </c>
      <c r="AM489" s="3">
        <v>1.63</v>
      </c>
      <c r="AN489" s="4">
        <v>1808</v>
      </c>
      <c r="AO489" s="1">
        <v>1111</v>
      </c>
      <c r="AP489" s="3">
        <v>1.4</v>
      </c>
      <c r="AQ489" s="4">
        <v>2126</v>
      </c>
      <c r="AR489" s="1">
        <v>1522</v>
      </c>
      <c r="AS489" s="3">
        <v>1090992.27</v>
      </c>
      <c r="AW489" t="s">
        <v>84</v>
      </c>
      <c r="AY489" s="3">
        <v>1.68</v>
      </c>
      <c r="AZ489" s="4">
        <v>1267</v>
      </c>
      <c r="BA489" s="1">
        <v>754</v>
      </c>
      <c r="BB489" s="1">
        <v>108</v>
      </c>
      <c r="BC489" s="1">
        <v>135</v>
      </c>
      <c r="BD489" s="1">
        <v>89</v>
      </c>
      <c r="BF489" t="s">
        <v>987</v>
      </c>
      <c r="BG489" t="s">
        <v>131</v>
      </c>
    </row>
    <row r="490" spans="1:59" x14ac:dyDescent="0.25">
      <c r="A490" t="s">
        <v>2799</v>
      </c>
      <c r="B490" t="s">
        <v>2800</v>
      </c>
      <c r="C490" s="1">
        <v>262</v>
      </c>
      <c r="D490" s="1">
        <v>1997</v>
      </c>
      <c r="E490" t="s">
        <v>64</v>
      </c>
      <c r="F490" t="s">
        <v>725</v>
      </c>
      <c r="G490" t="s">
        <v>2801</v>
      </c>
      <c r="H490" t="s">
        <v>2802</v>
      </c>
      <c r="I490" t="s">
        <v>2803</v>
      </c>
      <c r="J490" t="s">
        <v>2801</v>
      </c>
      <c r="K490" s="1">
        <v>4</v>
      </c>
      <c r="L490" t="s">
        <v>729</v>
      </c>
      <c r="M490" t="s">
        <v>70</v>
      </c>
      <c r="N490" t="s">
        <v>71</v>
      </c>
      <c r="P490" t="s">
        <v>72</v>
      </c>
      <c r="Q490" t="s">
        <v>73</v>
      </c>
      <c r="R490" t="s">
        <v>74</v>
      </c>
      <c r="S490" t="s">
        <v>2804</v>
      </c>
      <c r="T490" s="2">
        <v>664</v>
      </c>
      <c r="U490" s="3">
        <v>1.78</v>
      </c>
      <c r="V490" s="4">
        <v>1179</v>
      </c>
      <c r="AF490" s="5">
        <v>17.9389</v>
      </c>
      <c r="AI490" s="1">
        <v>3</v>
      </c>
      <c r="AJ490" t="s">
        <v>81</v>
      </c>
      <c r="AK490" t="s">
        <v>82</v>
      </c>
      <c r="AL490" t="s">
        <v>83</v>
      </c>
      <c r="AM490" s="3">
        <v>1.6</v>
      </c>
      <c r="AN490" s="4">
        <v>1644</v>
      </c>
      <c r="AO490" s="1">
        <v>1025</v>
      </c>
      <c r="AS490" s="3">
        <v>581612.39</v>
      </c>
      <c r="AW490" t="s">
        <v>84</v>
      </c>
      <c r="AY490" s="3">
        <v>1.79</v>
      </c>
      <c r="AZ490" s="4">
        <v>1163</v>
      </c>
      <c r="BA490" s="1">
        <v>651</v>
      </c>
      <c r="BB490" s="1">
        <v>253</v>
      </c>
      <c r="BC490" s="1">
        <v>9</v>
      </c>
      <c r="BF490" t="s">
        <v>2805</v>
      </c>
      <c r="BG490" t="s">
        <v>365</v>
      </c>
    </row>
    <row r="491" spans="1:59" x14ac:dyDescent="0.25">
      <c r="A491" t="s">
        <v>2806</v>
      </c>
      <c r="B491" t="s">
        <v>2807</v>
      </c>
      <c r="C491" s="1">
        <v>80</v>
      </c>
      <c r="D491" s="1">
        <v>1995</v>
      </c>
      <c r="E491" t="s">
        <v>64</v>
      </c>
      <c r="F491" t="s">
        <v>734</v>
      </c>
      <c r="K491" s="1">
        <v>3</v>
      </c>
      <c r="L491" t="s">
        <v>91</v>
      </c>
      <c r="M491" t="s">
        <v>70</v>
      </c>
      <c r="N491" t="s">
        <v>71</v>
      </c>
      <c r="P491" t="s">
        <v>72</v>
      </c>
      <c r="Q491" t="s">
        <v>73</v>
      </c>
      <c r="R491" t="s">
        <v>74</v>
      </c>
      <c r="S491" t="s">
        <v>730</v>
      </c>
      <c r="AI491" s="1">
        <v>2</v>
      </c>
      <c r="AJ491" t="s">
        <v>81</v>
      </c>
      <c r="AK491" t="s">
        <v>82</v>
      </c>
      <c r="AL491" t="s">
        <v>83</v>
      </c>
      <c r="AS491" s="3">
        <v>31605.72</v>
      </c>
      <c r="AW491" t="s">
        <v>84</v>
      </c>
    </row>
    <row r="492" spans="1:59" x14ac:dyDescent="0.25">
      <c r="A492" t="s">
        <v>2808</v>
      </c>
      <c r="B492" t="s">
        <v>2809</v>
      </c>
      <c r="C492" s="1">
        <v>562</v>
      </c>
      <c r="D492" s="1">
        <v>1991</v>
      </c>
      <c r="E492" t="s">
        <v>64</v>
      </c>
      <c r="F492" t="s">
        <v>734</v>
      </c>
      <c r="G492" t="s">
        <v>1038</v>
      </c>
      <c r="H492" t="s">
        <v>2810</v>
      </c>
      <c r="I492" t="s">
        <v>2811</v>
      </c>
      <c r="J492" t="s">
        <v>1038</v>
      </c>
      <c r="K492" s="1">
        <v>3</v>
      </c>
      <c r="L492" t="s">
        <v>91</v>
      </c>
      <c r="M492" t="s">
        <v>70</v>
      </c>
      <c r="N492" t="s">
        <v>71</v>
      </c>
      <c r="P492" t="s">
        <v>72</v>
      </c>
      <c r="Q492" t="s">
        <v>73</v>
      </c>
      <c r="R492" t="s">
        <v>74</v>
      </c>
      <c r="S492" t="s">
        <v>730</v>
      </c>
      <c r="T492" s="2">
        <v>884</v>
      </c>
      <c r="U492" s="3">
        <v>1.55</v>
      </c>
      <c r="V492" s="4">
        <v>1368</v>
      </c>
      <c r="AF492" s="5">
        <v>1.6013999999999999</v>
      </c>
      <c r="AI492" s="1">
        <v>3</v>
      </c>
      <c r="AJ492" t="s">
        <v>81</v>
      </c>
      <c r="AK492" t="s">
        <v>82</v>
      </c>
      <c r="AL492" t="s">
        <v>83</v>
      </c>
      <c r="AM492" s="3">
        <v>1.45</v>
      </c>
      <c r="AN492" s="4">
        <v>1492</v>
      </c>
      <c r="AO492" s="1">
        <v>1032</v>
      </c>
      <c r="AS492" s="3">
        <v>1336891.92</v>
      </c>
      <c r="AW492" t="s">
        <v>84</v>
      </c>
      <c r="AY492" s="3">
        <v>1.73</v>
      </c>
      <c r="AZ492" s="4">
        <v>1218</v>
      </c>
      <c r="BA492" s="1">
        <v>705</v>
      </c>
      <c r="BB492" s="1">
        <v>254</v>
      </c>
      <c r="BC492" s="1">
        <v>308</v>
      </c>
      <c r="BF492" t="s">
        <v>2812</v>
      </c>
    </row>
    <row r="493" spans="1:59" x14ac:dyDescent="0.25">
      <c r="A493" t="s">
        <v>2813</v>
      </c>
      <c r="B493" t="s">
        <v>2814</v>
      </c>
      <c r="C493" s="1">
        <v>80</v>
      </c>
      <c r="D493" s="1">
        <v>1995</v>
      </c>
      <c r="E493" t="s">
        <v>64</v>
      </c>
      <c r="F493" t="s">
        <v>734</v>
      </c>
      <c r="G493" t="s">
        <v>2815</v>
      </c>
      <c r="I493" t="s">
        <v>2815</v>
      </c>
      <c r="K493" s="1">
        <v>3</v>
      </c>
      <c r="L493" t="s">
        <v>91</v>
      </c>
      <c r="M493" t="s">
        <v>70</v>
      </c>
      <c r="N493" t="s">
        <v>71</v>
      </c>
      <c r="P493" t="s">
        <v>72</v>
      </c>
      <c r="Q493" t="s">
        <v>73</v>
      </c>
      <c r="R493" t="s">
        <v>74</v>
      </c>
      <c r="S493" t="s">
        <v>2816</v>
      </c>
      <c r="AI493" s="1">
        <v>2</v>
      </c>
      <c r="AJ493" t="s">
        <v>81</v>
      </c>
      <c r="AK493" t="s">
        <v>82</v>
      </c>
      <c r="AL493" t="s">
        <v>83</v>
      </c>
      <c r="AS493" s="3">
        <v>42763.94</v>
      </c>
      <c r="AW493" t="s">
        <v>84</v>
      </c>
      <c r="BB493" s="1">
        <v>60</v>
      </c>
      <c r="BC493" s="1">
        <v>20</v>
      </c>
    </row>
    <row r="494" spans="1:59" x14ac:dyDescent="0.25">
      <c r="A494" t="s">
        <v>2817</v>
      </c>
      <c r="B494" t="s">
        <v>2818</v>
      </c>
      <c r="C494" s="1">
        <v>582</v>
      </c>
      <c r="D494" s="1">
        <v>1997</v>
      </c>
      <c r="E494" t="s">
        <v>64</v>
      </c>
      <c r="F494" t="s">
        <v>734</v>
      </c>
      <c r="G494" t="s">
        <v>2819</v>
      </c>
      <c r="H494" t="s">
        <v>2820</v>
      </c>
      <c r="I494" t="s">
        <v>2821</v>
      </c>
      <c r="J494" t="s">
        <v>2819</v>
      </c>
      <c r="K494" s="1">
        <v>3</v>
      </c>
      <c r="L494" t="s">
        <v>91</v>
      </c>
      <c r="M494" t="s">
        <v>70</v>
      </c>
      <c r="N494" t="s">
        <v>71</v>
      </c>
      <c r="P494" t="s">
        <v>72</v>
      </c>
      <c r="Q494" t="s">
        <v>73</v>
      </c>
      <c r="R494" t="s">
        <v>74</v>
      </c>
      <c r="S494" t="s">
        <v>2822</v>
      </c>
      <c r="T494" s="2">
        <v>884</v>
      </c>
      <c r="U494" s="3">
        <v>1.7</v>
      </c>
      <c r="V494" s="4">
        <v>1507</v>
      </c>
      <c r="AF494" s="5">
        <v>6.1856</v>
      </c>
      <c r="AH494" s="1">
        <v>2017</v>
      </c>
      <c r="AI494" s="1">
        <v>3</v>
      </c>
      <c r="AJ494" t="s">
        <v>81</v>
      </c>
      <c r="AK494" t="s">
        <v>82</v>
      </c>
      <c r="AL494" t="s">
        <v>83</v>
      </c>
      <c r="AM494" s="3">
        <v>1.64</v>
      </c>
      <c r="AN494" s="4">
        <v>1718</v>
      </c>
      <c r="AO494" s="1">
        <v>1047</v>
      </c>
      <c r="AP494" s="3">
        <v>1.66</v>
      </c>
      <c r="AQ494" s="4">
        <v>2158</v>
      </c>
      <c r="AR494" s="1">
        <v>1302</v>
      </c>
      <c r="AS494" s="3">
        <v>1831089.09</v>
      </c>
      <c r="AW494" t="s">
        <v>84</v>
      </c>
      <c r="AY494" s="3">
        <v>1.79</v>
      </c>
      <c r="AZ494" s="4">
        <v>1262</v>
      </c>
      <c r="BA494" s="1">
        <v>705</v>
      </c>
      <c r="BB494" s="1">
        <v>301</v>
      </c>
      <c r="BC494" s="1">
        <v>249</v>
      </c>
      <c r="BD494" s="1">
        <v>32</v>
      </c>
      <c r="BG494" t="s">
        <v>131</v>
      </c>
    </row>
    <row r="495" spans="1:59" x14ac:dyDescent="0.25">
      <c r="A495" t="s">
        <v>2823</v>
      </c>
      <c r="B495" t="s">
        <v>2824</v>
      </c>
      <c r="C495" s="1">
        <v>467</v>
      </c>
      <c r="D495" s="1">
        <v>1995</v>
      </c>
      <c r="E495" t="s">
        <v>64</v>
      </c>
      <c r="F495" t="s">
        <v>734</v>
      </c>
      <c r="G495" t="s">
        <v>1038</v>
      </c>
      <c r="H495" t="s">
        <v>2825</v>
      </c>
      <c r="I495" t="s">
        <v>1038</v>
      </c>
      <c r="J495" t="s">
        <v>1038</v>
      </c>
      <c r="K495" s="1">
        <v>3</v>
      </c>
      <c r="L495" t="s">
        <v>91</v>
      </c>
      <c r="M495" t="s">
        <v>70</v>
      </c>
      <c r="N495" t="s">
        <v>71</v>
      </c>
      <c r="P495" t="s">
        <v>72</v>
      </c>
      <c r="Q495" t="s">
        <v>73</v>
      </c>
      <c r="R495" t="s">
        <v>74</v>
      </c>
      <c r="S495" t="s">
        <v>738</v>
      </c>
      <c r="T495" s="2">
        <v>925</v>
      </c>
      <c r="U495" s="3">
        <v>1.59</v>
      </c>
      <c r="V495" s="4">
        <v>1476</v>
      </c>
      <c r="AF495" s="5">
        <v>4.9250999999999996</v>
      </c>
      <c r="AI495" s="1">
        <v>2</v>
      </c>
      <c r="AJ495" t="s">
        <v>81</v>
      </c>
      <c r="AK495" t="s">
        <v>82</v>
      </c>
      <c r="AL495" t="s">
        <v>83</v>
      </c>
      <c r="AM495" s="3">
        <v>1.55</v>
      </c>
      <c r="AN495" s="4">
        <v>1666</v>
      </c>
      <c r="AO495" s="1">
        <v>1074</v>
      </c>
      <c r="AS495" s="3">
        <v>1309327.1499999999</v>
      </c>
      <c r="AW495" t="s">
        <v>84</v>
      </c>
      <c r="AY495" s="3">
        <v>1.69</v>
      </c>
      <c r="AZ495" s="4">
        <v>1197</v>
      </c>
      <c r="BA495" s="1">
        <v>708</v>
      </c>
      <c r="BB495" s="1">
        <v>189</v>
      </c>
      <c r="BC495" s="1">
        <v>278</v>
      </c>
    </row>
    <row r="496" spans="1:59" x14ac:dyDescent="0.25">
      <c r="A496" t="s">
        <v>2826</v>
      </c>
      <c r="B496" t="s">
        <v>2827</v>
      </c>
      <c r="C496" s="1">
        <v>436</v>
      </c>
      <c r="D496" s="1">
        <v>1998</v>
      </c>
      <c r="E496" t="s">
        <v>64</v>
      </c>
      <c r="F496" t="s">
        <v>177</v>
      </c>
      <c r="G496" t="s">
        <v>801</v>
      </c>
      <c r="H496" t="s">
        <v>2828</v>
      </c>
      <c r="I496" t="s">
        <v>2095</v>
      </c>
      <c r="J496" t="s">
        <v>801</v>
      </c>
      <c r="K496" s="1">
        <v>3</v>
      </c>
      <c r="L496" t="s">
        <v>91</v>
      </c>
      <c r="M496" t="s">
        <v>70</v>
      </c>
      <c r="N496" t="s">
        <v>71</v>
      </c>
      <c r="P496" t="s">
        <v>72</v>
      </c>
      <c r="Q496" t="s">
        <v>172</v>
      </c>
      <c r="R496" t="s">
        <v>74</v>
      </c>
      <c r="S496" t="s">
        <v>189</v>
      </c>
      <c r="T496" s="2">
        <v>913</v>
      </c>
      <c r="U496" s="3">
        <v>1.76</v>
      </c>
      <c r="V496" s="4">
        <v>1610</v>
      </c>
      <c r="AF496" s="5">
        <v>3.2109999999999999</v>
      </c>
      <c r="AI496" s="1">
        <v>3</v>
      </c>
      <c r="AJ496" t="s">
        <v>81</v>
      </c>
      <c r="AK496" t="s">
        <v>82</v>
      </c>
      <c r="AL496" t="s">
        <v>83</v>
      </c>
      <c r="AM496" s="3">
        <v>1.59</v>
      </c>
      <c r="AN496" s="4">
        <v>1669</v>
      </c>
      <c r="AO496" s="1">
        <v>1050</v>
      </c>
      <c r="AP496" s="3">
        <v>1.73</v>
      </c>
      <c r="AQ496" s="4">
        <v>2337</v>
      </c>
      <c r="AR496" s="1">
        <v>1353</v>
      </c>
      <c r="AS496" s="3">
        <v>1727070.8</v>
      </c>
      <c r="AW496" t="s">
        <v>84</v>
      </c>
      <c r="AY496" s="3">
        <v>1.93</v>
      </c>
      <c r="AZ496" s="4">
        <v>1470</v>
      </c>
      <c r="BA496" s="1">
        <v>760</v>
      </c>
      <c r="BB496" s="1">
        <v>240</v>
      </c>
      <c r="BC496" s="1">
        <v>163</v>
      </c>
      <c r="BD496" s="1">
        <v>33</v>
      </c>
    </row>
    <row r="497" spans="1:59" x14ac:dyDescent="0.25">
      <c r="A497" t="s">
        <v>2829</v>
      </c>
      <c r="B497" t="s">
        <v>2830</v>
      </c>
      <c r="C497" s="1">
        <v>184</v>
      </c>
      <c r="D497" s="1">
        <v>1998</v>
      </c>
      <c r="E497" t="s">
        <v>64</v>
      </c>
      <c r="F497" t="s">
        <v>177</v>
      </c>
      <c r="G497" t="s">
        <v>250</v>
      </c>
      <c r="H497" t="s">
        <v>2831</v>
      </c>
      <c r="I497" t="s">
        <v>2832</v>
      </c>
      <c r="J497" t="s">
        <v>250</v>
      </c>
      <c r="K497" s="1">
        <v>3</v>
      </c>
      <c r="L497" t="s">
        <v>91</v>
      </c>
      <c r="M497" t="s">
        <v>70</v>
      </c>
      <c r="N497" t="s">
        <v>71</v>
      </c>
      <c r="P497" t="s">
        <v>72</v>
      </c>
      <c r="Q497" t="s">
        <v>172</v>
      </c>
      <c r="R497" t="s">
        <v>74</v>
      </c>
      <c r="S497" t="s">
        <v>2833</v>
      </c>
      <c r="T497" s="2">
        <v>852</v>
      </c>
      <c r="U497" s="3">
        <v>1.91</v>
      </c>
      <c r="V497" s="4">
        <v>1627</v>
      </c>
      <c r="AF497" s="5">
        <v>3.2608999999999999</v>
      </c>
      <c r="AI497" s="1">
        <v>2</v>
      </c>
      <c r="AJ497" t="s">
        <v>81</v>
      </c>
      <c r="AK497" t="s">
        <v>82</v>
      </c>
      <c r="AL497" t="s">
        <v>83</v>
      </c>
      <c r="AM497" s="3">
        <v>1.84</v>
      </c>
      <c r="AN497" s="4">
        <v>1765</v>
      </c>
      <c r="AO497" s="1">
        <v>961</v>
      </c>
      <c r="AP497" s="3">
        <v>1.8</v>
      </c>
      <c r="AQ497" s="4">
        <v>2128</v>
      </c>
      <c r="AR497" s="1">
        <v>1183</v>
      </c>
      <c r="AS497" s="3">
        <v>298202.58</v>
      </c>
      <c r="AW497" t="s">
        <v>84</v>
      </c>
      <c r="AY497" s="3">
        <v>2.04</v>
      </c>
      <c r="AZ497" s="4">
        <v>1394</v>
      </c>
      <c r="BA497" s="1">
        <v>685</v>
      </c>
      <c r="BB497" s="1">
        <v>90</v>
      </c>
      <c r="BC497" s="1">
        <v>72</v>
      </c>
      <c r="BD497" s="1">
        <v>22</v>
      </c>
    </row>
    <row r="498" spans="1:59" x14ac:dyDescent="0.25">
      <c r="A498" t="s">
        <v>732</v>
      </c>
      <c r="B498" t="s">
        <v>733</v>
      </c>
      <c r="C498" s="1">
        <v>180</v>
      </c>
      <c r="D498" s="1">
        <v>1990</v>
      </c>
      <c r="E498" t="s">
        <v>64</v>
      </c>
      <c r="F498" t="s">
        <v>734</v>
      </c>
      <c r="G498" t="s">
        <v>735</v>
      </c>
      <c r="H498" t="s">
        <v>736</v>
      </c>
      <c r="I498" t="s">
        <v>737</v>
      </c>
      <c r="J498" t="s">
        <v>735</v>
      </c>
      <c r="K498" s="1">
        <v>2</v>
      </c>
      <c r="L498" t="s">
        <v>69</v>
      </c>
      <c r="M498" t="s">
        <v>70</v>
      </c>
      <c r="N498" t="s">
        <v>71</v>
      </c>
      <c r="P498" t="s">
        <v>72</v>
      </c>
      <c r="Q498" t="s">
        <v>73</v>
      </c>
      <c r="R498" t="s">
        <v>74</v>
      </c>
      <c r="S498" t="s">
        <v>738</v>
      </c>
      <c r="T498" s="2">
        <v>692</v>
      </c>
      <c r="U498" s="3">
        <v>1.52</v>
      </c>
      <c r="V498" s="4">
        <v>1052</v>
      </c>
      <c r="AF498" s="5">
        <v>8.8888999999999996</v>
      </c>
      <c r="AI498" s="1">
        <v>3</v>
      </c>
      <c r="AJ498" t="s">
        <v>81</v>
      </c>
      <c r="AK498" t="s">
        <v>82</v>
      </c>
      <c r="AL498" t="s">
        <v>83</v>
      </c>
      <c r="AM498" s="3">
        <v>1.4</v>
      </c>
      <c r="AN498" s="4">
        <v>1282</v>
      </c>
      <c r="AO498" s="1">
        <v>916</v>
      </c>
      <c r="AS498" s="3">
        <v>243753.38</v>
      </c>
      <c r="AT498" s="3">
        <v>1.82</v>
      </c>
      <c r="AU498" s="4">
        <v>910</v>
      </c>
      <c r="AV498" s="6">
        <v>500</v>
      </c>
      <c r="AW498" t="s">
        <v>84</v>
      </c>
      <c r="AY498" s="3">
        <v>1.54</v>
      </c>
      <c r="AZ498" s="4">
        <v>1019</v>
      </c>
      <c r="BA498" s="1">
        <v>662</v>
      </c>
      <c r="BB498" s="1">
        <v>153</v>
      </c>
      <c r="BC498" s="1">
        <v>24</v>
      </c>
    </row>
    <row r="499" spans="1:59" x14ac:dyDescent="0.25">
      <c r="A499" t="s">
        <v>2834</v>
      </c>
      <c r="B499" t="s">
        <v>2835</v>
      </c>
      <c r="C499" s="1">
        <v>296</v>
      </c>
      <c r="D499" s="1">
        <v>1992</v>
      </c>
      <c r="E499" t="s">
        <v>64</v>
      </c>
      <c r="F499" t="s">
        <v>1498</v>
      </c>
      <c r="G499" t="s">
        <v>2836</v>
      </c>
      <c r="H499" t="s">
        <v>2837</v>
      </c>
      <c r="I499" t="s">
        <v>2838</v>
      </c>
      <c r="J499" t="s">
        <v>2836</v>
      </c>
      <c r="K499" s="1">
        <v>4</v>
      </c>
      <c r="L499" t="s">
        <v>729</v>
      </c>
      <c r="M499" t="s">
        <v>70</v>
      </c>
      <c r="N499" t="s">
        <v>71</v>
      </c>
      <c r="P499" t="s">
        <v>72</v>
      </c>
      <c r="Q499" t="s">
        <v>73</v>
      </c>
      <c r="R499" t="s">
        <v>74</v>
      </c>
      <c r="S499" t="s">
        <v>1502</v>
      </c>
      <c r="T499" s="2">
        <v>869</v>
      </c>
      <c r="U499" s="3">
        <v>2.3199999999999998</v>
      </c>
      <c r="V499" s="4">
        <v>2019</v>
      </c>
      <c r="AF499" s="5">
        <v>3.7162000000000002</v>
      </c>
      <c r="AI499" s="1">
        <v>3</v>
      </c>
      <c r="AJ499" t="s">
        <v>81</v>
      </c>
      <c r="AK499" t="s">
        <v>82</v>
      </c>
      <c r="AL499" t="s">
        <v>83</v>
      </c>
      <c r="AM499" s="3">
        <v>2.19</v>
      </c>
      <c r="AN499" s="4">
        <v>2454</v>
      </c>
      <c r="AO499" s="1">
        <v>1122</v>
      </c>
      <c r="AS499" s="3">
        <v>1363368.3</v>
      </c>
      <c r="AW499" t="s">
        <v>84</v>
      </c>
      <c r="AY499" s="3">
        <v>2.42</v>
      </c>
      <c r="AZ499" s="4">
        <v>1767</v>
      </c>
      <c r="BA499" s="1">
        <v>729</v>
      </c>
      <c r="BB499" s="1">
        <v>190</v>
      </c>
      <c r="BC499" s="1">
        <v>106</v>
      </c>
      <c r="BG499" t="s">
        <v>365</v>
      </c>
    </row>
    <row r="500" spans="1:59" x14ac:dyDescent="0.25">
      <c r="A500" t="s">
        <v>2839</v>
      </c>
      <c r="B500" t="s">
        <v>2840</v>
      </c>
      <c r="C500" s="1">
        <v>312</v>
      </c>
      <c r="D500" s="1">
        <v>1999</v>
      </c>
      <c r="E500" t="s">
        <v>64</v>
      </c>
      <c r="F500" t="s">
        <v>1498</v>
      </c>
      <c r="G500" t="s">
        <v>2181</v>
      </c>
      <c r="H500" t="s">
        <v>2841</v>
      </c>
      <c r="I500" t="s">
        <v>2842</v>
      </c>
      <c r="J500" t="s">
        <v>2181</v>
      </c>
      <c r="K500" s="1">
        <v>4</v>
      </c>
      <c r="L500" t="s">
        <v>91</v>
      </c>
      <c r="M500" t="s">
        <v>70</v>
      </c>
      <c r="N500" t="s">
        <v>71</v>
      </c>
      <c r="P500" t="s">
        <v>72</v>
      </c>
      <c r="Q500" t="s">
        <v>73</v>
      </c>
      <c r="R500" t="s">
        <v>74</v>
      </c>
      <c r="S500" t="s">
        <v>1502</v>
      </c>
      <c r="T500" s="2">
        <v>1018</v>
      </c>
      <c r="U500" s="3">
        <v>1.65</v>
      </c>
      <c r="V500" s="4">
        <v>1678</v>
      </c>
      <c r="AF500" s="5">
        <v>4.1666999999999996</v>
      </c>
      <c r="AI500" s="1">
        <v>4</v>
      </c>
      <c r="AJ500" t="s">
        <v>81</v>
      </c>
      <c r="AK500" t="s">
        <v>82</v>
      </c>
      <c r="AL500" t="s">
        <v>83</v>
      </c>
      <c r="AM500" s="3">
        <v>1.51</v>
      </c>
      <c r="AN500" s="4">
        <v>1898</v>
      </c>
      <c r="AO500" s="1">
        <v>1255</v>
      </c>
      <c r="AP500" s="3">
        <v>1.49</v>
      </c>
      <c r="AQ500" s="4">
        <v>2320</v>
      </c>
      <c r="AR500" s="1">
        <v>1560</v>
      </c>
      <c r="AS500" s="3">
        <v>1452769.5</v>
      </c>
      <c r="AW500" t="s">
        <v>84</v>
      </c>
      <c r="AY500" s="3">
        <v>1.84</v>
      </c>
      <c r="AZ500" s="4">
        <v>1437</v>
      </c>
      <c r="BA500" s="1">
        <v>781</v>
      </c>
      <c r="BB500" s="1">
        <v>171</v>
      </c>
      <c r="BC500" s="1">
        <v>117</v>
      </c>
      <c r="BD500" s="1">
        <v>24</v>
      </c>
      <c r="BG500" t="s">
        <v>131</v>
      </c>
    </row>
    <row r="501" spans="1:59" x14ac:dyDescent="0.25">
      <c r="A501" t="s">
        <v>2843</v>
      </c>
      <c r="B501" t="s">
        <v>2844</v>
      </c>
      <c r="C501" s="1">
        <v>294</v>
      </c>
      <c r="D501" s="1">
        <v>2000</v>
      </c>
      <c r="E501" t="s">
        <v>64</v>
      </c>
      <c r="F501" t="s">
        <v>215</v>
      </c>
      <c r="G501" t="s">
        <v>2845</v>
      </c>
      <c r="H501" t="s">
        <v>2846</v>
      </c>
      <c r="I501" t="s">
        <v>2847</v>
      </c>
      <c r="J501" t="s">
        <v>2845</v>
      </c>
      <c r="K501" s="1">
        <v>4</v>
      </c>
      <c r="L501" t="s">
        <v>729</v>
      </c>
      <c r="M501" t="s">
        <v>70</v>
      </c>
      <c r="N501" t="s">
        <v>71</v>
      </c>
      <c r="P501" t="s">
        <v>72</v>
      </c>
      <c r="Q501" t="s">
        <v>2848</v>
      </c>
      <c r="R501" t="s">
        <v>74</v>
      </c>
      <c r="S501" t="s">
        <v>2849</v>
      </c>
      <c r="T501" s="2">
        <v>942</v>
      </c>
      <c r="U501" s="3">
        <v>1.44</v>
      </c>
      <c r="V501" s="4">
        <v>1360</v>
      </c>
      <c r="AF501" s="5">
        <v>9.5237999999999996</v>
      </c>
      <c r="AI501" s="1">
        <v>2</v>
      </c>
      <c r="AJ501" t="s">
        <v>81</v>
      </c>
      <c r="AK501" t="s">
        <v>82</v>
      </c>
      <c r="AL501" t="s">
        <v>83</v>
      </c>
      <c r="AM501" s="3">
        <v>1.47</v>
      </c>
      <c r="AN501" s="4">
        <v>1658</v>
      </c>
      <c r="AO501" s="1">
        <v>1124</v>
      </c>
      <c r="AP501" s="3">
        <v>1.44</v>
      </c>
      <c r="AQ501" s="4">
        <v>1995</v>
      </c>
      <c r="AR501" s="1">
        <v>1390</v>
      </c>
      <c r="AS501" s="3">
        <v>574241.87</v>
      </c>
      <c r="AW501" t="s">
        <v>84</v>
      </c>
      <c r="AY501" s="3">
        <v>1.41</v>
      </c>
      <c r="AZ501" s="4">
        <v>1125</v>
      </c>
      <c r="BA501" s="1">
        <v>796</v>
      </c>
      <c r="BB501" s="1">
        <v>172</v>
      </c>
      <c r="BC501" s="1">
        <v>110</v>
      </c>
      <c r="BD501" s="1">
        <v>12</v>
      </c>
      <c r="BF501" t="s">
        <v>2850</v>
      </c>
      <c r="BG501" t="s">
        <v>104</v>
      </c>
    </row>
    <row r="502" spans="1:59" x14ac:dyDescent="0.25">
      <c r="A502" t="s">
        <v>2851</v>
      </c>
      <c r="B502" t="s">
        <v>2852</v>
      </c>
      <c r="C502" s="1">
        <v>480</v>
      </c>
      <c r="D502" s="1">
        <v>1995</v>
      </c>
      <c r="E502" t="s">
        <v>64</v>
      </c>
      <c r="F502" t="s">
        <v>338</v>
      </c>
      <c r="G502" t="s">
        <v>1532</v>
      </c>
      <c r="H502" t="s">
        <v>2853</v>
      </c>
      <c r="I502" t="s">
        <v>2854</v>
      </c>
      <c r="J502" t="s">
        <v>1532</v>
      </c>
      <c r="K502" s="1">
        <v>4</v>
      </c>
      <c r="L502" t="s">
        <v>91</v>
      </c>
      <c r="M502" t="s">
        <v>70</v>
      </c>
      <c r="N502" t="s">
        <v>71</v>
      </c>
      <c r="P502" t="s">
        <v>72</v>
      </c>
      <c r="Q502" t="s">
        <v>73</v>
      </c>
      <c r="R502" t="s">
        <v>74</v>
      </c>
      <c r="S502" t="s">
        <v>2855</v>
      </c>
      <c r="T502" s="2">
        <v>860</v>
      </c>
      <c r="U502" s="3">
        <v>1.73</v>
      </c>
      <c r="V502" s="4">
        <v>1490</v>
      </c>
      <c r="AF502" s="5">
        <v>10.208299999999999</v>
      </c>
      <c r="AH502" s="1">
        <v>2016</v>
      </c>
      <c r="AI502" s="1">
        <v>3</v>
      </c>
      <c r="AJ502" t="s">
        <v>81</v>
      </c>
      <c r="AK502" t="s">
        <v>82</v>
      </c>
      <c r="AL502" t="s">
        <v>83</v>
      </c>
      <c r="AM502" s="3">
        <v>1.63</v>
      </c>
      <c r="AN502" s="4">
        <v>1659</v>
      </c>
      <c r="AO502" s="1">
        <v>1018</v>
      </c>
      <c r="AP502" s="3">
        <v>1.68</v>
      </c>
      <c r="AQ502" s="4">
        <v>2390</v>
      </c>
      <c r="AR502" s="1">
        <v>1419</v>
      </c>
      <c r="AS502" s="3">
        <v>2108974.31</v>
      </c>
      <c r="AT502" s="3">
        <v>2.68</v>
      </c>
      <c r="AU502" s="4">
        <v>1498</v>
      </c>
      <c r="AV502" s="6">
        <v>558</v>
      </c>
      <c r="AW502" t="s">
        <v>84</v>
      </c>
      <c r="AY502" s="3">
        <v>1.85</v>
      </c>
      <c r="AZ502" s="4">
        <v>1283</v>
      </c>
      <c r="BA502" s="1">
        <v>694</v>
      </c>
      <c r="BB502" s="1">
        <v>253</v>
      </c>
      <c r="BC502" s="1">
        <v>207</v>
      </c>
      <c r="BD502" s="1">
        <v>18</v>
      </c>
      <c r="BF502" t="s">
        <v>2856</v>
      </c>
      <c r="BG502" t="s">
        <v>104</v>
      </c>
    </row>
    <row r="503" spans="1:59" x14ac:dyDescent="0.25">
      <c r="A503" t="s">
        <v>2857</v>
      </c>
      <c r="B503" t="s">
        <v>2858</v>
      </c>
      <c r="C503" s="1">
        <v>50</v>
      </c>
      <c r="D503" s="1">
        <v>1991</v>
      </c>
      <c r="E503" t="s">
        <v>64</v>
      </c>
      <c r="F503" t="s">
        <v>280</v>
      </c>
      <c r="G503" t="s">
        <v>2859</v>
      </c>
      <c r="H503" t="s">
        <v>2860</v>
      </c>
      <c r="I503" t="s">
        <v>2861</v>
      </c>
      <c r="J503" t="s">
        <v>2859</v>
      </c>
      <c r="K503" s="1">
        <v>3</v>
      </c>
      <c r="L503" t="s">
        <v>91</v>
      </c>
      <c r="M503" t="s">
        <v>70</v>
      </c>
      <c r="N503" t="s">
        <v>71</v>
      </c>
      <c r="O503" t="s">
        <v>118</v>
      </c>
      <c r="P503" t="s">
        <v>72</v>
      </c>
      <c r="Q503" t="s">
        <v>523</v>
      </c>
      <c r="R503" t="s">
        <v>74</v>
      </c>
      <c r="S503" t="s">
        <v>2862</v>
      </c>
      <c r="T503" s="2">
        <v>670</v>
      </c>
      <c r="U503" s="3">
        <v>0.92</v>
      </c>
      <c r="V503" s="4">
        <v>618</v>
      </c>
      <c r="AF503" s="5">
        <v>6</v>
      </c>
      <c r="AI503" s="1">
        <v>1</v>
      </c>
      <c r="AJ503" t="s">
        <v>81</v>
      </c>
      <c r="AK503" t="s">
        <v>82</v>
      </c>
      <c r="AL503" t="s">
        <v>83</v>
      </c>
      <c r="AM503" s="3">
        <v>0.86</v>
      </c>
      <c r="AN503" s="4">
        <v>739</v>
      </c>
      <c r="AO503" s="1">
        <v>864</v>
      </c>
      <c r="AS503" s="3">
        <v>23320.15</v>
      </c>
      <c r="AW503" t="s">
        <v>84</v>
      </c>
      <c r="AY503" s="3">
        <v>0.94</v>
      </c>
      <c r="AZ503" s="4">
        <v>595</v>
      </c>
      <c r="BA503" s="1">
        <v>634</v>
      </c>
      <c r="BB503" s="1">
        <v>42</v>
      </c>
      <c r="BC503" s="1">
        <v>8</v>
      </c>
    </row>
    <row r="504" spans="1:59" x14ac:dyDescent="0.25">
      <c r="A504" t="s">
        <v>2863</v>
      </c>
      <c r="B504" t="s">
        <v>2864</v>
      </c>
      <c r="C504" s="1">
        <v>590</v>
      </c>
      <c r="D504" s="1">
        <v>1999</v>
      </c>
      <c r="E504" t="s">
        <v>64</v>
      </c>
      <c r="F504" t="s">
        <v>1133</v>
      </c>
      <c r="G504" t="s">
        <v>1976</v>
      </c>
      <c r="H504" t="s">
        <v>2865</v>
      </c>
      <c r="I504" t="s">
        <v>2866</v>
      </c>
      <c r="J504" t="s">
        <v>1976</v>
      </c>
      <c r="K504" s="1">
        <v>4</v>
      </c>
      <c r="L504" t="s">
        <v>729</v>
      </c>
      <c r="M504" t="s">
        <v>70</v>
      </c>
      <c r="N504" t="s">
        <v>71</v>
      </c>
      <c r="P504" t="s">
        <v>72</v>
      </c>
      <c r="Q504" t="s">
        <v>264</v>
      </c>
      <c r="R504" t="s">
        <v>74</v>
      </c>
      <c r="S504" t="s">
        <v>1594</v>
      </c>
      <c r="T504" s="2">
        <v>891</v>
      </c>
      <c r="U504" s="3">
        <v>1.83</v>
      </c>
      <c r="V504" s="4">
        <v>1633</v>
      </c>
      <c r="AF504" s="5">
        <v>7.2881</v>
      </c>
      <c r="AH504" s="1">
        <v>2017</v>
      </c>
      <c r="AI504" s="1">
        <v>2</v>
      </c>
      <c r="AJ504" t="s">
        <v>81</v>
      </c>
      <c r="AK504" t="s">
        <v>82</v>
      </c>
      <c r="AL504" t="s">
        <v>83</v>
      </c>
      <c r="AM504" s="3">
        <v>1.74</v>
      </c>
      <c r="AN504" s="4">
        <v>1915</v>
      </c>
      <c r="AO504" s="1">
        <v>1099</v>
      </c>
      <c r="AP504" s="3">
        <v>1.83</v>
      </c>
      <c r="AQ504" s="4">
        <v>2646</v>
      </c>
      <c r="AR504" s="1">
        <v>1449</v>
      </c>
      <c r="AS504" s="3">
        <v>2276270.33</v>
      </c>
      <c r="AW504" t="s">
        <v>84</v>
      </c>
      <c r="AY504" s="3">
        <v>1.93</v>
      </c>
      <c r="AZ504" s="4">
        <v>1399</v>
      </c>
      <c r="BA504" s="1">
        <v>727</v>
      </c>
      <c r="BB504" s="1">
        <v>340</v>
      </c>
      <c r="BC504" s="1">
        <v>238</v>
      </c>
      <c r="BD504" s="1">
        <v>12</v>
      </c>
      <c r="BF504" t="s">
        <v>2867</v>
      </c>
      <c r="BG504" t="s">
        <v>104</v>
      </c>
    </row>
    <row r="505" spans="1:59" x14ac:dyDescent="0.25">
      <c r="A505" t="s">
        <v>2868</v>
      </c>
      <c r="B505" t="s">
        <v>2869</v>
      </c>
      <c r="C505" s="1">
        <v>220</v>
      </c>
      <c r="D505" s="1">
        <v>1996</v>
      </c>
      <c r="E505" t="s">
        <v>64</v>
      </c>
      <c r="F505" t="s">
        <v>134</v>
      </c>
      <c r="G505" t="s">
        <v>546</v>
      </c>
      <c r="H505" t="s">
        <v>2870</v>
      </c>
      <c r="I505" t="s">
        <v>2871</v>
      </c>
      <c r="J505" t="s">
        <v>546</v>
      </c>
      <c r="K505" s="1">
        <v>4</v>
      </c>
      <c r="L505" t="s">
        <v>91</v>
      </c>
      <c r="M505" t="s">
        <v>70</v>
      </c>
      <c r="N505" t="s">
        <v>71</v>
      </c>
      <c r="O505" t="s">
        <v>118</v>
      </c>
      <c r="P505" t="s">
        <v>72</v>
      </c>
      <c r="Q505" t="s">
        <v>73</v>
      </c>
      <c r="R505" t="s">
        <v>74</v>
      </c>
      <c r="S505" t="s">
        <v>2872</v>
      </c>
      <c r="T505" s="2">
        <v>772</v>
      </c>
      <c r="U505" s="3">
        <v>1.62</v>
      </c>
      <c r="V505" s="4">
        <v>1250</v>
      </c>
      <c r="AF505" s="5">
        <v>14.545500000000001</v>
      </c>
      <c r="AI505" s="1">
        <v>4</v>
      </c>
      <c r="AJ505" t="s">
        <v>81</v>
      </c>
      <c r="AK505" t="s">
        <v>82</v>
      </c>
      <c r="AL505" t="s">
        <v>83</v>
      </c>
      <c r="AM505" s="3">
        <v>1.54</v>
      </c>
      <c r="AN505" s="4">
        <v>1379</v>
      </c>
      <c r="AO505" s="1">
        <v>897</v>
      </c>
      <c r="AS505" s="3">
        <v>374879.2</v>
      </c>
      <c r="AW505" t="s">
        <v>84</v>
      </c>
      <c r="AY505" s="3">
        <v>1.73</v>
      </c>
      <c r="AZ505" s="4">
        <v>1124</v>
      </c>
      <c r="BA505" s="1">
        <v>650</v>
      </c>
      <c r="BB505" s="1">
        <v>111</v>
      </c>
      <c r="BC505" s="1">
        <v>109</v>
      </c>
      <c r="BG505" t="s">
        <v>643</v>
      </c>
    </row>
    <row r="506" spans="1:59" x14ac:dyDescent="0.25">
      <c r="A506" t="s">
        <v>2873</v>
      </c>
      <c r="B506" t="s">
        <v>2874</v>
      </c>
      <c r="C506" s="1">
        <v>184</v>
      </c>
      <c r="D506" s="1">
        <v>1999</v>
      </c>
      <c r="E506" t="s">
        <v>64</v>
      </c>
      <c r="F506" t="s">
        <v>134</v>
      </c>
      <c r="G506" t="s">
        <v>2875</v>
      </c>
      <c r="H506" t="s">
        <v>2876</v>
      </c>
      <c r="I506" t="s">
        <v>2877</v>
      </c>
      <c r="J506" t="s">
        <v>2875</v>
      </c>
      <c r="K506" s="1">
        <v>3</v>
      </c>
      <c r="L506" t="s">
        <v>91</v>
      </c>
      <c r="M506" t="s">
        <v>70</v>
      </c>
      <c r="N506" t="s">
        <v>71</v>
      </c>
      <c r="O506" t="s">
        <v>118</v>
      </c>
      <c r="P506" t="s">
        <v>72</v>
      </c>
      <c r="Q506" t="s">
        <v>73</v>
      </c>
      <c r="R506" t="s">
        <v>74</v>
      </c>
      <c r="S506" t="s">
        <v>2872</v>
      </c>
      <c r="T506" s="2">
        <v>853</v>
      </c>
      <c r="U506" s="3">
        <v>2.38</v>
      </c>
      <c r="V506" s="4">
        <v>2029</v>
      </c>
      <c r="AF506" s="5">
        <v>8.1522000000000006</v>
      </c>
      <c r="AI506" s="1">
        <v>4</v>
      </c>
      <c r="AJ506" t="s">
        <v>81</v>
      </c>
      <c r="AK506" t="s">
        <v>82</v>
      </c>
      <c r="AL506" t="s">
        <v>83</v>
      </c>
      <c r="AM506" s="3">
        <v>2.61</v>
      </c>
      <c r="AN506" s="4">
        <v>2488</v>
      </c>
      <c r="AO506" s="1">
        <v>952</v>
      </c>
      <c r="AS506" s="3">
        <v>304589.34999999998</v>
      </c>
      <c r="AW506" t="s">
        <v>84</v>
      </c>
      <c r="AY506" s="3">
        <v>1.66</v>
      </c>
      <c r="AZ506" s="4">
        <v>1079</v>
      </c>
      <c r="BA506" s="1">
        <v>650</v>
      </c>
      <c r="BB506" s="1">
        <v>60</v>
      </c>
      <c r="BC506" s="1">
        <v>124</v>
      </c>
    </row>
    <row r="507" spans="1:59" x14ac:dyDescent="0.25">
      <c r="A507" t="s">
        <v>2878</v>
      </c>
      <c r="B507" t="s">
        <v>2879</v>
      </c>
      <c r="C507" s="1">
        <v>480</v>
      </c>
      <c r="D507" s="1">
        <v>2000</v>
      </c>
      <c r="E507" t="s">
        <v>64</v>
      </c>
      <c r="F507" t="s">
        <v>800</v>
      </c>
      <c r="G507" t="s">
        <v>1532</v>
      </c>
      <c r="H507" t="s">
        <v>2880</v>
      </c>
      <c r="I507" t="s">
        <v>2881</v>
      </c>
      <c r="J507" t="s">
        <v>1532</v>
      </c>
      <c r="K507" s="1">
        <v>4</v>
      </c>
      <c r="L507" t="s">
        <v>729</v>
      </c>
      <c r="M507" t="s">
        <v>70</v>
      </c>
      <c r="N507" t="s">
        <v>71</v>
      </c>
      <c r="P507" t="s">
        <v>72</v>
      </c>
      <c r="Q507" t="s">
        <v>800</v>
      </c>
      <c r="R507" t="s">
        <v>74</v>
      </c>
      <c r="S507" t="s">
        <v>803</v>
      </c>
      <c r="T507" s="2">
        <v>956</v>
      </c>
      <c r="U507" s="3">
        <v>1.81</v>
      </c>
      <c r="V507" s="4">
        <v>1730</v>
      </c>
      <c r="AF507" s="5">
        <v>6.0416999999999996</v>
      </c>
      <c r="AI507" s="1">
        <v>3</v>
      </c>
      <c r="AJ507" t="s">
        <v>81</v>
      </c>
      <c r="AK507" t="s">
        <v>82</v>
      </c>
      <c r="AL507" t="s">
        <v>83</v>
      </c>
      <c r="AM507" s="3">
        <v>1.67</v>
      </c>
      <c r="AN507" s="4">
        <v>1837</v>
      </c>
      <c r="AO507" s="1">
        <v>1102</v>
      </c>
      <c r="AP507" s="3">
        <v>1.82</v>
      </c>
      <c r="AQ507" s="4">
        <v>2490</v>
      </c>
      <c r="AR507" s="1">
        <v>1367</v>
      </c>
      <c r="AS507" s="3">
        <v>532437.12</v>
      </c>
      <c r="AW507" t="s">
        <v>84</v>
      </c>
      <c r="AY507" s="3">
        <v>1.94</v>
      </c>
      <c r="AZ507" s="4">
        <v>1553</v>
      </c>
      <c r="BA507" s="1">
        <v>802</v>
      </c>
      <c r="BB507" s="1">
        <v>264</v>
      </c>
      <c r="BC507" s="1">
        <v>180</v>
      </c>
      <c r="BD507" s="1">
        <v>36</v>
      </c>
    </row>
    <row r="508" spans="1:59" x14ac:dyDescent="0.25">
      <c r="A508" t="s">
        <v>2882</v>
      </c>
      <c r="B508" t="s">
        <v>2883</v>
      </c>
      <c r="C508" s="1">
        <v>392</v>
      </c>
      <c r="D508" s="1">
        <v>1999</v>
      </c>
      <c r="E508" t="s">
        <v>64</v>
      </c>
      <c r="F508" t="s">
        <v>800</v>
      </c>
      <c r="G508" t="s">
        <v>2884</v>
      </c>
      <c r="H508" t="s">
        <v>2885</v>
      </c>
      <c r="I508" t="s">
        <v>2886</v>
      </c>
      <c r="J508" t="s">
        <v>2884</v>
      </c>
      <c r="K508" s="1">
        <v>4</v>
      </c>
      <c r="L508" t="s">
        <v>729</v>
      </c>
      <c r="M508" t="s">
        <v>70</v>
      </c>
      <c r="N508" t="s">
        <v>71</v>
      </c>
      <c r="P508" t="s">
        <v>72</v>
      </c>
      <c r="Q508" t="s">
        <v>800</v>
      </c>
      <c r="R508" t="s">
        <v>74</v>
      </c>
      <c r="S508" t="s">
        <v>2887</v>
      </c>
      <c r="T508" s="2">
        <v>909</v>
      </c>
      <c r="U508" s="3">
        <v>1.91</v>
      </c>
      <c r="V508" s="4">
        <v>1734</v>
      </c>
      <c r="AF508" s="5">
        <v>6.6326999999999998</v>
      </c>
      <c r="AI508" s="1">
        <v>2</v>
      </c>
      <c r="AJ508" t="s">
        <v>81</v>
      </c>
      <c r="AK508" t="s">
        <v>82</v>
      </c>
      <c r="AL508" t="s">
        <v>83</v>
      </c>
      <c r="AM508" s="3">
        <v>1.7</v>
      </c>
      <c r="AN508" s="4">
        <v>1867</v>
      </c>
      <c r="AO508" s="1">
        <v>1098</v>
      </c>
      <c r="AW508" t="s">
        <v>84</v>
      </c>
      <c r="AY508" s="3">
        <v>2.1</v>
      </c>
      <c r="AZ508" s="4">
        <v>1658</v>
      </c>
      <c r="BA508" s="1">
        <v>790</v>
      </c>
      <c r="BB508" s="1">
        <v>240</v>
      </c>
      <c r="BC508" s="1">
        <v>152</v>
      </c>
    </row>
    <row r="509" spans="1:59" x14ac:dyDescent="0.25">
      <c r="A509" t="s">
        <v>2888</v>
      </c>
      <c r="B509" t="s">
        <v>2889</v>
      </c>
      <c r="C509" s="1">
        <v>336</v>
      </c>
      <c r="D509" s="1">
        <v>1998</v>
      </c>
      <c r="E509" t="s">
        <v>64</v>
      </c>
      <c r="F509" t="s">
        <v>800</v>
      </c>
      <c r="G509" t="s">
        <v>2890</v>
      </c>
      <c r="H509" t="s">
        <v>2891</v>
      </c>
      <c r="I509" t="s">
        <v>2892</v>
      </c>
      <c r="J509" t="s">
        <v>2890</v>
      </c>
      <c r="K509" s="1">
        <v>3</v>
      </c>
      <c r="L509" t="s">
        <v>91</v>
      </c>
      <c r="M509" t="s">
        <v>70</v>
      </c>
      <c r="N509" t="s">
        <v>71</v>
      </c>
      <c r="P509" t="s">
        <v>72</v>
      </c>
      <c r="Q509" t="s">
        <v>800</v>
      </c>
      <c r="R509" t="s">
        <v>74</v>
      </c>
      <c r="S509" t="s">
        <v>803</v>
      </c>
      <c r="T509" s="2">
        <v>948</v>
      </c>
      <c r="U509" s="3">
        <v>1.56</v>
      </c>
      <c r="V509" s="4">
        <v>1480</v>
      </c>
      <c r="AF509" s="5">
        <v>5.6547999999999998</v>
      </c>
      <c r="AI509" s="1">
        <v>2</v>
      </c>
      <c r="AJ509" t="s">
        <v>81</v>
      </c>
      <c r="AK509" t="s">
        <v>82</v>
      </c>
      <c r="AL509" t="s">
        <v>83</v>
      </c>
      <c r="AM509" s="3">
        <v>1.51</v>
      </c>
      <c r="AN509" s="4">
        <v>1583</v>
      </c>
      <c r="AO509" s="1">
        <v>1047</v>
      </c>
      <c r="AP509" s="3">
        <v>1.76</v>
      </c>
      <c r="AQ509" s="4">
        <v>2161</v>
      </c>
      <c r="AR509" s="1">
        <v>1226</v>
      </c>
      <c r="AS509" s="3">
        <v>307212.36</v>
      </c>
      <c r="AW509" t="s">
        <v>84</v>
      </c>
      <c r="AY509" s="3">
        <v>1.61</v>
      </c>
      <c r="AZ509" s="4">
        <v>1325</v>
      </c>
      <c r="BA509" s="1">
        <v>821</v>
      </c>
      <c r="BB509" s="1">
        <v>152</v>
      </c>
      <c r="BC509" s="1">
        <v>176</v>
      </c>
      <c r="BD509" s="1">
        <v>8</v>
      </c>
      <c r="BG509" t="s">
        <v>131</v>
      </c>
    </row>
    <row r="510" spans="1:59" x14ac:dyDescent="0.25">
      <c r="A510" t="s">
        <v>2893</v>
      </c>
      <c r="B510" t="s">
        <v>2894</v>
      </c>
      <c r="C510" s="1">
        <v>246</v>
      </c>
      <c r="D510" s="1">
        <v>1995</v>
      </c>
      <c r="E510" t="s">
        <v>64</v>
      </c>
      <c r="F510" t="s">
        <v>198</v>
      </c>
      <c r="G510" t="s">
        <v>2895</v>
      </c>
      <c r="H510" t="s">
        <v>2896</v>
      </c>
      <c r="I510" t="s">
        <v>2897</v>
      </c>
      <c r="J510" t="s">
        <v>2895</v>
      </c>
      <c r="K510" s="1">
        <v>4</v>
      </c>
      <c r="L510" t="s">
        <v>91</v>
      </c>
      <c r="M510" t="s">
        <v>70</v>
      </c>
      <c r="N510" t="s">
        <v>71</v>
      </c>
      <c r="P510" t="s">
        <v>72</v>
      </c>
      <c r="Q510" t="s">
        <v>110</v>
      </c>
      <c r="R510" t="s">
        <v>74</v>
      </c>
      <c r="S510" t="s">
        <v>202</v>
      </c>
      <c r="T510" s="2">
        <v>1030</v>
      </c>
      <c r="U510" s="3">
        <v>1.51</v>
      </c>
      <c r="V510" s="4">
        <v>1559</v>
      </c>
      <c r="AF510" s="5">
        <v>6.0975999999999999</v>
      </c>
      <c r="AI510" s="1">
        <v>4</v>
      </c>
      <c r="AJ510" t="s">
        <v>81</v>
      </c>
      <c r="AK510" t="s">
        <v>82</v>
      </c>
      <c r="AL510" t="s">
        <v>83</v>
      </c>
      <c r="AM510" s="3">
        <v>1.46</v>
      </c>
      <c r="AN510" s="4">
        <v>1702</v>
      </c>
      <c r="AO510" s="1">
        <v>1168</v>
      </c>
      <c r="AP510" s="3">
        <v>1.45</v>
      </c>
      <c r="AQ510" s="4">
        <v>2061</v>
      </c>
      <c r="AR510" s="1">
        <v>1424</v>
      </c>
      <c r="AS510" s="3">
        <v>729314.06</v>
      </c>
      <c r="AW510" t="s">
        <v>84</v>
      </c>
      <c r="AY510" s="3">
        <v>1.65</v>
      </c>
      <c r="AZ510" s="4">
        <v>1279</v>
      </c>
      <c r="BA510" s="1">
        <v>774</v>
      </c>
      <c r="BB510" s="1">
        <v>95</v>
      </c>
      <c r="BC510" s="1">
        <v>137</v>
      </c>
      <c r="BD510" s="1">
        <v>14</v>
      </c>
      <c r="BG510" t="s">
        <v>365</v>
      </c>
    </row>
    <row r="511" spans="1:59" x14ac:dyDescent="0.25">
      <c r="A511" t="s">
        <v>2898</v>
      </c>
      <c r="B511" t="s">
        <v>2899</v>
      </c>
      <c r="C511" s="1">
        <v>125</v>
      </c>
      <c r="D511" s="1">
        <v>1999</v>
      </c>
      <c r="E511" t="s">
        <v>64</v>
      </c>
      <c r="F511" t="s">
        <v>625</v>
      </c>
      <c r="G511" t="s">
        <v>2900</v>
      </c>
      <c r="H511" t="s">
        <v>2901</v>
      </c>
      <c r="I511" t="s">
        <v>2902</v>
      </c>
      <c r="J511" t="s">
        <v>2900</v>
      </c>
      <c r="K511" s="1">
        <v>4</v>
      </c>
      <c r="L511" t="s">
        <v>91</v>
      </c>
      <c r="M511" t="s">
        <v>70</v>
      </c>
      <c r="N511" t="s">
        <v>71</v>
      </c>
      <c r="O511" t="s">
        <v>118</v>
      </c>
      <c r="P511" t="s">
        <v>72</v>
      </c>
      <c r="Q511" t="s">
        <v>73</v>
      </c>
      <c r="R511" t="s">
        <v>74</v>
      </c>
      <c r="S511" t="s">
        <v>2903</v>
      </c>
      <c r="T511" s="2">
        <v>1347</v>
      </c>
      <c r="U511" s="3">
        <v>1.07</v>
      </c>
      <c r="V511" s="4">
        <v>1438</v>
      </c>
      <c r="AG511" s="1">
        <v>12</v>
      </c>
      <c r="AI511" s="1">
        <v>2</v>
      </c>
      <c r="AJ511" t="s">
        <v>81</v>
      </c>
      <c r="AK511" t="s">
        <v>82</v>
      </c>
      <c r="AL511" t="s">
        <v>83</v>
      </c>
      <c r="AP511" s="3">
        <v>1.07</v>
      </c>
      <c r="AQ511" s="4">
        <v>1438</v>
      </c>
      <c r="AR511" s="1">
        <v>1347</v>
      </c>
      <c r="AS511" s="3">
        <v>14584.88</v>
      </c>
      <c r="AW511" t="s">
        <v>84</v>
      </c>
      <c r="BD511" s="1">
        <v>125</v>
      </c>
      <c r="BF511" t="s">
        <v>247</v>
      </c>
      <c r="BG511" t="s">
        <v>104</v>
      </c>
    </row>
    <row r="512" spans="1:59" x14ac:dyDescent="0.25">
      <c r="A512" t="s">
        <v>2904</v>
      </c>
      <c r="B512" t="s">
        <v>2905</v>
      </c>
      <c r="C512" s="1">
        <v>181</v>
      </c>
      <c r="D512" s="1">
        <v>1998</v>
      </c>
      <c r="E512" t="s">
        <v>64</v>
      </c>
      <c r="F512" t="s">
        <v>87</v>
      </c>
      <c r="G512" t="s">
        <v>801</v>
      </c>
      <c r="H512" t="s">
        <v>2906</v>
      </c>
      <c r="I512" t="s">
        <v>2907</v>
      </c>
      <c r="J512" t="s">
        <v>801</v>
      </c>
      <c r="K512" s="1">
        <v>4</v>
      </c>
      <c r="L512" t="s">
        <v>91</v>
      </c>
      <c r="M512" t="s">
        <v>70</v>
      </c>
      <c r="N512" t="s">
        <v>71</v>
      </c>
      <c r="P512" t="s">
        <v>72</v>
      </c>
      <c r="Q512" t="s">
        <v>73</v>
      </c>
      <c r="R512" t="s">
        <v>74</v>
      </c>
      <c r="S512" t="s">
        <v>92</v>
      </c>
      <c r="T512" s="2">
        <v>834</v>
      </c>
      <c r="U512" s="3">
        <v>2.12</v>
      </c>
      <c r="V512" s="4">
        <v>1774</v>
      </c>
      <c r="AF512" s="5">
        <v>8.8398000000000003</v>
      </c>
      <c r="AI512" s="1">
        <v>4</v>
      </c>
      <c r="AJ512" t="s">
        <v>81</v>
      </c>
      <c r="AK512" t="s">
        <v>82</v>
      </c>
      <c r="AL512" t="s">
        <v>83</v>
      </c>
      <c r="AM512" s="3">
        <v>1.94</v>
      </c>
      <c r="AN512" s="4">
        <v>2124</v>
      </c>
      <c r="AO512" s="1">
        <v>1096</v>
      </c>
      <c r="AP512" s="3">
        <v>1.66</v>
      </c>
      <c r="AQ512" s="4">
        <v>2544</v>
      </c>
      <c r="AR512" s="1">
        <v>1531</v>
      </c>
      <c r="AS512" s="3">
        <v>897191.8</v>
      </c>
      <c r="AT512" s="3">
        <v>2.4500000000000002</v>
      </c>
      <c r="AU512" s="4">
        <v>1438</v>
      </c>
      <c r="AV512" s="6">
        <v>586</v>
      </c>
      <c r="AW512" t="s">
        <v>84</v>
      </c>
      <c r="AY512" s="3">
        <v>2.15</v>
      </c>
      <c r="AZ512" s="4">
        <v>1828</v>
      </c>
      <c r="BA512" s="1">
        <v>851</v>
      </c>
      <c r="BB512" s="1">
        <v>78</v>
      </c>
      <c r="BC512" s="1">
        <v>20</v>
      </c>
      <c r="BD512" s="1">
        <v>15</v>
      </c>
    </row>
    <row r="513" spans="1:59" x14ac:dyDescent="0.25">
      <c r="A513" t="s">
        <v>2908</v>
      </c>
      <c r="B513" t="s">
        <v>2909</v>
      </c>
      <c r="C513" s="1">
        <v>220</v>
      </c>
      <c r="D513" s="1">
        <v>1996</v>
      </c>
      <c r="E513" t="s">
        <v>64</v>
      </c>
      <c r="F513" t="s">
        <v>800</v>
      </c>
      <c r="G513" t="s">
        <v>2910</v>
      </c>
      <c r="H513" t="s">
        <v>2911</v>
      </c>
      <c r="I513" t="s">
        <v>2912</v>
      </c>
      <c r="J513" t="s">
        <v>2910</v>
      </c>
      <c r="K513" s="1">
        <v>3</v>
      </c>
      <c r="L513" t="s">
        <v>91</v>
      </c>
      <c r="M513" t="s">
        <v>70</v>
      </c>
      <c r="N513" t="s">
        <v>71</v>
      </c>
      <c r="P513" t="s">
        <v>72</v>
      </c>
      <c r="Q513" t="s">
        <v>800</v>
      </c>
      <c r="R513" t="s">
        <v>74</v>
      </c>
      <c r="S513" t="s">
        <v>2913</v>
      </c>
      <c r="T513" s="2">
        <v>1007</v>
      </c>
      <c r="U513" s="3">
        <v>2.0099999999999998</v>
      </c>
      <c r="V513" s="4">
        <v>2029</v>
      </c>
      <c r="AF513" s="5">
        <v>5.4545000000000003</v>
      </c>
      <c r="AI513" s="1">
        <v>2</v>
      </c>
      <c r="AJ513" t="s">
        <v>81</v>
      </c>
      <c r="AK513" t="s">
        <v>82</v>
      </c>
      <c r="AL513" t="s">
        <v>83</v>
      </c>
      <c r="AM513" s="3">
        <v>1.83</v>
      </c>
      <c r="AN513" s="4">
        <v>2011</v>
      </c>
      <c r="AO513" s="1">
        <v>1097</v>
      </c>
      <c r="AP513" s="3">
        <v>1.97</v>
      </c>
      <c r="AQ513" s="4">
        <v>2732</v>
      </c>
      <c r="AR513" s="1">
        <v>1390</v>
      </c>
      <c r="AS513" s="3">
        <v>245962.8</v>
      </c>
      <c r="AW513" t="s">
        <v>84</v>
      </c>
      <c r="AY513" s="3">
        <v>2.2999999999999998</v>
      </c>
      <c r="AZ513" s="4">
        <v>1794</v>
      </c>
      <c r="BA513" s="1">
        <v>782</v>
      </c>
      <c r="BB513" s="1">
        <v>96</v>
      </c>
      <c r="BC513" s="1">
        <v>88</v>
      </c>
      <c r="BD513" s="1">
        <v>36</v>
      </c>
      <c r="BF513" t="s">
        <v>2914</v>
      </c>
      <c r="BG513" t="s">
        <v>131</v>
      </c>
    </row>
    <row r="514" spans="1:59" x14ac:dyDescent="0.25">
      <c r="A514" t="s">
        <v>2915</v>
      </c>
      <c r="B514" t="s">
        <v>2916</v>
      </c>
      <c r="C514" s="1">
        <v>424</v>
      </c>
      <c r="D514" s="1">
        <v>2000</v>
      </c>
      <c r="E514" t="s">
        <v>64</v>
      </c>
      <c r="F514" t="s">
        <v>308</v>
      </c>
      <c r="G514" t="s">
        <v>784</v>
      </c>
      <c r="H514" t="s">
        <v>2917</v>
      </c>
      <c r="I514" t="s">
        <v>2918</v>
      </c>
      <c r="J514" t="s">
        <v>784</v>
      </c>
      <c r="K514" s="1">
        <v>4</v>
      </c>
      <c r="L514" t="s">
        <v>91</v>
      </c>
      <c r="M514" t="s">
        <v>70</v>
      </c>
      <c r="N514" t="s">
        <v>71</v>
      </c>
      <c r="O514" t="s">
        <v>128</v>
      </c>
      <c r="P514" t="s">
        <v>72</v>
      </c>
      <c r="Q514" t="s">
        <v>393</v>
      </c>
      <c r="R514" t="s">
        <v>74</v>
      </c>
      <c r="S514" t="s">
        <v>766</v>
      </c>
      <c r="T514" s="2">
        <v>903</v>
      </c>
      <c r="U514" s="3">
        <v>1.3</v>
      </c>
      <c r="V514" s="4">
        <v>1177</v>
      </c>
      <c r="AF514" s="5">
        <v>8.4906000000000006</v>
      </c>
      <c r="AG514" s="1">
        <v>1</v>
      </c>
      <c r="AI514" s="1">
        <v>3</v>
      </c>
      <c r="AJ514" t="s">
        <v>81</v>
      </c>
      <c r="AK514" t="s">
        <v>82</v>
      </c>
      <c r="AL514" t="s">
        <v>83</v>
      </c>
      <c r="AM514" s="3">
        <v>1.28</v>
      </c>
      <c r="AN514" s="4">
        <v>1238</v>
      </c>
      <c r="AO514" s="1">
        <v>965</v>
      </c>
      <c r="AP514" s="3">
        <v>1.34</v>
      </c>
      <c r="AQ514" s="4">
        <v>1709</v>
      </c>
      <c r="AR514" s="1">
        <v>1279</v>
      </c>
      <c r="AS514" s="3">
        <v>1525488.23</v>
      </c>
      <c r="AW514" t="s">
        <v>84</v>
      </c>
      <c r="AY514" s="3">
        <v>1.26</v>
      </c>
      <c r="AZ514" s="4">
        <v>917</v>
      </c>
      <c r="BA514" s="1">
        <v>726</v>
      </c>
      <c r="BB514" s="1">
        <v>180</v>
      </c>
      <c r="BC514" s="1">
        <v>190</v>
      </c>
      <c r="BD514" s="1">
        <v>54</v>
      </c>
      <c r="BF514" t="s">
        <v>2919</v>
      </c>
      <c r="BG514" t="s">
        <v>131</v>
      </c>
    </row>
    <row r="515" spans="1:59" x14ac:dyDescent="0.25">
      <c r="A515" t="s">
        <v>2920</v>
      </c>
      <c r="B515" t="s">
        <v>2921</v>
      </c>
      <c r="C515" s="1">
        <v>180</v>
      </c>
      <c r="D515" s="1">
        <v>1996</v>
      </c>
      <c r="E515" t="s">
        <v>64</v>
      </c>
      <c r="F515" t="s">
        <v>2922</v>
      </c>
      <c r="G515" t="s">
        <v>2923</v>
      </c>
      <c r="H515" t="s">
        <v>2924</v>
      </c>
      <c r="I515" t="s">
        <v>2925</v>
      </c>
      <c r="J515" t="s">
        <v>2923</v>
      </c>
      <c r="K515" s="1">
        <v>4</v>
      </c>
      <c r="L515" t="s">
        <v>91</v>
      </c>
      <c r="M515" t="s">
        <v>70</v>
      </c>
      <c r="N515" t="s">
        <v>71</v>
      </c>
      <c r="O515" t="s">
        <v>118</v>
      </c>
      <c r="P515" t="s">
        <v>72</v>
      </c>
      <c r="Q515" t="s">
        <v>73</v>
      </c>
      <c r="R515" t="s">
        <v>74</v>
      </c>
      <c r="S515" t="s">
        <v>92</v>
      </c>
      <c r="T515" s="2">
        <v>873</v>
      </c>
      <c r="U515" s="3">
        <v>1.79</v>
      </c>
      <c r="V515" s="4">
        <v>1563</v>
      </c>
      <c r="AF515" s="5">
        <v>6.6666999999999996</v>
      </c>
      <c r="AI515" s="1">
        <v>3</v>
      </c>
      <c r="AJ515" t="s">
        <v>81</v>
      </c>
      <c r="AK515" t="s">
        <v>82</v>
      </c>
      <c r="AL515" t="s">
        <v>83</v>
      </c>
      <c r="AM515" s="3">
        <v>1.75</v>
      </c>
      <c r="AN515" s="4">
        <v>1717</v>
      </c>
      <c r="AO515" s="1">
        <v>983</v>
      </c>
      <c r="AP515" s="3">
        <v>1.4</v>
      </c>
      <c r="AQ515" s="4">
        <v>1694</v>
      </c>
      <c r="AR515" s="1">
        <v>1207</v>
      </c>
      <c r="AS515" s="3">
        <v>374367.52</v>
      </c>
      <c r="AW515" t="s">
        <v>84</v>
      </c>
      <c r="AY515" s="3">
        <v>2.0299999999999998</v>
      </c>
      <c r="AZ515" s="4">
        <v>1393</v>
      </c>
      <c r="BA515" s="1">
        <v>685</v>
      </c>
      <c r="BB515" s="1">
        <v>84</v>
      </c>
      <c r="BC515" s="1">
        <v>72</v>
      </c>
      <c r="BD515" s="1">
        <v>24</v>
      </c>
      <c r="BF515" t="s">
        <v>2926</v>
      </c>
      <c r="BG515" t="s">
        <v>104</v>
      </c>
    </row>
    <row r="516" spans="1:59" x14ac:dyDescent="0.25">
      <c r="A516" t="s">
        <v>2927</v>
      </c>
      <c r="B516" t="s">
        <v>2928</v>
      </c>
      <c r="C516" s="1">
        <v>228</v>
      </c>
      <c r="D516" s="1">
        <v>1995</v>
      </c>
      <c r="E516" t="s">
        <v>64</v>
      </c>
      <c r="F516" t="s">
        <v>734</v>
      </c>
      <c r="G516" t="s">
        <v>2487</v>
      </c>
      <c r="H516" t="s">
        <v>2929</v>
      </c>
      <c r="I516" t="s">
        <v>2930</v>
      </c>
      <c r="J516" t="s">
        <v>2487</v>
      </c>
      <c r="K516" s="1">
        <v>3</v>
      </c>
      <c r="L516" t="s">
        <v>91</v>
      </c>
      <c r="M516" t="s">
        <v>70</v>
      </c>
      <c r="N516" t="s">
        <v>71</v>
      </c>
      <c r="P516" t="s">
        <v>72</v>
      </c>
      <c r="Q516" t="s">
        <v>73</v>
      </c>
      <c r="R516" t="s">
        <v>74</v>
      </c>
      <c r="S516" t="s">
        <v>730</v>
      </c>
      <c r="T516" s="2">
        <v>763</v>
      </c>
      <c r="U516" s="3">
        <v>1.79</v>
      </c>
      <c r="V516" s="4">
        <v>1368</v>
      </c>
      <c r="AF516" s="5">
        <v>7.4561000000000002</v>
      </c>
      <c r="AI516" s="1">
        <v>3</v>
      </c>
      <c r="AJ516" t="s">
        <v>81</v>
      </c>
      <c r="AK516" t="s">
        <v>82</v>
      </c>
      <c r="AL516" t="s">
        <v>83</v>
      </c>
      <c r="AM516" s="3">
        <v>1.68</v>
      </c>
      <c r="AN516" s="4">
        <v>1775</v>
      </c>
      <c r="AO516" s="1">
        <v>1055</v>
      </c>
      <c r="AS516" s="3">
        <v>521761.94</v>
      </c>
      <c r="AW516" t="s">
        <v>84</v>
      </c>
      <c r="AY516" s="3">
        <v>1.84</v>
      </c>
      <c r="AZ516" s="4">
        <v>1260</v>
      </c>
      <c r="BA516" s="1">
        <v>686</v>
      </c>
      <c r="BB516" s="1">
        <v>180</v>
      </c>
      <c r="BC516" s="1">
        <v>48</v>
      </c>
      <c r="BG516" t="s">
        <v>131</v>
      </c>
    </row>
    <row r="517" spans="1:59" x14ac:dyDescent="0.25">
      <c r="A517" t="s">
        <v>2931</v>
      </c>
      <c r="B517" t="s">
        <v>2932</v>
      </c>
      <c r="C517" s="1">
        <v>240</v>
      </c>
      <c r="D517" s="1">
        <v>1999</v>
      </c>
      <c r="E517" t="s">
        <v>64</v>
      </c>
      <c r="F517" t="s">
        <v>638</v>
      </c>
      <c r="G517" t="s">
        <v>1976</v>
      </c>
      <c r="H517" t="s">
        <v>2933</v>
      </c>
      <c r="I517" t="s">
        <v>2934</v>
      </c>
      <c r="J517" t="s">
        <v>1976</v>
      </c>
      <c r="K517" s="1">
        <v>4</v>
      </c>
      <c r="L517" t="s">
        <v>91</v>
      </c>
      <c r="M517" t="s">
        <v>70</v>
      </c>
      <c r="N517" t="s">
        <v>71</v>
      </c>
      <c r="O517" t="s">
        <v>118</v>
      </c>
      <c r="P517" t="s">
        <v>72</v>
      </c>
      <c r="Q517" t="s">
        <v>2750</v>
      </c>
      <c r="R517" t="s">
        <v>74</v>
      </c>
      <c r="S517" t="s">
        <v>2935</v>
      </c>
      <c r="T517" s="2">
        <v>1180</v>
      </c>
      <c r="U517" s="3">
        <v>1.21</v>
      </c>
      <c r="V517" s="4">
        <v>1432</v>
      </c>
      <c r="AF517" s="5">
        <v>24.166699999999999</v>
      </c>
      <c r="AI517" s="1">
        <v>2</v>
      </c>
      <c r="AJ517" t="s">
        <v>81</v>
      </c>
      <c r="AK517" t="s">
        <v>82</v>
      </c>
      <c r="AL517" t="s">
        <v>83</v>
      </c>
      <c r="AM517" s="3">
        <v>1.24</v>
      </c>
      <c r="AN517" s="4">
        <v>1348</v>
      </c>
      <c r="AO517" s="1">
        <v>1087</v>
      </c>
      <c r="AP517" s="3">
        <v>1.18</v>
      </c>
      <c r="AQ517" s="4">
        <v>1559</v>
      </c>
      <c r="AR517" s="1">
        <v>1322</v>
      </c>
      <c r="AS517" s="3">
        <v>270039.90000000002</v>
      </c>
      <c r="AW517" t="s">
        <v>84</v>
      </c>
      <c r="BC517" s="1">
        <v>144</v>
      </c>
      <c r="BD517" s="1">
        <v>96</v>
      </c>
      <c r="BG517" t="s">
        <v>131</v>
      </c>
    </row>
    <row r="518" spans="1:59" x14ac:dyDescent="0.25">
      <c r="A518" t="s">
        <v>2936</v>
      </c>
      <c r="B518" t="s">
        <v>2937</v>
      </c>
      <c r="C518" s="1">
        <v>372</v>
      </c>
      <c r="D518" s="1">
        <v>1996</v>
      </c>
      <c r="E518" t="s">
        <v>64</v>
      </c>
      <c r="F518" t="s">
        <v>123</v>
      </c>
      <c r="G518" t="s">
        <v>1038</v>
      </c>
      <c r="H518" t="s">
        <v>2938</v>
      </c>
      <c r="I518" t="s">
        <v>1038</v>
      </c>
      <c r="J518" t="s">
        <v>1038</v>
      </c>
      <c r="K518" s="1">
        <v>4</v>
      </c>
      <c r="L518" t="s">
        <v>729</v>
      </c>
      <c r="M518" t="s">
        <v>70</v>
      </c>
      <c r="N518" t="s">
        <v>71</v>
      </c>
      <c r="P518" t="s">
        <v>72</v>
      </c>
      <c r="Q518" t="s">
        <v>129</v>
      </c>
      <c r="R518" t="s">
        <v>74</v>
      </c>
      <c r="S518" t="s">
        <v>2570</v>
      </c>
      <c r="T518" s="2">
        <v>919</v>
      </c>
      <c r="U518" s="3">
        <v>1.59</v>
      </c>
      <c r="V518" s="4">
        <v>1460</v>
      </c>
      <c r="AF518" s="5">
        <v>6.1828000000000003</v>
      </c>
      <c r="AI518" s="1">
        <v>3</v>
      </c>
      <c r="AJ518" t="s">
        <v>81</v>
      </c>
      <c r="AK518" t="s">
        <v>82</v>
      </c>
      <c r="AL518" t="s">
        <v>83</v>
      </c>
      <c r="AM518" s="3">
        <v>1.47</v>
      </c>
      <c r="AN518" s="4">
        <v>1544</v>
      </c>
      <c r="AO518" s="1">
        <v>1048</v>
      </c>
      <c r="AP518" s="3">
        <v>1.6</v>
      </c>
      <c r="AQ518" s="4">
        <v>1996</v>
      </c>
      <c r="AR518" s="1">
        <v>1251</v>
      </c>
      <c r="AS518" s="3">
        <v>967738.24</v>
      </c>
      <c r="AW518" t="s">
        <v>84</v>
      </c>
      <c r="AY518" s="3">
        <v>1.75</v>
      </c>
      <c r="AZ518" s="4">
        <v>1262</v>
      </c>
      <c r="BA518" s="1">
        <v>720</v>
      </c>
      <c r="BB518" s="1">
        <v>168</v>
      </c>
      <c r="BC518" s="1">
        <v>168</v>
      </c>
      <c r="BD518" s="1">
        <v>36</v>
      </c>
      <c r="BG518" t="s">
        <v>744</v>
      </c>
    </row>
    <row r="519" spans="1:59" x14ac:dyDescent="0.25">
      <c r="A519" t="s">
        <v>2939</v>
      </c>
      <c r="B519" t="s">
        <v>2940</v>
      </c>
      <c r="C519" s="1">
        <v>144</v>
      </c>
      <c r="D519" s="1">
        <v>1995</v>
      </c>
      <c r="E519" t="s">
        <v>64</v>
      </c>
      <c r="F519" t="s">
        <v>551</v>
      </c>
      <c r="G519" t="s">
        <v>2941</v>
      </c>
      <c r="H519" t="s">
        <v>2942</v>
      </c>
      <c r="I519" t="s">
        <v>2941</v>
      </c>
      <c r="J519" t="s">
        <v>2941</v>
      </c>
      <c r="K519" s="1">
        <v>3</v>
      </c>
      <c r="L519" t="s">
        <v>91</v>
      </c>
      <c r="M519" t="s">
        <v>70</v>
      </c>
      <c r="N519" t="s">
        <v>71</v>
      </c>
      <c r="O519" t="s">
        <v>118</v>
      </c>
      <c r="P519" t="s">
        <v>72</v>
      </c>
      <c r="Q519" t="s">
        <v>551</v>
      </c>
      <c r="R519" t="s">
        <v>74</v>
      </c>
      <c r="S519" t="s">
        <v>2943</v>
      </c>
      <c r="T519" s="2">
        <v>1021</v>
      </c>
      <c r="U519" s="3">
        <v>1.56</v>
      </c>
      <c r="V519" s="4">
        <v>1588</v>
      </c>
      <c r="AF519" s="5">
        <v>5.5556000000000001</v>
      </c>
      <c r="AI519" s="1">
        <v>2</v>
      </c>
      <c r="AJ519" t="s">
        <v>81</v>
      </c>
      <c r="AK519" t="s">
        <v>82</v>
      </c>
      <c r="AL519" t="s">
        <v>83</v>
      </c>
      <c r="AM519" s="3">
        <v>1.57</v>
      </c>
      <c r="AN519" s="4">
        <v>1512</v>
      </c>
      <c r="AO519" s="1">
        <v>966</v>
      </c>
      <c r="AP519" s="3">
        <v>1.54</v>
      </c>
      <c r="AQ519" s="4">
        <v>1708</v>
      </c>
      <c r="AR519" s="1">
        <v>1108</v>
      </c>
      <c r="AS519" s="3">
        <v>210263.77</v>
      </c>
      <c r="AW519" t="s">
        <v>84</v>
      </c>
      <c r="BC519" s="1">
        <v>88</v>
      </c>
      <c r="BD519" s="1">
        <v>56</v>
      </c>
      <c r="BG519" t="s">
        <v>131</v>
      </c>
    </row>
    <row r="520" spans="1:59" x14ac:dyDescent="0.25">
      <c r="A520" t="s">
        <v>2944</v>
      </c>
      <c r="B520" t="s">
        <v>2945</v>
      </c>
      <c r="C520" s="1">
        <v>519</v>
      </c>
      <c r="D520" s="1">
        <v>1997</v>
      </c>
      <c r="E520" t="s">
        <v>64</v>
      </c>
      <c r="F520" t="s">
        <v>123</v>
      </c>
      <c r="G520" t="s">
        <v>1038</v>
      </c>
      <c r="H520" t="s">
        <v>2946</v>
      </c>
      <c r="I520" t="s">
        <v>1038</v>
      </c>
      <c r="J520" t="s">
        <v>1038</v>
      </c>
      <c r="K520" s="1">
        <v>3</v>
      </c>
      <c r="L520" t="s">
        <v>91</v>
      </c>
      <c r="M520" t="s">
        <v>70</v>
      </c>
      <c r="N520" t="s">
        <v>71</v>
      </c>
      <c r="P520" t="s">
        <v>72</v>
      </c>
      <c r="Q520" t="s">
        <v>551</v>
      </c>
      <c r="R520" t="s">
        <v>74</v>
      </c>
      <c r="S520" t="s">
        <v>986</v>
      </c>
      <c r="T520" s="2">
        <v>956</v>
      </c>
      <c r="U520" s="3">
        <v>1.58</v>
      </c>
      <c r="V520" s="4">
        <v>1510</v>
      </c>
      <c r="AF520" s="5">
        <v>2.6974999999999998</v>
      </c>
      <c r="AI520" s="1">
        <v>3</v>
      </c>
      <c r="AJ520" t="s">
        <v>81</v>
      </c>
      <c r="AK520" t="s">
        <v>82</v>
      </c>
      <c r="AL520" t="s">
        <v>83</v>
      </c>
      <c r="AM520" s="3">
        <v>1.51</v>
      </c>
      <c r="AN520" s="4">
        <v>1556</v>
      </c>
      <c r="AO520" s="1">
        <v>1032</v>
      </c>
      <c r="AP520" s="3">
        <v>1.57</v>
      </c>
      <c r="AQ520" s="4">
        <v>2066</v>
      </c>
      <c r="AR520" s="1">
        <v>1320</v>
      </c>
      <c r="AS520" s="3">
        <v>1383314.24</v>
      </c>
      <c r="AW520" t="s">
        <v>84</v>
      </c>
      <c r="AY520" s="3">
        <v>1.69</v>
      </c>
      <c r="AZ520" s="4">
        <v>1274</v>
      </c>
      <c r="BA520" s="1">
        <v>754</v>
      </c>
      <c r="BB520" s="1">
        <v>214</v>
      </c>
      <c r="BC520" s="1">
        <v>234</v>
      </c>
      <c r="BD520" s="1">
        <v>71</v>
      </c>
    </row>
    <row r="521" spans="1:59" x14ac:dyDescent="0.25">
      <c r="A521" t="s">
        <v>2947</v>
      </c>
      <c r="B521" t="s">
        <v>2948</v>
      </c>
      <c r="C521" s="1">
        <v>240</v>
      </c>
      <c r="D521" s="1">
        <v>1998</v>
      </c>
      <c r="E521" t="s">
        <v>64</v>
      </c>
      <c r="F521" t="s">
        <v>140</v>
      </c>
      <c r="G521" t="s">
        <v>882</v>
      </c>
      <c r="H521" t="s">
        <v>2949</v>
      </c>
      <c r="I521" t="s">
        <v>2950</v>
      </c>
      <c r="J521" t="s">
        <v>882</v>
      </c>
      <c r="K521" s="1">
        <v>3</v>
      </c>
      <c r="L521" t="s">
        <v>91</v>
      </c>
      <c r="M521" t="s">
        <v>70</v>
      </c>
      <c r="N521" t="s">
        <v>71</v>
      </c>
      <c r="P521" t="s">
        <v>72</v>
      </c>
      <c r="Q521" t="s">
        <v>140</v>
      </c>
      <c r="R521" t="s">
        <v>74</v>
      </c>
      <c r="S521" t="s">
        <v>2951</v>
      </c>
      <c r="T521" s="2">
        <v>996</v>
      </c>
      <c r="U521" s="3">
        <v>1.73</v>
      </c>
      <c r="V521" s="4">
        <v>1722</v>
      </c>
      <c r="AF521" s="5">
        <v>5.8333000000000004</v>
      </c>
      <c r="AI521" s="1">
        <v>2</v>
      </c>
      <c r="AJ521" t="s">
        <v>81</v>
      </c>
      <c r="AK521" t="s">
        <v>82</v>
      </c>
      <c r="AL521" t="s">
        <v>83</v>
      </c>
      <c r="AM521" s="3">
        <v>1.68</v>
      </c>
      <c r="AN521" s="4">
        <v>1924</v>
      </c>
      <c r="AO521" s="1">
        <v>1145</v>
      </c>
      <c r="AP521" s="3">
        <v>1.62</v>
      </c>
      <c r="AQ521" s="4">
        <v>2290</v>
      </c>
      <c r="AR521" s="1">
        <v>1415</v>
      </c>
      <c r="AS521" s="3">
        <v>659772.56999999995</v>
      </c>
      <c r="AW521" t="s">
        <v>84</v>
      </c>
      <c r="AY521" s="3">
        <v>1.82</v>
      </c>
      <c r="AZ521" s="4">
        <v>1448</v>
      </c>
      <c r="BA521" s="1">
        <v>794</v>
      </c>
      <c r="BB521" s="1">
        <v>120</v>
      </c>
      <c r="BC521" s="1">
        <v>96</v>
      </c>
      <c r="BD521" s="1">
        <v>24</v>
      </c>
      <c r="BG521" t="s">
        <v>131</v>
      </c>
    </row>
    <row r="522" spans="1:59" x14ac:dyDescent="0.25">
      <c r="A522" t="s">
        <v>2952</v>
      </c>
      <c r="B522" t="s">
        <v>2953</v>
      </c>
      <c r="C522" s="1">
        <v>194</v>
      </c>
      <c r="D522" s="1">
        <v>2000</v>
      </c>
      <c r="E522" t="s">
        <v>64</v>
      </c>
      <c r="F522" t="s">
        <v>2063</v>
      </c>
      <c r="G522" t="s">
        <v>403</v>
      </c>
      <c r="H522" t="s">
        <v>2954</v>
      </c>
      <c r="I522" t="s">
        <v>2955</v>
      </c>
      <c r="J522" t="s">
        <v>403</v>
      </c>
      <c r="K522" s="1">
        <v>4</v>
      </c>
      <c r="L522" t="s">
        <v>91</v>
      </c>
      <c r="M522" t="s">
        <v>70</v>
      </c>
      <c r="N522" t="s">
        <v>71</v>
      </c>
      <c r="P522" t="s">
        <v>72</v>
      </c>
      <c r="Q522" t="s">
        <v>152</v>
      </c>
      <c r="R522" t="s">
        <v>74</v>
      </c>
      <c r="S522" t="s">
        <v>2601</v>
      </c>
      <c r="T522" s="2">
        <v>853</v>
      </c>
      <c r="U522" s="3">
        <v>1.68</v>
      </c>
      <c r="V522" s="4">
        <v>1436</v>
      </c>
      <c r="AF522" s="5">
        <v>7.2164999999999999</v>
      </c>
      <c r="AI522" s="1">
        <v>4</v>
      </c>
      <c r="AJ522" t="s">
        <v>81</v>
      </c>
      <c r="AK522" t="s">
        <v>82</v>
      </c>
      <c r="AL522" t="s">
        <v>83</v>
      </c>
      <c r="AM522" s="3">
        <v>1.65</v>
      </c>
      <c r="AN522" s="4">
        <v>1625</v>
      </c>
      <c r="AO522" s="1">
        <v>986</v>
      </c>
      <c r="AW522" t="s">
        <v>84</v>
      </c>
      <c r="AY522" s="3">
        <v>1.71</v>
      </c>
      <c r="AZ522" s="4">
        <v>1304</v>
      </c>
      <c r="BA522" s="1">
        <v>760</v>
      </c>
      <c r="BB522" s="1">
        <v>114</v>
      </c>
      <c r="BC522" s="1">
        <v>80</v>
      </c>
    </row>
    <row r="523" spans="1:59" x14ac:dyDescent="0.25">
      <c r="A523" t="s">
        <v>2956</v>
      </c>
      <c r="B523" t="s">
        <v>2957</v>
      </c>
      <c r="C523" s="1">
        <v>310</v>
      </c>
      <c r="D523" s="1">
        <v>1991</v>
      </c>
      <c r="E523" t="s">
        <v>64</v>
      </c>
      <c r="F523" t="s">
        <v>514</v>
      </c>
      <c r="G523" t="s">
        <v>2895</v>
      </c>
      <c r="H523" t="s">
        <v>2958</v>
      </c>
      <c r="I523" t="s">
        <v>2959</v>
      </c>
      <c r="J523" t="s">
        <v>2895</v>
      </c>
      <c r="K523" s="1">
        <v>4</v>
      </c>
      <c r="L523" t="s">
        <v>91</v>
      </c>
      <c r="M523" t="s">
        <v>70</v>
      </c>
      <c r="N523" t="s">
        <v>71</v>
      </c>
      <c r="P523" t="s">
        <v>72</v>
      </c>
      <c r="Q523" t="s">
        <v>264</v>
      </c>
      <c r="R523" t="s">
        <v>74</v>
      </c>
      <c r="S523" t="s">
        <v>2960</v>
      </c>
      <c r="T523" s="2">
        <v>956</v>
      </c>
      <c r="U523" s="3">
        <v>1.38</v>
      </c>
      <c r="V523" s="4">
        <v>1319</v>
      </c>
      <c r="AF523" s="5">
        <v>7.4194000000000004</v>
      </c>
      <c r="AH523" s="1">
        <v>2018</v>
      </c>
      <c r="AI523" s="1">
        <v>3</v>
      </c>
      <c r="AJ523" t="s">
        <v>81</v>
      </c>
      <c r="AK523" t="s">
        <v>82</v>
      </c>
      <c r="AL523" t="s">
        <v>83</v>
      </c>
      <c r="AM523" s="3">
        <v>1.27</v>
      </c>
      <c r="AN523" s="4">
        <v>1504</v>
      </c>
      <c r="AO523" s="1">
        <v>1181</v>
      </c>
      <c r="AS523" s="3">
        <v>1221361.1000000001</v>
      </c>
      <c r="AW523" t="s">
        <v>84</v>
      </c>
      <c r="AY523" s="3">
        <v>1.59</v>
      </c>
      <c r="AZ523" s="4">
        <v>1107</v>
      </c>
      <c r="BA523" s="1">
        <v>698</v>
      </c>
      <c r="BB523" s="1">
        <v>144</v>
      </c>
      <c r="BC523" s="1">
        <v>166</v>
      </c>
      <c r="BG523" t="s">
        <v>131</v>
      </c>
    </row>
    <row r="524" spans="1:59" x14ac:dyDescent="0.25">
      <c r="A524" t="s">
        <v>2961</v>
      </c>
      <c r="B524" t="s">
        <v>2962</v>
      </c>
      <c r="C524" s="1">
        <v>128</v>
      </c>
      <c r="D524" s="1">
        <v>2000</v>
      </c>
      <c r="E524" t="s">
        <v>64</v>
      </c>
      <c r="F524" t="s">
        <v>439</v>
      </c>
      <c r="G524" t="s">
        <v>2845</v>
      </c>
      <c r="H524" t="s">
        <v>2963</v>
      </c>
      <c r="I524" t="s">
        <v>2964</v>
      </c>
      <c r="J524" t="s">
        <v>2845</v>
      </c>
      <c r="K524" s="1">
        <v>4</v>
      </c>
      <c r="L524" t="s">
        <v>91</v>
      </c>
      <c r="M524" t="s">
        <v>70</v>
      </c>
      <c r="N524" t="s">
        <v>71</v>
      </c>
      <c r="P524" t="s">
        <v>72</v>
      </c>
      <c r="Q524" t="s">
        <v>885</v>
      </c>
      <c r="R524" t="s">
        <v>74</v>
      </c>
      <c r="S524" t="s">
        <v>886</v>
      </c>
      <c r="T524" s="2">
        <v>963</v>
      </c>
      <c r="U524" s="3">
        <v>1.52</v>
      </c>
      <c r="V524" s="4">
        <v>1467</v>
      </c>
      <c r="AF524" s="5">
        <v>13.2813</v>
      </c>
      <c r="AI524" s="1">
        <v>3</v>
      </c>
      <c r="AJ524" t="s">
        <v>81</v>
      </c>
      <c r="AK524" t="s">
        <v>82</v>
      </c>
      <c r="AL524" t="s">
        <v>83</v>
      </c>
      <c r="AM524" s="3">
        <v>1.51</v>
      </c>
      <c r="AN524" s="4">
        <v>1429</v>
      </c>
      <c r="AO524" s="1">
        <v>947</v>
      </c>
      <c r="AP524" s="3">
        <v>1.43</v>
      </c>
      <c r="AQ524" s="4">
        <v>1727</v>
      </c>
      <c r="AR524" s="1">
        <v>1207</v>
      </c>
      <c r="AS524" s="3">
        <v>119217.03</v>
      </c>
      <c r="AW524" t="s">
        <v>84</v>
      </c>
      <c r="AY524" s="3">
        <v>1.79</v>
      </c>
      <c r="AZ524" s="4">
        <v>1234</v>
      </c>
      <c r="BA524" s="1">
        <v>688</v>
      </c>
      <c r="BB524" s="1">
        <v>24</v>
      </c>
      <c r="BC524" s="1">
        <v>72</v>
      </c>
      <c r="BD524" s="1">
        <v>32</v>
      </c>
      <c r="BF524" t="s">
        <v>2965</v>
      </c>
      <c r="BG524" t="s">
        <v>104</v>
      </c>
    </row>
    <row r="525" spans="1:59" x14ac:dyDescent="0.25">
      <c r="A525" t="s">
        <v>2966</v>
      </c>
      <c r="B525" t="s">
        <v>2967</v>
      </c>
      <c r="C525" s="1">
        <v>444</v>
      </c>
      <c r="D525" s="1">
        <v>1993</v>
      </c>
      <c r="E525" t="s">
        <v>64</v>
      </c>
      <c r="F525" t="s">
        <v>514</v>
      </c>
      <c r="G525" t="s">
        <v>2377</v>
      </c>
      <c r="H525" t="s">
        <v>2968</v>
      </c>
      <c r="I525" t="s">
        <v>2969</v>
      </c>
      <c r="J525" t="s">
        <v>2377</v>
      </c>
      <c r="K525" s="1">
        <v>4</v>
      </c>
      <c r="L525" t="s">
        <v>729</v>
      </c>
      <c r="M525" t="s">
        <v>70</v>
      </c>
      <c r="N525" t="s">
        <v>71</v>
      </c>
      <c r="P525" t="s">
        <v>72</v>
      </c>
      <c r="Q525" t="s">
        <v>264</v>
      </c>
      <c r="R525" t="s">
        <v>74</v>
      </c>
      <c r="S525" t="s">
        <v>851</v>
      </c>
      <c r="T525" s="2">
        <v>1031</v>
      </c>
      <c r="U525" s="3">
        <v>1.99</v>
      </c>
      <c r="V525" s="4">
        <v>2051</v>
      </c>
      <c r="AF525" s="5">
        <v>8.1081000000000003</v>
      </c>
      <c r="AI525" s="1">
        <v>3</v>
      </c>
      <c r="AJ525" t="s">
        <v>81</v>
      </c>
      <c r="AK525" t="s">
        <v>82</v>
      </c>
      <c r="AL525" t="s">
        <v>83</v>
      </c>
      <c r="AM525" s="3">
        <v>1.88</v>
      </c>
      <c r="AN525" s="4">
        <v>2246</v>
      </c>
      <c r="AO525" s="1">
        <v>1192</v>
      </c>
      <c r="AP525" s="3">
        <v>1.77</v>
      </c>
      <c r="AQ525" s="4">
        <v>2567</v>
      </c>
      <c r="AR525" s="1">
        <v>1453</v>
      </c>
      <c r="AS525" s="3">
        <v>0</v>
      </c>
      <c r="AW525" t="s">
        <v>84</v>
      </c>
      <c r="AY525" s="3">
        <v>2.2200000000000002</v>
      </c>
      <c r="AZ525" s="4">
        <v>1758</v>
      </c>
      <c r="BA525" s="1">
        <v>791</v>
      </c>
      <c r="BB525" s="1">
        <v>188</v>
      </c>
      <c r="BC525" s="1">
        <v>240</v>
      </c>
      <c r="BD525" s="1">
        <v>16</v>
      </c>
    </row>
    <row r="526" spans="1:59" x14ac:dyDescent="0.25">
      <c r="A526" t="s">
        <v>2970</v>
      </c>
      <c r="B526" t="s">
        <v>2971</v>
      </c>
      <c r="C526" s="1">
        <v>302</v>
      </c>
      <c r="D526" s="1">
        <v>1999</v>
      </c>
      <c r="E526" t="s">
        <v>64</v>
      </c>
      <c r="F526" t="s">
        <v>308</v>
      </c>
      <c r="G526" t="s">
        <v>2972</v>
      </c>
      <c r="H526" t="s">
        <v>2973</v>
      </c>
      <c r="I526" t="s">
        <v>2974</v>
      </c>
      <c r="J526" t="s">
        <v>2972</v>
      </c>
      <c r="K526" s="1">
        <v>3</v>
      </c>
      <c r="L526" t="s">
        <v>91</v>
      </c>
      <c r="M526" t="s">
        <v>70</v>
      </c>
      <c r="N526" t="s">
        <v>71</v>
      </c>
      <c r="P526" t="s">
        <v>72</v>
      </c>
      <c r="Q526" t="s">
        <v>393</v>
      </c>
      <c r="R526" t="s">
        <v>74</v>
      </c>
      <c r="S526" t="s">
        <v>2975</v>
      </c>
      <c r="T526" s="2">
        <v>881</v>
      </c>
      <c r="U526" s="3">
        <v>1.63</v>
      </c>
      <c r="V526" s="4">
        <v>1435</v>
      </c>
      <c r="AF526" s="5">
        <v>3.9735</v>
      </c>
      <c r="AI526" s="1">
        <v>2</v>
      </c>
      <c r="AJ526" t="s">
        <v>81</v>
      </c>
      <c r="AK526" t="s">
        <v>82</v>
      </c>
      <c r="AL526" t="s">
        <v>83</v>
      </c>
      <c r="AM526" s="3">
        <v>1.61</v>
      </c>
      <c r="AN526" s="4">
        <v>1600</v>
      </c>
      <c r="AO526" s="1">
        <v>994</v>
      </c>
      <c r="AP526" s="3">
        <v>1.6</v>
      </c>
      <c r="AQ526" s="4">
        <v>1954</v>
      </c>
      <c r="AR526" s="1">
        <v>1219</v>
      </c>
      <c r="AS526" s="3">
        <v>1041585.12</v>
      </c>
      <c r="AW526" t="s">
        <v>84</v>
      </c>
      <c r="AY526" s="3">
        <v>1.66</v>
      </c>
      <c r="AZ526" s="4">
        <v>1216</v>
      </c>
      <c r="BA526" s="1">
        <v>735</v>
      </c>
      <c r="BB526" s="1">
        <v>152</v>
      </c>
      <c r="BC526" s="1">
        <v>126</v>
      </c>
      <c r="BD526" s="1">
        <v>24</v>
      </c>
    </row>
    <row r="527" spans="1:59" x14ac:dyDescent="0.25">
      <c r="A527" t="s">
        <v>2976</v>
      </c>
      <c r="B527" t="s">
        <v>2977</v>
      </c>
      <c r="C527" s="1">
        <v>115</v>
      </c>
      <c r="D527" s="1">
        <v>1998</v>
      </c>
      <c r="E527" t="s">
        <v>64</v>
      </c>
      <c r="F527" t="s">
        <v>156</v>
      </c>
      <c r="G527" t="s">
        <v>2978</v>
      </c>
      <c r="H527" t="s">
        <v>2979</v>
      </c>
      <c r="I527" t="s">
        <v>2978</v>
      </c>
      <c r="K527" s="1">
        <v>2</v>
      </c>
      <c r="L527" t="s">
        <v>69</v>
      </c>
      <c r="M527" t="s">
        <v>70</v>
      </c>
      <c r="N527" t="s">
        <v>127</v>
      </c>
      <c r="P527" t="s">
        <v>72</v>
      </c>
      <c r="Q527" t="s">
        <v>862</v>
      </c>
      <c r="R527" t="s">
        <v>74</v>
      </c>
      <c r="S527" t="s">
        <v>869</v>
      </c>
      <c r="AF527" s="5">
        <v>10.434799999999999</v>
      </c>
      <c r="AI527" s="1">
        <v>1</v>
      </c>
      <c r="AJ527" t="s">
        <v>81</v>
      </c>
      <c r="AK527" t="s">
        <v>82</v>
      </c>
      <c r="AL527" t="s">
        <v>83</v>
      </c>
      <c r="AS527" s="3">
        <v>206130.66</v>
      </c>
      <c r="AW527" t="s">
        <v>84</v>
      </c>
    </row>
    <row r="528" spans="1:59" x14ac:dyDescent="0.25">
      <c r="A528" t="s">
        <v>2980</v>
      </c>
      <c r="B528" t="s">
        <v>2981</v>
      </c>
      <c r="C528" s="1">
        <v>216</v>
      </c>
      <c r="D528" s="1">
        <v>1998</v>
      </c>
      <c r="E528" t="s">
        <v>64</v>
      </c>
      <c r="F528" t="s">
        <v>177</v>
      </c>
      <c r="G528" t="s">
        <v>1033</v>
      </c>
      <c r="H528" t="s">
        <v>2982</v>
      </c>
      <c r="I528" t="s">
        <v>2983</v>
      </c>
      <c r="J528" t="s">
        <v>1033</v>
      </c>
      <c r="K528" s="1">
        <v>4</v>
      </c>
      <c r="L528" t="s">
        <v>729</v>
      </c>
      <c r="M528" t="s">
        <v>70</v>
      </c>
      <c r="N528" t="s">
        <v>71</v>
      </c>
      <c r="P528" t="s">
        <v>72</v>
      </c>
      <c r="Q528" t="s">
        <v>172</v>
      </c>
      <c r="R528" t="s">
        <v>74</v>
      </c>
      <c r="S528" t="s">
        <v>2984</v>
      </c>
      <c r="T528" s="2">
        <v>905</v>
      </c>
      <c r="U528" s="3">
        <v>1.72</v>
      </c>
      <c r="V528" s="4">
        <v>1552</v>
      </c>
      <c r="AF528" s="5">
        <v>8.3332999999999995</v>
      </c>
      <c r="AI528" s="1">
        <v>3</v>
      </c>
      <c r="AJ528" t="s">
        <v>81</v>
      </c>
      <c r="AK528" t="s">
        <v>82</v>
      </c>
      <c r="AL528" t="s">
        <v>83</v>
      </c>
      <c r="AM528" s="3">
        <v>1.68</v>
      </c>
      <c r="AN528" s="4">
        <v>1759</v>
      </c>
      <c r="AO528" s="1">
        <v>1049</v>
      </c>
      <c r="AP528" s="3">
        <v>1.55</v>
      </c>
      <c r="AQ528" s="4">
        <v>1944</v>
      </c>
      <c r="AR528" s="1">
        <v>1250</v>
      </c>
      <c r="AS528" s="3">
        <v>378094.86</v>
      </c>
      <c r="AW528" t="s">
        <v>84</v>
      </c>
      <c r="AY528" s="3">
        <v>1.78</v>
      </c>
      <c r="AZ528" s="4">
        <v>1369</v>
      </c>
      <c r="BA528" s="1">
        <v>770</v>
      </c>
      <c r="BB528" s="1">
        <v>120</v>
      </c>
      <c r="BC528" s="1">
        <v>84</v>
      </c>
      <c r="BD528" s="1">
        <v>12</v>
      </c>
      <c r="BF528" t="s">
        <v>2985</v>
      </c>
      <c r="BG528" t="s">
        <v>104</v>
      </c>
    </row>
    <row r="529" spans="1:62" x14ac:dyDescent="0.25">
      <c r="A529" t="s">
        <v>2986</v>
      </c>
      <c r="B529" t="s">
        <v>2987</v>
      </c>
      <c r="C529" s="1">
        <v>336</v>
      </c>
      <c r="D529" s="1">
        <v>1998</v>
      </c>
      <c r="E529" t="s">
        <v>64</v>
      </c>
      <c r="F529" t="s">
        <v>198</v>
      </c>
      <c r="G529" t="s">
        <v>2988</v>
      </c>
      <c r="H529" t="s">
        <v>2989</v>
      </c>
      <c r="I529" t="s">
        <v>2990</v>
      </c>
      <c r="J529" t="s">
        <v>2988</v>
      </c>
      <c r="K529" s="1">
        <v>4</v>
      </c>
      <c r="L529" t="s">
        <v>729</v>
      </c>
      <c r="M529" t="s">
        <v>70</v>
      </c>
      <c r="N529" t="s">
        <v>71</v>
      </c>
      <c r="P529" t="s">
        <v>72</v>
      </c>
      <c r="Q529" t="s">
        <v>531</v>
      </c>
      <c r="R529" t="s">
        <v>74</v>
      </c>
      <c r="S529" t="s">
        <v>2034</v>
      </c>
      <c r="T529" s="2">
        <v>763</v>
      </c>
      <c r="U529" s="3">
        <v>1.65</v>
      </c>
      <c r="V529" s="4">
        <v>1263</v>
      </c>
      <c r="AF529" s="5">
        <v>13.392899999999999</v>
      </c>
      <c r="AH529" s="1">
        <v>2015</v>
      </c>
      <c r="AI529" s="1">
        <v>3</v>
      </c>
      <c r="AJ529" t="s">
        <v>81</v>
      </c>
      <c r="AK529" t="s">
        <v>82</v>
      </c>
      <c r="AL529" t="s">
        <v>83</v>
      </c>
      <c r="AM529" s="3">
        <v>1.61</v>
      </c>
      <c r="AN529" s="4">
        <v>1478</v>
      </c>
      <c r="AO529" s="1">
        <v>920</v>
      </c>
      <c r="AP529" s="3">
        <v>1.43</v>
      </c>
      <c r="AQ529" s="4">
        <v>1699</v>
      </c>
      <c r="AR529" s="1">
        <v>1185</v>
      </c>
      <c r="AS529" s="3">
        <v>523307.4</v>
      </c>
      <c r="AW529" t="s">
        <v>84</v>
      </c>
      <c r="AY529" s="3">
        <v>1.81</v>
      </c>
      <c r="AZ529" s="4">
        <v>1046</v>
      </c>
      <c r="BA529" s="1">
        <v>576</v>
      </c>
      <c r="BB529" s="1">
        <v>196</v>
      </c>
      <c r="BC529" s="1">
        <v>84</v>
      </c>
      <c r="BD529" s="1">
        <v>56</v>
      </c>
      <c r="BF529" t="s">
        <v>2991</v>
      </c>
      <c r="BG529" t="s">
        <v>104</v>
      </c>
    </row>
    <row r="530" spans="1:62" x14ac:dyDescent="0.25">
      <c r="A530" t="s">
        <v>2992</v>
      </c>
      <c r="B530" t="s">
        <v>2993</v>
      </c>
      <c r="C530" s="1">
        <v>372</v>
      </c>
      <c r="D530" s="1">
        <v>1998</v>
      </c>
      <c r="E530" t="s">
        <v>64</v>
      </c>
      <c r="F530" t="s">
        <v>198</v>
      </c>
      <c r="G530" t="s">
        <v>2994</v>
      </c>
      <c r="H530" t="s">
        <v>2995</v>
      </c>
      <c r="I530" t="s">
        <v>2996</v>
      </c>
      <c r="J530" t="s">
        <v>2994</v>
      </c>
      <c r="K530" s="1">
        <v>4</v>
      </c>
      <c r="L530" t="s">
        <v>729</v>
      </c>
      <c r="M530" t="s">
        <v>70</v>
      </c>
      <c r="N530" t="s">
        <v>71</v>
      </c>
      <c r="P530" t="s">
        <v>72</v>
      </c>
      <c r="Q530" t="s">
        <v>531</v>
      </c>
      <c r="R530" t="s">
        <v>74</v>
      </c>
      <c r="S530" t="s">
        <v>2997</v>
      </c>
      <c r="T530" s="2">
        <v>1035</v>
      </c>
      <c r="U530" s="3">
        <v>1.55</v>
      </c>
      <c r="V530" s="4">
        <v>1605</v>
      </c>
      <c r="AF530" s="5">
        <v>9.9461999999999993</v>
      </c>
      <c r="AH530" s="1">
        <v>2015</v>
      </c>
      <c r="AI530" s="1">
        <v>2</v>
      </c>
      <c r="AJ530" t="s">
        <v>81</v>
      </c>
      <c r="AK530" t="s">
        <v>82</v>
      </c>
      <c r="AL530" t="s">
        <v>83</v>
      </c>
      <c r="AM530" s="3">
        <v>1.48</v>
      </c>
      <c r="AN530" s="4">
        <v>1677</v>
      </c>
      <c r="AO530" s="1">
        <v>1131</v>
      </c>
      <c r="AP530" s="3">
        <v>1.54</v>
      </c>
      <c r="AQ530" s="4">
        <v>2032</v>
      </c>
      <c r="AR530" s="1">
        <v>1319</v>
      </c>
      <c r="AS530" s="3">
        <v>1110046</v>
      </c>
      <c r="AW530" t="s">
        <v>84</v>
      </c>
      <c r="AY530" s="3">
        <v>1.69</v>
      </c>
      <c r="AZ530" s="4">
        <v>1316</v>
      </c>
      <c r="BA530" s="1">
        <v>777</v>
      </c>
      <c r="BB530" s="1">
        <v>131</v>
      </c>
      <c r="BC530" s="1">
        <v>183</v>
      </c>
      <c r="BD530" s="1">
        <v>58</v>
      </c>
      <c r="BG530" t="s">
        <v>131</v>
      </c>
    </row>
    <row r="531" spans="1:62" x14ac:dyDescent="0.25">
      <c r="A531" t="s">
        <v>2998</v>
      </c>
      <c r="B531" t="s">
        <v>2999</v>
      </c>
      <c r="C531" s="1">
        <v>508</v>
      </c>
      <c r="D531" s="1">
        <v>1999</v>
      </c>
      <c r="E531" t="s">
        <v>64</v>
      </c>
      <c r="F531" t="s">
        <v>156</v>
      </c>
      <c r="G531" t="s">
        <v>1205</v>
      </c>
      <c r="H531" t="s">
        <v>3000</v>
      </c>
      <c r="I531" t="s">
        <v>2478</v>
      </c>
      <c r="J531" t="s">
        <v>1205</v>
      </c>
      <c r="K531" s="1">
        <v>3</v>
      </c>
      <c r="L531" t="s">
        <v>91</v>
      </c>
      <c r="M531" t="s">
        <v>70</v>
      </c>
      <c r="N531" t="s">
        <v>71</v>
      </c>
      <c r="P531" t="s">
        <v>72</v>
      </c>
      <c r="Q531" t="s">
        <v>427</v>
      </c>
      <c r="R531" t="s">
        <v>74</v>
      </c>
      <c r="S531" t="s">
        <v>3001</v>
      </c>
      <c r="T531" s="2">
        <v>774</v>
      </c>
      <c r="U531" s="3">
        <v>1.56</v>
      </c>
      <c r="V531" s="4">
        <v>1211</v>
      </c>
      <c r="AF531" s="5">
        <v>7.4802999999999997</v>
      </c>
      <c r="AI531" s="1">
        <v>3</v>
      </c>
      <c r="AJ531" t="s">
        <v>81</v>
      </c>
      <c r="AK531" t="s">
        <v>82</v>
      </c>
      <c r="AL531" t="s">
        <v>83</v>
      </c>
      <c r="AM531" s="3">
        <v>1.61</v>
      </c>
      <c r="AN531" s="4">
        <v>1538</v>
      </c>
      <c r="AO531" s="1">
        <v>957</v>
      </c>
      <c r="AS531" s="3">
        <v>1698236.32</v>
      </c>
      <c r="AW531" t="s">
        <v>84</v>
      </c>
      <c r="AY531" s="3">
        <v>1.53</v>
      </c>
      <c r="AZ531" s="4">
        <v>1025</v>
      </c>
      <c r="BA531" s="1">
        <v>670</v>
      </c>
      <c r="BB531" s="1">
        <v>324</v>
      </c>
      <c r="BC531" s="1">
        <v>184</v>
      </c>
      <c r="BG531" t="s">
        <v>131</v>
      </c>
    </row>
    <row r="532" spans="1:62" x14ac:dyDescent="0.25">
      <c r="A532" t="s">
        <v>3002</v>
      </c>
      <c r="B532" t="s">
        <v>3003</v>
      </c>
      <c r="C532" s="1">
        <v>106</v>
      </c>
      <c r="D532" s="1">
        <v>2000</v>
      </c>
      <c r="E532" t="s">
        <v>64</v>
      </c>
      <c r="F532" t="s">
        <v>2726</v>
      </c>
      <c r="K532" s="1">
        <v>3</v>
      </c>
      <c r="L532" t="s">
        <v>91</v>
      </c>
      <c r="M532" t="s">
        <v>70</v>
      </c>
      <c r="N532" t="s">
        <v>71</v>
      </c>
      <c r="P532" t="s">
        <v>72</v>
      </c>
      <c r="Q532" t="s">
        <v>73</v>
      </c>
      <c r="R532" t="s">
        <v>74</v>
      </c>
      <c r="S532" t="s">
        <v>3004</v>
      </c>
      <c r="AI532" s="1">
        <v>22</v>
      </c>
      <c r="AJ532" t="s">
        <v>81</v>
      </c>
      <c r="AK532" t="s">
        <v>82</v>
      </c>
      <c r="AL532" t="s">
        <v>83</v>
      </c>
      <c r="AS532" s="3">
        <v>322579.61</v>
      </c>
      <c r="AW532" t="s">
        <v>84</v>
      </c>
      <c r="BB532" s="1">
        <v>106</v>
      </c>
      <c r="BF532" t="s">
        <v>3005</v>
      </c>
      <c r="BG532" t="s">
        <v>643</v>
      </c>
    </row>
    <row r="533" spans="1:62" x14ac:dyDescent="0.25">
      <c r="A533" t="s">
        <v>3006</v>
      </c>
      <c r="B533" t="s">
        <v>3007</v>
      </c>
      <c r="C533" s="1">
        <v>372</v>
      </c>
      <c r="D533" s="1">
        <v>1995</v>
      </c>
      <c r="E533" t="s">
        <v>64</v>
      </c>
      <c r="F533" t="s">
        <v>734</v>
      </c>
      <c r="G533" t="s">
        <v>3008</v>
      </c>
      <c r="H533" t="s">
        <v>3009</v>
      </c>
      <c r="I533" t="s">
        <v>3010</v>
      </c>
      <c r="J533" t="s">
        <v>3008</v>
      </c>
      <c r="K533" s="1">
        <v>3</v>
      </c>
      <c r="L533" t="s">
        <v>91</v>
      </c>
      <c r="M533" t="s">
        <v>70</v>
      </c>
      <c r="N533" t="s">
        <v>71</v>
      </c>
      <c r="P533" t="s">
        <v>72</v>
      </c>
      <c r="Q533" t="s">
        <v>73</v>
      </c>
      <c r="R533" t="s">
        <v>74</v>
      </c>
      <c r="S533" t="s">
        <v>730</v>
      </c>
      <c r="T533" s="2">
        <v>918</v>
      </c>
      <c r="U533" s="3">
        <v>1.61</v>
      </c>
      <c r="V533" s="4">
        <v>1484</v>
      </c>
      <c r="AF533" s="5">
        <v>4.0323000000000002</v>
      </c>
      <c r="AI533" s="1">
        <v>3</v>
      </c>
      <c r="AJ533" t="s">
        <v>81</v>
      </c>
      <c r="AK533" t="s">
        <v>82</v>
      </c>
      <c r="AL533" t="s">
        <v>83</v>
      </c>
      <c r="AM533" s="3">
        <v>1.49</v>
      </c>
      <c r="AN533" s="4">
        <v>1630</v>
      </c>
      <c r="AO533" s="1">
        <v>1095</v>
      </c>
      <c r="AP533" s="3">
        <v>1.58</v>
      </c>
      <c r="AQ533" s="4">
        <v>2206</v>
      </c>
      <c r="AR533" s="1">
        <v>1399</v>
      </c>
      <c r="AS533" s="3">
        <v>1162404.1100000001</v>
      </c>
      <c r="AW533" t="s">
        <v>84</v>
      </c>
      <c r="AY533" s="3">
        <v>1.75</v>
      </c>
      <c r="AZ533" s="4">
        <v>1322</v>
      </c>
      <c r="BA533" s="1">
        <v>757</v>
      </c>
      <c r="BB533" s="1">
        <v>210</v>
      </c>
      <c r="BC533" s="1">
        <v>144</v>
      </c>
      <c r="BD533" s="1">
        <v>18</v>
      </c>
      <c r="BG533" t="s">
        <v>365</v>
      </c>
    </row>
    <row r="534" spans="1:62" x14ac:dyDescent="0.25">
      <c r="A534" t="s">
        <v>3011</v>
      </c>
      <c r="B534" t="s">
        <v>3012</v>
      </c>
      <c r="C534" s="1">
        <v>348</v>
      </c>
      <c r="D534" s="1">
        <v>1996</v>
      </c>
      <c r="E534" t="s">
        <v>64</v>
      </c>
      <c r="F534" t="s">
        <v>734</v>
      </c>
      <c r="G534" t="s">
        <v>199</v>
      </c>
      <c r="H534" t="s">
        <v>3013</v>
      </c>
      <c r="I534" t="s">
        <v>3014</v>
      </c>
      <c r="J534" t="s">
        <v>199</v>
      </c>
      <c r="K534" s="1">
        <v>4</v>
      </c>
      <c r="L534" t="s">
        <v>91</v>
      </c>
      <c r="M534" t="s">
        <v>70</v>
      </c>
      <c r="N534" t="s">
        <v>71</v>
      </c>
      <c r="P534" t="s">
        <v>72</v>
      </c>
      <c r="Q534" t="s">
        <v>73</v>
      </c>
      <c r="R534" t="s">
        <v>74</v>
      </c>
      <c r="S534" t="s">
        <v>730</v>
      </c>
      <c r="T534" s="2">
        <v>874</v>
      </c>
      <c r="U534" s="3">
        <v>1.57</v>
      </c>
      <c r="V534" s="4">
        <v>1375</v>
      </c>
      <c r="AF534" s="5">
        <v>11.206899999999999</v>
      </c>
      <c r="AH534" s="1">
        <v>2014</v>
      </c>
      <c r="AI534" s="1">
        <v>3</v>
      </c>
      <c r="AJ534" t="s">
        <v>81</v>
      </c>
      <c r="AK534" t="s">
        <v>82</v>
      </c>
      <c r="AL534" t="s">
        <v>83</v>
      </c>
      <c r="AM534" s="3">
        <v>1.5</v>
      </c>
      <c r="AN534" s="4">
        <v>1567</v>
      </c>
      <c r="AO534" s="1">
        <v>1045</v>
      </c>
      <c r="AS534" s="3">
        <v>1128922.67</v>
      </c>
      <c r="AW534" t="s">
        <v>84</v>
      </c>
      <c r="AY534" s="3">
        <v>1.64</v>
      </c>
      <c r="AZ534" s="4">
        <v>1269</v>
      </c>
      <c r="BA534" s="1">
        <v>775</v>
      </c>
      <c r="BB534" s="1">
        <v>220</v>
      </c>
      <c r="BC534" s="1">
        <v>128</v>
      </c>
      <c r="BF534" t="s">
        <v>174</v>
      </c>
      <c r="BG534" t="s">
        <v>131</v>
      </c>
    </row>
    <row r="535" spans="1:62" x14ac:dyDescent="0.25">
      <c r="A535" t="s">
        <v>3015</v>
      </c>
      <c r="B535" t="s">
        <v>3016</v>
      </c>
      <c r="C535" s="1">
        <v>364</v>
      </c>
      <c r="D535" s="1">
        <v>1997</v>
      </c>
      <c r="E535" t="s">
        <v>64</v>
      </c>
      <c r="F535" t="s">
        <v>734</v>
      </c>
      <c r="G535" t="s">
        <v>199</v>
      </c>
      <c r="H535" t="s">
        <v>3017</v>
      </c>
      <c r="I535" t="s">
        <v>3018</v>
      </c>
      <c r="J535" t="s">
        <v>199</v>
      </c>
      <c r="K535" s="1">
        <v>4</v>
      </c>
      <c r="L535" t="s">
        <v>91</v>
      </c>
      <c r="M535" t="s">
        <v>70</v>
      </c>
      <c r="N535" t="s">
        <v>71</v>
      </c>
      <c r="P535" t="s">
        <v>72</v>
      </c>
      <c r="Q535" t="s">
        <v>73</v>
      </c>
      <c r="R535" t="s">
        <v>74</v>
      </c>
      <c r="S535" t="s">
        <v>730</v>
      </c>
      <c r="T535" s="2">
        <v>869</v>
      </c>
      <c r="U535" s="3">
        <v>1.63</v>
      </c>
      <c r="V535" s="4">
        <v>1417</v>
      </c>
      <c r="AF535" s="5">
        <v>11.8132</v>
      </c>
      <c r="AH535" s="1">
        <v>2014</v>
      </c>
      <c r="AI535" s="1">
        <v>2</v>
      </c>
      <c r="AJ535" t="s">
        <v>81</v>
      </c>
      <c r="AK535" t="s">
        <v>82</v>
      </c>
      <c r="AL535" t="s">
        <v>83</v>
      </c>
      <c r="AM535" s="3">
        <v>1.47</v>
      </c>
      <c r="AN535" s="4">
        <v>1683</v>
      </c>
      <c r="AO535" s="1">
        <v>1142</v>
      </c>
      <c r="AS535" s="3">
        <v>1135054.72</v>
      </c>
      <c r="AW535" t="s">
        <v>84</v>
      </c>
      <c r="AY535" s="3">
        <v>1.72</v>
      </c>
      <c r="AZ535" s="4">
        <v>1310</v>
      </c>
      <c r="BA535" s="1">
        <v>760</v>
      </c>
      <c r="BB535" s="1">
        <v>260</v>
      </c>
      <c r="BC535" s="1">
        <v>104</v>
      </c>
      <c r="BF535" t="s">
        <v>174</v>
      </c>
      <c r="BG535" t="s">
        <v>131</v>
      </c>
    </row>
    <row r="536" spans="1:62" x14ac:dyDescent="0.25">
      <c r="A536" t="s">
        <v>3019</v>
      </c>
      <c r="B536" t="s">
        <v>3020</v>
      </c>
      <c r="C536" s="1">
        <v>286</v>
      </c>
      <c r="D536" s="1">
        <v>1997</v>
      </c>
      <c r="E536" t="s">
        <v>64</v>
      </c>
      <c r="F536" t="s">
        <v>734</v>
      </c>
      <c r="G536" t="s">
        <v>929</v>
      </c>
      <c r="H536" t="s">
        <v>3021</v>
      </c>
      <c r="I536" t="s">
        <v>3022</v>
      </c>
      <c r="J536" t="s">
        <v>929</v>
      </c>
      <c r="K536" s="1">
        <v>3</v>
      </c>
      <c r="L536" t="s">
        <v>91</v>
      </c>
      <c r="M536" t="s">
        <v>70</v>
      </c>
      <c r="N536" t="s">
        <v>71</v>
      </c>
      <c r="P536" t="s">
        <v>72</v>
      </c>
      <c r="Q536" t="s">
        <v>73</v>
      </c>
      <c r="R536" t="s">
        <v>74</v>
      </c>
      <c r="S536" t="s">
        <v>3023</v>
      </c>
      <c r="T536" s="2">
        <v>936</v>
      </c>
      <c r="U536" s="3">
        <v>1.72</v>
      </c>
      <c r="V536" s="4">
        <v>1611</v>
      </c>
      <c r="AF536" s="5">
        <v>6.6433999999999997</v>
      </c>
      <c r="AI536" s="1">
        <v>3</v>
      </c>
      <c r="AJ536" t="s">
        <v>81</v>
      </c>
      <c r="AK536" t="s">
        <v>82</v>
      </c>
      <c r="AL536" t="s">
        <v>83</v>
      </c>
      <c r="AM536" s="3">
        <v>1.68</v>
      </c>
      <c r="AN536" s="4">
        <v>1843</v>
      </c>
      <c r="AO536" s="1">
        <v>1099</v>
      </c>
      <c r="AP536" s="3">
        <v>1.58</v>
      </c>
      <c r="AQ536" s="4">
        <v>2293</v>
      </c>
      <c r="AR536" s="1">
        <v>1454</v>
      </c>
      <c r="AS536" s="3">
        <v>838600.45</v>
      </c>
      <c r="AW536" t="s">
        <v>84</v>
      </c>
      <c r="AY536" s="3">
        <v>1.79</v>
      </c>
      <c r="AZ536" s="4">
        <v>1394</v>
      </c>
      <c r="BA536" s="1">
        <v>779</v>
      </c>
      <c r="BB536" s="1">
        <v>172</v>
      </c>
      <c r="BC536" s="1">
        <v>90</v>
      </c>
      <c r="BD536" s="1">
        <v>24</v>
      </c>
      <c r="BF536" t="s">
        <v>174</v>
      </c>
      <c r="BG536" t="s">
        <v>104</v>
      </c>
    </row>
    <row r="537" spans="1:62" x14ac:dyDescent="0.25">
      <c r="A537" t="s">
        <v>3024</v>
      </c>
      <c r="B537" t="s">
        <v>3025</v>
      </c>
      <c r="C537" s="1">
        <v>520</v>
      </c>
      <c r="D537" s="1">
        <v>2000</v>
      </c>
      <c r="E537" t="s">
        <v>64</v>
      </c>
      <c r="F537" t="s">
        <v>551</v>
      </c>
      <c r="G537" t="s">
        <v>1894</v>
      </c>
      <c r="H537" t="s">
        <v>3026</v>
      </c>
      <c r="I537" t="s">
        <v>3027</v>
      </c>
      <c r="J537" t="s">
        <v>1894</v>
      </c>
      <c r="K537" s="1">
        <v>4</v>
      </c>
      <c r="L537" t="s">
        <v>729</v>
      </c>
      <c r="M537" t="s">
        <v>70</v>
      </c>
      <c r="N537" t="s">
        <v>71</v>
      </c>
      <c r="P537" t="s">
        <v>72</v>
      </c>
      <c r="Q537" t="s">
        <v>551</v>
      </c>
      <c r="R537" t="s">
        <v>74</v>
      </c>
      <c r="S537" t="s">
        <v>986</v>
      </c>
      <c r="T537" s="2">
        <v>933</v>
      </c>
      <c r="U537" s="3">
        <v>1.74</v>
      </c>
      <c r="V537" s="4">
        <v>1620</v>
      </c>
      <c r="AF537" s="5">
        <v>10.192299999999999</v>
      </c>
      <c r="AI537" s="1">
        <v>3</v>
      </c>
      <c r="AJ537" t="s">
        <v>81</v>
      </c>
      <c r="AK537" t="s">
        <v>82</v>
      </c>
      <c r="AL537" t="s">
        <v>83</v>
      </c>
      <c r="AM537" s="3">
        <v>1.67</v>
      </c>
      <c r="AN537" s="4">
        <v>1802</v>
      </c>
      <c r="AO537" s="1">
        <v>1079</v>
      </c>
      <c r="AP537" s="3">
        <v>1.61</v>
      </c>
      <c r="AQ537" s="4">
        <v>2115</v>
      </c>
      <c r="AR537" s="1">
        <v>1316</v>
      </c>
      <c r="AS537" s="3">
        <v>1641532.91</v>
      </c>
      <c r="AW537" t="s">
        <v>84</v>
      </c>
      <c r="AY537" s="3">
        <v>1.88</v>
      </c>
      <c r="AZ537" s="4">
        <v>1349</v>
      </c>
      <c r="BA537" s="1">
        <v>719</v>
      </c>
      <c r="BB537" s="1">
        <v>237</v>
      </c>
      <c r="BC537" s="1">
        <v>243</v>
      </c>
      <c r="BD537" s="1">
        <v>40</v>
      </c>
      <c r="BF537" t="s">
        <v>3028</v>
      </c>
      <c r="BG537" t="s">
        <v>365</v>
      </c>
    </row>
    <row r="538" spans="1:62" x14ac:dyDescent="0.25">
      <c r="A538" t="s">
        <v>3029</v>
      </c>
      <c r="B538" t="s">
        <v>3030</v>
      </c>
      <c r="C538" s="1">
        <v>138</v>
      </c>
      <c r="D538" s="1">
        <v>1996</v>
      </c>
      <c r="E538" t="s">
        <v>64</v>
      </c>
      <c r="F538" t="s">
        <v>256</v>
      </c>
      <c r="G538" t="s">
        <v>882</v>
      </c>
      <c r="H538" t="s">
        <v>3031</v>
      </c>
      <c r="I538" t="s">
        <v>3032</v>
      </c>
      <c r="J538" t="s">
        <v>882</v>
      </c>
      <c r="K538" s="1">
        <v>4</v>
      </c>
      <c r="L538" t="s">
        <v>729</v>
      </c>
      <c r="M538" t="s">
        <v>70</v>
      </c>
      <c r="N538" t="s">
        <v>71</v>
      </c>
      <c r="P538" t="s">
        <v>72</v>
      </c>
      <c r="Q538" t="s">
        <v>152</v>
      </c>
      <c r="R538" t="s">
        <v>74</v>
      </c>
      <c r="S538" t="s">
        <v>3033</v>
      </c>
      <c r="T538" s="2">
        <v>1073</v>
      </c>
      <c r="U538" s="3">
        <v>1.81</v>
      </c>
      <c r="V538" s="4">
        <v>1945</v>
      </c>
      <c r="AF538" s="5">
        <v>6.5217000000000001</v>
      </c>
      <c r="AI538" s="1">
        <v>3</v>
      </c>
      <c r="AJ538" t="s">
        <v>81</v>
      </c>
      <c r="AK538" t="s">
        <v>82</v>
      </c>
      <c r="AL538" t="s">
        <v>83</v>
      </c>
      <c r="AM538" s="3">
        <v>1.85</v>
      </c>
      <c r="AN538" s="4">
        <v>1997</v>
      </c>
      <c r="AO538" s="1">
        <v>1079</v>
      </c>
      <c r="AP538" s="3">
        <v>1.76</v>
      </c>
      <c r="AQ538" s="4">
        <v>2315</v>
      </c>
      <c r="AR538" s="1">
        <v>1314</v>
      </c>
      <c r="AS538" s="3">
        <v>228057.52</v>
      </c>
      <c r="AW538" t="s">
        <v>84</v>
      </c>
      <c r="AY538" s="3">
        <v>1.86</v>
      </c>
      <c r="AZ538" s="4">
        <v>1545</v>
      </c>
      <c r="BA538" s="1">
        <v>831</v>
      </c>
      <c r="BB538" s="1">
        <v>54</v>
      </c>
      <c r="BC538" s="1">
        <v>30</v>
      </c>
      <c r="BD538" s="1">
        <v>54</v>
      </c>
      <c r="BF538" t="s">
        <v>1287</v>
      </c>
      <c r="BG538" t="s">
        <v>104</v>
      </c>
    </row>
    <row r="539" spans="1:62" x14ac:dyDescent="0.25">
      <c r="A539" t="s">
        <v>3034</v>
      </c>
      <c r="B539" t="s">
        <v>3035</v>
      </c>
      <c r="C539" s="1">
        <v>138</v>
      </c>
      <c r="D539" s="1">
        <v>1996</v>
      </c>
      <c r="E539" t="s">
        <v>64</v>
      </c>
      <c r="F539" t="s">
        <v>97</v>
      </c>
      <c r="G539" t="s">
        <v>1155</v>
      </c>
      <c r="H539" t="s">
        <v>3036</v>
      </c>
      <c r="I539" t="s">
        <v>3037</v>
      </c>
      <c r="J539" t="s">
        <v>1155</v>
      </c>
      <c r="K539" s="1">
        <v>2</v>
      </c>
      <c r="L539" t="s">
        <v>69</v>
      </c>
      <c r="M539" t="s">
        <v>70</v>
      </c>
      <c r="N539" t="s">
        <v>127</v>
      </c>
      <c r="P539" t="s">
        <v>72</v>
      </c>
      <c r="Q539" t="s">
        <v>1662</v>
      </c>
      <c r="R539" t="s">
        <v>74</v>
      </c>
      <c r="S539" t="s">
        <v>3038</v>
      </c>
      <c r="AF539" s="5">
        <v>9.4202999999999992</v>
      </c>
      <c r="AI539" s="1">
        <v>1</v>
      </c>
      <c r="AJ539" t="s">
        <v>81</v>
      </c>
      <c r="AK539" t="s">
        <v>82</v>
      </c>
      <c r="AL539" t="s">
        <v>83</v>
      </c>
      <c r="AS539" s="3">
        <v>354119.22</v>
      </c>
      <c r="AW539" t="s">
        <v>84</v>
      </c>
    </row>
    <row r="540" spans="1:62" x14ac:dyDescent="0.25">
      <c r="A540" t="s">
        <v>3039</v>
      </c>
      <c r="B540" t="s">
        <v>3040</v>
      </c>
      <c r="C540" s="1">
        <v>528</v>
      </c>
      <c r="D540" s="1">
        <v>1999</v>
      </c>
      <c r="E540" t="s">
        <v>64</v>
      </c>
      <c r="F540" t="s">
        <v>123</v>
      </c>
      <c r="G540" t="s">
        <v>1894</v>
      </c>
      <c r="H540" t="s">
        <v>3041</v>
      </c>
      <c r="I540" t="s">
        <v>3042</v>
      </c>
      <c r="J540" t="s">
        <v>1894</v>
      </c>
      <c r="K540" s="1">
        <v>4</v>
      </c>
      <c r="L540" t="s">
        <v>91</v>
      </c>
      <c r="M540" t="s">
        <v>70</v>
      </c>
      <c r="N540" t="s">
        <v>71</v>
      </c>
      <c r="P540" t="s">
        <v>72</v>
      </c>
      <c r="Q540" t="s">
        <v>551</v>
      </c>
      <c r="R540" t="s">
        <v>74</v>
      </c>
      <c r="S540" t="s">
        <v>986</v>
      </c>
      <c r="T540" s="2">
        <v>1330</v>
      </c>
      <c r="U540" s="3">
        <v>1.57</v>
      </c>
      <c r="V540" s="4">
        <v>2090</v>
      </c>
      <c r="AF540" s="5">
        <v>10.0379</v>
      </c>
      <c r="AH540" s="1">
        <v>2013</v>
      </c>
      <c r="AI540" s="1">
        <v>2</v>
      </c>
      <c r="AJ540" t="s">
        <v>81</v>
      </c>
      <c r="AK540" t="s">
        <v>82</v>
      </c>
      <c r="AL540" t="s">
        <v>83</v>
      </c>
      <c r="AM540" s="3">
        <v>1.6</v>
      </c>
      <c r="AN540" s="4">
        <v>1930</v>
      </c>
      <c r="AO540" s="1">
        <v>1207</v>
      </c>
      <c r="AP540" s="3">
        <v>1.43</v>
      </c>
      <c r="AQ540" s="4">
        <v>2562</v>
      </c>
      <c r="AR540" s="1">
        <v>1791</v>
      </c>
      <c r="AS540" s="3">
        <v>1872085.28</v>
      </c>
      <c r="AW540" t="s">
        <v>84</v>
      </c>
      <c r="AY540" s="3">
        <v>1.98</v>
      </c>
      <c r="AZ540" s="4">
        <v>1576</v>
      </c>
      <c r="BA540" s="1">
        <v>795</v>
      </c>
      <c r="BB540" s="1">
        <v>100</v>
      </c>
      <c r="BC540" s="1">
        <v>250</v>
      </c>
      <c r="BD540" s="1">
        <v>137</v>
      </c>
      <c r="BE540" s="1">
        <v>41</v>
      </c>
      <c r="BG540" t="s">
        <v>94</v>
      </c>
      <c r="BH540" s="3">
        <v>1.48</v>
      </c>
      <c r="BI540" s="4">
        <v>2747</v>
      </c>
      <c r="BJ540" s="1">
        <v>1854</v>
      </c>
    </row>
    <row r="541" spans="1:62" x14ac:dyDescent="0.25">
      <c r="A541" t="s">
        <v>3043</v>
      </c>
      <c r="B541" t="s">
        <v>3044</v>
      </c>
      <c r="C541" s="1">
        <v>124</v>
      </c>
      <c r="D541" s="1">
        <v>1999</v>
      </c>
      <c r="E541" t="s">
        <v>64</v>
      </c>
      <c r="F541" t="s">
        <v>140</v>
      </c>
      <c r="G541" t="s">
        <v>3045</v>
      </c>
      <c r="H541" t="s">
        <v>3046</v>
      </c>
      <c r="I541" t="s">
        <v>3047</v>
      </c>
      <c r="J541" t="s">
        <v>3045</v>
      </c>
      <c r="K541" s="1">
        <v>4</v>
      </c>
      <c r="L541" t="s">
        <v>729</v>
      </c>
      <c r="M541" t="s">
        <v>70</v>
      </c>
      <c r="N541" t="s">
        <v>71</v>
      </c>
      <c r="P541" t="s">
        <v>72</v>
      </c>
      <c r="Q541" t="s">
        <v>140</v>
      </c>
      <c r="R541" t="s">
        <v>74</v>
      </c>
      <c r="S541" t="s">
        <v>3048</v>
      </c>
      <c r="T541" s="2">
        <v>940</v>
      </c>
      <c r="U541" s="3">
        <v>1.71</v>
      </c>
      <c r="V541" s="4">
        <v>1603</v>
      </c>
      <c r="AF541" s="5">
        <v>4.8387000000000002</v>
      </c>
      <c r="AI541" s="1">
        <v>2</v>
      </c>
      <c r="AJ541" t="s">
        <v>81</v>
      </c>
      <c r="AK541" t="s">
        <v>82</v>
      </c>
      <c r="AL541" t="s">
        <v>83</v>
      </c>
      <c r="AM541" s="3">
        <v>1.69</v>
      </c>
      <c r="AN541" s="4">
        <v>1942</v>
      </c>
      <c r="AO541" s="1">
        <v>1152</v>
      </c>
      <c r="AS541" s="3">
        <v>342908.18</v>
      </c>
      <c r="AW541" t="s">
        <v>84</v>
      </c>
      <c r="AY541" s="3">
        <v>1.71</v>
      </c>
      <c r="AZ541" s="4">
        <v>1490</v>
      </c>
      <c r="BA541" s="1">
        <v>870</v>
      </c>
      <c r="BB541" s="1">
        <v>93</v>
      </c>
      <c r="BC541" s="1">
        <v>31</v>
      </c>
      <c r="BF541" t="s">
        <v>3049</v>
      </c>
      <c r="BG541" t="s">
        <v>104</v>
      </c>
    </row>
    <row r="542" spans="1:62" x14ac:dyDescent="0.25">
      <c r="A542" t="s">
        <v>3050</v>
      </c>
      <c r="B542" t="s">
        <v>3051</v>
      </c>
      <c r="C542" s="1">
        <v>324</v>
      </c>
      <c r="D542" s="1">
        <v>2000</v>
      </c>
      <c r="E542" t="s">
        <v>64</v>
      </c>
      <c r="F542" t="s">
        <v>140</v>
      </c>
      <c r="G542" t="s">
        <v>3052</v>
      </c>
      <c r="H542" t="s">
        <v>3053</v>
      </c>
      <c r="I542" t="s">
        <v>3054</v>
      </c>
      <c r="J542" t="s">
        <v>3052</v>
      </c>
      <c r="K542" s="1">
        <v>3</v>
      </c>
      <c r="L542" t="s">
        <v>91</v>
      </c>
      <c r="M542" t="s">
        <v>70</v>
      </c>
      <c r="N542" t="s">
        <v>71</v>
      </c>
      <c r="P542" t="s">
        <v>72</v>
      </c>
      <c r="Q542" t="s">
        <v>140</v>
      </c>
      <c r="R542" t="s">
        <v>74</v>
      </c>
      <c r="S542" t="s">
        <v>144</v>
      </c>
      <c r="T542" s="2">
        <v>1205</v>
      </c>
      <c r="U542" s="3">
        <v>1.58</v>
      </c>
      <c r="V542" s="4">
        <v>1900</v>
      </c>
      <c r="AF542" s="5">
        <v>6.1727999999999996</v>
      </c>
      <c r="AH542" s="1">
        <v>2017</v>
      </c>
      <c r="AI542" s="1">
        <v>2</v>
      </c>
      <c r="AJ542" t="s">
        <v>81</v>
      </c>
      <c r="AK542" t="s">
        <v>82</v>
      </c>
      <c r="AL542" t="s">
        <v>83</v>
      </c>
      <c r="AM542" s="3">
        <v>1.58</v>
      </c>
      <c r="AN542" s="4">
        <v>1995</v>
      </c>
      <c r="AO542" s="1">
        <v>1262</v>
      </c>
      <c r="AP542" s="3">
        <v>1.58</v>
      </c>
      <c r="AQ542" s="4">
        <v>2499</v>
      </c>
      <c r="AR542" s="1">
        <v>1585</v>
      </c>
      <c r="AS542" s="3">
        <v>977508.88</v>
      </c>
      <c r="AW542" t="s">
        <v>84</v>
      </c>
      <c r="AY542" s="3">
        <v>1.56</v>
      </c>
      <c r="AZ542" s="4">
        <v>1404</v>
      </c>
      <c r="BA542" s="1">
        <v>901</v>
      </c>
      <c r="BB542" s="1">
        <v>95</v>
      </c>
      <c r="BC542" s="1">
        <v>179</v>
      </c>
      <c r="BD542" s="1">
        <v>50</v>
      </c>
      <c r="BG542" t="s">
        <v>131</v>
      </c>
    </row>
    <row r="543" spans="1:62" x14ac:dyDescent="0.25">
      <c r="A543" t="s">
        <v>3055</v>
      </c>
      <c r="B543" t="s">
        <v>3056</v>
      </c>
      <c r="C543" s="1">
        <v>140</v>
      </c>
      <c r="D543" s="1">
        <v>1999</v>
      </c>
      <c r="E543" t="s">
        <v>64</v>
      </c>
      <c r="F543" t="s">
        <v>114</v>
      </c>
      <c r="G543" t="s">
        <v>1711</v>
      </c>
      <c r="H543" t="s">
        <v>3057</v>
      </c>
      <c r="I543" t="s">
        <v>3058</v>
      </c>
      <c r="J543" t="s">
        <v>1711</v>
      </c>
      <c r="K543" s="1">
        <v>4</v>
      </c>
      <c r="L543" t="s">
        <v>91</v>
      </c>
      <c r="M543" t="s">
        <v>70</v>
      </c>
      <c r="N543" t="s">
        <v>71</v>
      </c>
      <c r="P543" t="s">
        <v>72</v>
      </c>
      <c r="Q543" t="s">
        <v>356</v>
      </c>
      <c r="R543" t="s">
        <v>74</v>
      </c>
      <c r="S543" t="s">
        <v>3059</v>
      </c>
      <c r="T543" s="2">
        <v>871</v>
      </c>
      <c r="U543" s="3">
        <v>1.69</v>
      </c>
      <c r="V543" s="4">
        <v>1476</v>
      </c>
      <c r="AF543" s="5">
        <v>2.8571</v>
      </c>
      <c r="AI543" s="1">
        <v>2</v>
      </c>
      <c r="AJ543" t="s">
        <v>81</v>
      </c>
      <c r="AK543" t="s">
        <v>82</v>
      </c>
      <c r="AL543" t="s">
        <v>83</v>
      </c>
      <c r="AM543" s="3">
        <v>1.63</v>
      </c>
      <c r="AN543" s="4">
        <v>1575</v>
      </c>
      <c r="AO543" s="1">
        <v>968</v>
      </c>
      <c r="AP543" s="3">
        <v>1.51</v>
      </c>
      <c r="AQ543" s="4">
        <v>1854</v>
      </c>
      <c r="AR543" s="1">
        <v>1230</v>
      </c>
      <c r="AS543" s="3">
        <v>292372.09000000003</v>
      </c>
      <c r="AW543" t="s">
        <v>84</v>
      </c>
      <c r="AY543" s="3">
        <v>1.84</v>
      </c>
      <c r="AZ543" s="4">
        <v>1307</v>
      </c>
      <c r="BA543" s="1">
        <v>709</v>
      </c>
      <c r="BB543" s="1">
        <v>64</v>
      </c>
      <c r="BC543" s="1">
        <v>64</v>
      </c>
      <c r="BD543" s="1">
        <v>12</v>
      </c>
      <c r="BF543" t="s">
        <v>3060</v>
      </c>
      <c r="BG543" t="s">
        <v>104</v>
      </c>
    </row>
    <row r="544" spans="1:62" x14ac:dyDescent="0.25">
      <c r="A544" t="s">
        <v>3061</v>
      </c>
      <c r="B544" t="s">
        <v>3062</v>
      </c>
      <c r="C544" s="1">
        <v>87</v>
      </c>
      <c r="D544" s="1">
        <v>1998</v>
      </c>
      <c r="E544" t="s">
        <v>64</v>
      </c>
      <c r="F544" t="s">
        <v>943</v>
      </c>
      <c r="G544" t="s">
        <v>220</v>
      </c>
      <c r="H544" t="s">
        <v>3063</v>
      </c>
      <c r="I544" t="s">
        <v>3064</v>
      </c>
      <c r="J544" t="s">
        <v>220</v>
      </c>
      <c r="K544" s="1">
        <v>3</v>
      </c>
      <c r="L544" t="s">
        <v>91</v>
      </c>
      <c r="M544" t="s">
        <v>70</v>
      </c>
      <c r="N544" t="s">
        <v>71</v>
      </c>
      <c r="P544" t="s">
        <v>72</v>
      </c>
      <c r="Q544" t="s">
        <v>945</v>
      </c>
      <c r="R544" t="s">
        <v>74</v>
      </c>
      <c r="S544" t="s">
        <v>3065</v>
      </c>
      <c r="T544" s="2">
        <v>846</v>
      </c>
      <c r="U544" s="3">
        <v>1.2</v>
      </c>
      <c r="V544" s="4">
        <v>1013</v>
      </c>
      <c r="AF544" s="5">
        <v>6.8966000000000003</v>
      </c>
      <c r="AI544" s="1">
        <v>2</v>
      </c>
      <c r="AJ544" t="s">
        <v>81</v>
      </c>
      <c r="AK544" t="s">
        <v>82</v>
      </c>
      <c r="AL544" t="s">
        <v>83</v>
      </c>
      <c r="AM544" s="3">
        <v>1.1599999999999999</v>
      </c>
      <c r="AN544" s="4">
        <v>1106</v>
      </c>
      <c r="AO544" s="1">
        <v>950</v>
      </c>
      <c r="AP544" s="3">
        <v>1.26</v>
      </c>
      <c r="AQ544" s="4">
        <v>1509</v>
      </c>
      <c r="AR544" s="1">
        <v>1200</v>
      </c>
      <c r="AS544" s="3">
        <v>118677.27</v>
      </c>
      <c r="AW544" t="s">
        <v>84</v>
      </c>
      <c r="AY544" s="3">
        <v>1.21</v>
      </c>
      <c r="AZ544" s="4">
        <v>875</v>
      </c>
      <c r="BA544" s="1">
        <v>725</v>
      </c>
      <c r="BB544" s="1">
        <v>49</v>
      </c>
      <c r="BC544" s="1">
        <v>30</v>
      </c>
      <c r="BD544" s="1">
        <v>8</v>
      </c>
      <c r="BF544" t="s">
        <v>3066</v>
      </c>
      <c r="BG544" t="s">
        <v>104</v>
      </c>
    </row>
    <row r="545" spans="1:62" x14ac:dyDescent="0.25">
      <c r="A545" t="s">
        <v>3067</v>
      </c>
      <c r="B545" t="s">
        <v>3068</v>
      </c>
      <c r="C545" s="1">
        <v>220</v>
      </c>
      <c r="D545" s="1">
        <v>1999</v>
      </c>
      <c r="E545" t="s">
        <v>64</v>
      </c>
      <c r="F545" t="s">
        <v>611</v>
      </c>
      <c r="G545" t="s">
        <v>835</v>
      </c>
      <c r="H545" t="s">
        <v>3069</v>
      </c>
      <c r="I545" t="s">
        <v>3070</v>
      </c>
      <c r="J545" t="s">
        <v>835</v>
      </c>
      <c r="K545" s="1">
        <v>4</v>
      </c>
      <c r="L545" t="s">
        <v>91</v>
      </c>
      <c r="M545" t="s">
        <v>70</v>
      </c>
      <c r="N545" t="s">
        <v>71</v>
      </c>
      <c r="P545" t="s">
        <v>72</v>
      </c>
      <c r="Q545" t="s">
        <v>427</v>
      </c>
      <c r="R545" t="s">
        <v>74</v>
      </c>
      <c r="S545" t="s">
        <v>600</v>
      </c>
      <c r="T545" s="2">
        <v>998</v>
      </c>
      <c r="U545" s="3">
        <v>1.45</v>
      </c>
      <c r="V545" s="4">
        <v>1444</v>
      </c>
      <c r="AF545" s="5">
        <v>18.181799999999999</v>
      </c>
      <c r="AI545" s="1">
        <v>3</v>
      </c>
      <c r="AJ545" t="s">
        <v>81</v>
      </c>
      <c r="AK545" t="s">
        <v>82</v>
      </c>
      <c r="AL545" t="s">
        <v>83</v>
      </c>
      <c r="AM545" s="3">
        <v>1.41</v>
      </c>
      <c r="AN545" s="4">
        <v>1545</v>
      </c>
      <c r="AO545" s="1">
        <v>1095</v>
      </c>
      <c r="AP545" s="3">
        <v>1.56</v>
      </c>
      <c r="AQ545" s="4">
        <v>1954</v>
      </c>
      <c r="AR545" s="1">
        <v>1256</v>
      </c>
      <c r="AS545" s="3">
        <v>718614.97</v>
      </c>
      <c r="AW545" t="s">
        <v>84</v>
      </c>
      <c r="AY545" s="3">
        <v>1.48</v>
      </c>
      <c r="AZ545" s="4">
        <v>1273</v>
      </c>
      <c r="BA545" s="1">
        <v>863</v>
      </c>
      <c r="BB545" s="1">
        <v>100</v>
      </c>
      <c r="BC545" s="1">
        <v>108</v>
      </c>
      <c r="BD545" s="1">
        <v>12</v>
      </c>
    </row>
    <row r="546" spans="1:62" x14ac:dyDescent="0.25">
      <c r="A546" t="s">
        <v>933</v>
      </c>
      <c r="B546" t="s">
        <v>934</v>
      </c>
      <c r="C546" s="1">
        <v>58</v>
      </c>
      <c r="D546" s="1">
        <v>1990</v>
      </c>
      <c r="E546" t="s">
        <v>64</v>
      </c>
      <c r="F546" t="s">
        <v>219</v>
      </c>
      <c r="G546" t="s">
        <v>935</v>
      </c>
      <c r="I546" t="s">
        <v>936</v>
      </c>
      <c r="J546" t="s">
        <v>935</v>
      </c>
      <c r="K546" s="1">
        <v>3</v>
      </c>
      <c r="L546" t="s">
        <v>69</v>
      </c>
      <c r="M546" t="s">
        <v>70</v>
      </c>
      <c r="N546" t="s">
        <v>127</v>
      </c>
      <c r="P546" t="s">
        <v>72</v>
      </c>
      <c r="Q546" t="s">
        <v>152</v>
      </c>
      <c r="R546" t="s">
        <v>74</v>
      </c>
      <c r="S546" t="s">
        <v>937</v>
      </c>
      <c r="T546" s="2">
        <v>1000</v>
      </c>
      <c r="AF546" s="5">
        <v>8.6206999999999994</v>
      </c>
      <c r="AI546" s="1">
        <v>2</v>
      </c>
      <c r="AJ546" t="s">
        <v>81</v>
      </c>
      <c r="AK546" t="s">
        <v>82</v>
      </c>
      <c r="AL546" t="s">
        <v>83</v>
      </c>
      <c r="AS546" s="3">
        <v>63380.72</v>
      </c>
      <c r="AW546" t="s">
        <v>84</v>
      </c>
      <c r="BA546" s="1">
        <v>1000</v>
      </c>
      <c r="BB546" s="1">
        <v>58</v>
      </c>
      <c r="BF546" t="s">
        <v>566</v>
      </c>
      <c r="BG546" t="s">
        <v>104</v>
      </c>
    </row>
    <row r="547" spans="1:62" x14ac:dyDescent="0.25">
      <c r="A547" t="s">
        <v>3071</v>
      </c>
      <c r="B547" t="s">
        <v>3072</v>
      </c>
      <c r="C547" s="1">
        <v>331</v>
      </c>
      <c r="D547" s="1">
        <v>1998</v>
      </c>
      <c r="E547" t="s">
        <v>64</v>
      </c>
      <c r="F547" t="s">
        <v>87</v>
      </c>
      <c r="G547" t="s">
        <v>697</v>
      </c>
      <c r="H547" t="s">
        <v>3073</v>
      </c>
      <c r="I547" t="s">
        <v>3074</v>
      </c>
      <c r="J547" t="s">
        <v>697</v>
      </c>
      <c r="K547" s="1">
        <v>4</v>
      </c>
      <c r="L547" t="s">
        <v>729</v>
      </c>
      <c r="M547" t="s">
        <v>70</v>
      </c>
      <c r="N547" t="s">
        <v>71</v>
      </c>
      <c r="P547" t="s">
        <v>72</v>
      </c>
      <c r="Q547" t="s">
        <v>73</v>
      </c>
      <c r="R547" t="s">
        <v>74</v>
      </c>
      <c r="S547" t="s">
        <v>2424</v>
      </c>
      <c r="T547" s="2">
        <v>1183</v>
      </c>
      <c r="U547" s="3">
        <v>2.2799999999999998</v>
      </c>
      <c r="V547" s="4">
        <v>2694</v>
      </c>
      <c r="AF547" s="5">
        <v>6.6464999999999996</v>
      </c>
      <c r="AI547" s="1">
        <v>14</v>
      </c>
      <c r="AJ547" t="s">
        <v>81</v>
      </c>
      <c r="AK547" t="s">
        <v>82</v>
      </c>
      <c r="AL547" t="s">
        <v>83</v>
      </c>
      <c r="AM547" s="3">
        <v>2.17</v>
      </c>
      <c r="AN547" s="4">
        <v>2962</v>
      </c>
      <c r="AO547" s="1">
        <v>1367</v>
      </c>
      <c r="AP547" s="3">
        <v>2.5299999999999998</v>
      </c>
      <c r="AQ547" s="4">
        <v>3582</v>
      </c>
      <c r="AR547" s="1">
        <v>1417</v>
      </c>
      <c r="AS547" s="3">
        <v>2100928.2000000002</v>
      </c>
      <c r="AW547" t="s">
        <v>84</v>
      </c>
      <c r="AY547" s="3">
        <v>2.39</v>
      </c>
      <c r="AZ547" s="4">
        <v>2056</v>
      </c>
      <c r="BA547" s="1">
        <v>860</v>
      </c>
      <c r="BB547" s="1">
        <v>123</v>
      </c>
      <c r="BC547" s="1">
        <v>171</v>
      </c>
      <c r="BD547" s="1">
        <v>37</v>
      </c>
    </row>
    <row r="548" spans="1:62" x14ac:dyDescent="0.25">
      <c r="A548" t="s">
        <v>3075</v>
      </c>
      <c r="B548" t="s">
        <v>3076</v>
      </c>
      <c r="C548" s="1">
        <v>400</v>
      </c>
      <c r="D548" s="1">
        <v>1992</v>
      </c>
      <c r="E548" t="s">
        <v>64</v>
      </c>
      <c r="F548" t="s">
        <v>198</v>
      </c>
      <c r="G548" t="s">
        <v>697</v>
      </c>
      <c r="H548" t="s">
        <v>3077</v>
      </c>
      <c r="I548" t="s">
        <v>3078</v>
      </c>
      <c r="J548" t="s">
        <v>697</v>
      </c>
      <c r="K548" s="1">
        <v>4</v>
      </c>
      <c r="L548" t="s">
        <v>91</v>
      </c>
      <c r="M548" t="s">
        <v>70</v>
      </c>
      <c r="N548" t="s">
        <v>71</v>
      </c>
      <c r="P548" t="s">
        <v>72</v>
      </c>
      <c r="Q548" t="s">
        <v>110</v>
      </c>
      <c r="R548" t="s">
        <v>74</v>
      </c>
      <c r="S548" t="s">
        <v>202</v>
      </c>
      <c r="T548" s="2">
        <v>802</v>
      </c>
      <c r="U548" s="3">
        <v>1.89</v>
      </c>
      <c r="V548" s="4">
        <v>1514</v>
      </c>
      <c r="AF548" s="5">
        <v>4.5</v>
      </c>
      <c r="AH548" s="1">
        <v>2017</v>
      </c>
      <c r="AI548" s="1">
        <v>3</v>
      </c>
      <c r="AJ548" t="s">
        <v>81</v>
      </c>
      <c r="AK548" t="s">
        <v>82</v>
      </c>
      <c r="AL548" t="s">
        <v>83</v>
      </c>
      <c r="AM548" s="3">
        <v>1.73</v>
      </c>
      <c r="AN548" s="4">
        <v>1787</v>
      </c>
      <c r="AO548" s="1">
        <v>1033</v>
      </c>
      <c r="AS548" s="3">
        <v>1381286.56</v>
      </c>
      <c r="AW548" t="s">
        <v>84</v>
      </c>
      <c r="AY548" s="3">
        <v>2.0099999999999998</v>
      </c>
      <c r="AZ548" s="4">
        <v>1374</v>
      </c>
      <c r="BA548" s="1">
        <v>683</v>
      </c>
      <c r="BB548" s="1">
        <v>264</v>
      </c>
      <c r="BC548" s="1">
        <v>136</v>
      </c>
      <c r="BG548" t="s">
        <v>131</v>
      </c>
    </row>
    <row r="549" spans="1:62" x14ac:dyDescent="0.25">
      <c r="A549" t="s">
        <v>3079</v>
      </c>
      <c r="B549" t="s">
        <v>3080</v>
      </c>
      <c r="C549" s="1">
        <v>192</v>
      </c>
      <c r="D549" s="1">
        <v>2000</v>
      </c>
      <c r="E549" t="s">
        <v>64</v>
      </c>
      <c r="F549" t="s">
        <v>3081</v>
      </c>
      <c r="G549" t="s">
        <v>3082</v>
      </c>
      <c r="H549" t="s">
        <v>3083</v>
      </c>
      <c r="I549" t="s">
        <v>3084</v>
      </c>
      <c r="J549" t="s">
        <v>3082</v>
      </c>
      <c r="K549" s="1">
        <v>3</v>
      </c>
      <c r="L549" t="s">
        <v>91</v>
      </c>
      <c r="M549" t="s">
        <v>70</v>
      </c>
      <c r="N549" t="s">
        <v>71</v>
      </c>
      <c r="O549" t="s">
        <v>118</v>
      </c>
      <c r="P549" t="s">
        <v>72</v>
      </c>
      <c r="Q549" t="s">
        <v>152</v>
      </c>
      <c r="R549" t="s">
        <v>74</v>
      </c>
      <c r="S549" t="s">
        <v>3085</v>
      </c>
      <c r="T549" s="2">
        <v>853</v>
      </c>
      <c r="U549" s="3">
        <v>1.51</v>
      </c>
      <c r="V549" s="4">
        <v>1285</v>
      </c>
      <c r="AF549" s="5">
        <v>4.1666999999999996</v>
      </c>
      <c r="AI549" s="1">
        <v>4</v>
      </c>
      <c r="AJ549" t="s">
        <v>81</v>
      </c>
      <c r="AK549" t="s">
        <v>82</v>
      </c>
      <c r="AL549" t="s">
        <v>83</v>
      </c>
      <c r="AM549" s="3">
        <v>1.44</v>
      </c>
      <c r="AN549" s="4">
        <v>1362</v>
      </c>
      <c r="AO549" s="1">
        <v>946</v>
      </c>
      <c r="AP549" s="3">
        <v>1.34</v>
      </c>
      <c r="AQ549" s="4">
        <v>1658</v>
      </c>
      <c r="AR549" s="1">
        <v>1238</v>
      </c>
      <c r="AS549" s="3">
        <v>238820.69</v>
      </c>
      <c r="AT549" s="3">
        <v>1.71</v>
      </c>
      <c r="AU549" s="4">
        <v>1430</v>
      </c>
      <c r="AV549" s="6">
        <v>835</v>
      </c>
      <c r="AW549" t="s">
        <v>84</v>
      </c>
      <c r="AY549" s="3">
        <v>1.57</v>
      </c>
      <c r="AZ549" s="4">
        <v>1154</v>
      </c>
      <c r="BA549" s="1">
        <v>735</v>
      </c>
      <c r="BB549" s="1">
        <v>96</v>
      </c>
      <c r="BC549" s="1">
        <v>67</v>
      </c>
      <c r="BD549" s="1">
        <v>14</v>
      </c>
      <c r="BF549" t="s">
        <v>3086</v>
      </c>
    </row>
    <row r="550" spans="1:62" x14ac:dyDescent="0.25">
      <c r="A550" t="s">
        <v>3087</v>
      </c>
      <c r="B550" t="s">
        <v>3088</v>
      </c>
      <c r="C550" s="1">
        <v>128</v>
      </c>
      <c r="D550" s="1">
        <v>2000</v>
      </c>
      <c r="E550" t="s">
        <v>64</v>
      </c>
      <c r="F550" t="s">
        <v>943</v>
      </c>
      <c r="G550" t="s">
        <v>3089</v>
      </c>
      <c r="H550" t="s">
        <v>3090</v>
      </c>
      <c r="J550" t="s">
        <v>3089</v>
      </c>
      <c r="K550" s="1">
        <v>4</v>
      </c>
      <c r="L550" t="s">
        <v>91</v>
      </c>
      <c r="M550" t="s">
        <v>70</v>
      </c>
      <c r="N550" t="s">
        <v>71</v>
      </c>
      <c r="O550" t="s">
        <v>118</v>
      </c>
      <c r="P550" t="s">
        <v>72</v>
      </c>
      <c r="Q550" t="s">
        <v>945</v>
      </c>
      <c r="R550" t="s">
        <v>74</v>
      </c>
      <c r="S550" t="s">
        <v>946</v>
      </c>
      <c r="T550" s="2">
        <v>887</v>
      </c>
      <c r="U550" s="3">
        <v>1.31</v>
      </c>
      <c r="V550" s="4">
        <v>1163</v>
      </c>
      <c r="AF550" s="5">
        <v>15.625</v>
      </c>
      <c r="AI550" s="1">
        <v>2</v>
      </c>
      <c r="AJ550" t="s">
        <v>81</v>
      </c>
      <c r="AK550" t="s">
        <v>82</v>
      </c>
      <c r="AL550" t="s">
        <v>83</v>
      </c>
      <c r="AM550" s="3">
        <v>1.29</v>
      </c>
      <c r="AN550" s="4">
        <v>1225</v>
      </c>
      <c r="AO550" s="1">
        <v>950</v>
      </c>
      <c r="AS550" s="3">
        <v>84068.3</v>
      </c>
      <c r="AW550" t="s">
        <v>84</v>
      </c>
      <c r="AY550" s="3">
        <v>1.37</v>
      </c>
      <c r="AZ550" s="4">
        <v>1025</v>
      </c>
      <c r="BA550" s="1">
        <v>750</v>
      </c>
      <c r="BB550" s="1">
        <v>40</v>
      </c>
      <c r="BC550" s="1">
        <v>88</v>
      </c>
      <c r="BG550" t="s">
        <v>94</v>
      </c>
    </row>
    <row r="551" spans="1:62" x14ac:dyDescent="0.25">
      <c r="A551" t="s">
        <v>3091</v>
      </c>
      <c r="B551" t="s">
        <v>3092</v>
      </c>
      <c r="C551" s="1">
        <v>252</v>
      </c>
      <c r="D551" s="1">
        <v>1998</v>
      </c>
      <c r="E551" t="s">
        <v>64</v>
      </c>
      <c r="F551" t="s">
        <v>97</v>
      </c>
      <c r="G551" t="s">
        <v>3093</v>
      </c>
      <c r="H551" t="s">
        <v>3094</v>
      </c>
      <c r="I551" t="s">
        <v>3095</v>
      </c>
      <c r="J551" t="s">
        <v>3093</v>
      </c>
      <c r="K551" s="1">
        <v>3</v>
      </c>
      <c r="L551" t="s">
        <v>69</v>
      </c>
      <c r="M551" t="s">
        <v>70</v>
      </c>
      <c r="N551" t="s">
        <v>71</v>
      </c>
      <c r="O551" t="s">
        <v>118</v>
      </c>
      <c r="P551" t="s">
        <v>72</v>
      </c>
      <c r="Q551" t="s">
        <v>961</v>
      </c>
      <c r="R551" t="s">
        <v>74</v>
      </c>
      <c r="S551" t="s">
        <v>3096</v>
      </c>
      <c r="T551" s="2">
        <v>859</v>
      </c>
      <c r="U551" s="3">
        <v>1.7</v>
      </c>
      <c r="V551" s="4">
        <v>1464</v>
      </c>
      <c r="AF551" s="5">
        <v>5.1586999999999996</v>
      </c>
      <c r="AI551" s="1">
        <v>2</v>
      </c>
      <c r="AJ551" t="s">
        <v>81</v>
      </c>
      <c r="AK551" t="s">
        <v>82</v>
      </c>
      <c r="AL551" t="s">
        <v>83</v>
      </c>
      <c r="AM551" s="3">
        <v>1.65</v>
      </c>
      <c r="AN551" s="4">
        <v>1610</v>
      </c>
      <c r="AO551" s="1">
        <v>975</v>
      </c>
      <c r="AP551" s="3">
        <v>1.56</v>
      </c>
      <c r="AQ551" s="4">
        <v>1840</v>
      </c>
      <c r="AR551" s="1">
        <v>1176</v>
      </c>
      <c r="AS551" s="3">
        <v>809851.13</v>
      </c>
      <c r="AW551" t="s">
        <v>84</v>
      </c>
      <c r="AY551" s="3">
        <v>1.79</v>
      </c>
      <c r="AZ551" s="4">
        <v>1283</v>
      </c>
      <c r="BA551" s="1">
        <v>715</v>
      </c>
      <c r="BB551" s="1">
        <v>124</v>
      </c>
      <c r="BC551" s="1">
        <v>112</v>
      </c>
      <c r="BD551" s="1">
        <v>16</v>
      </c>
      <c r="BG551" t="s">
        <v>131</v>
      </c>
    </row>
    <row r="552" spans="1:62" x14ac:dyDescent="0.25">
      <c r="A552" t="s">
        <v>3097</v>
      </c>
      <c r="B552" t="s">
        <v>3098</v>
      </c>
      <c r="C552" s="1">
        <v>176</v>
      </c>
      <c r="D552" s="1">
        <v>2000</v>
      </c>
      <c r="E552" t="s">
        <v>64</v>
      </c>
      <c r="F552" t="s">
        <v>653</v>
      </c>
      <c r="G552" t="s">
        <v>3099</v>
      </c>
      <c r="H552" t="s">
        <v>3100</v>
      </c>
      <c r="I552" t="s">
        <v>3101</v>
      </c>
      <c r="J552" t="s">
        <v>3099</v>
      </c>
      <c r="K552" s="1">
        <v>3</v>
      </c>
      <c r="L552" t="s">
        <v>91</v>
      </c>
      <c r="M552" t="s">
        <v>70</v>
      </c>
      <c r="N552" t="s">
        <v>71</v>
      </c>
      <c r="P552" t="s">
        <v>72</v>
      </c>
      <c r="Q552" t="s">
        <v>152</v>
      </c>
      <c r="R552" t="s">
        <v>74</v>
      </c>
      <c r="S552" t="s">
        <v>1070</v>
      </c>
      <c r="T552" s="2">
        <v>919</v>
      </c>
      <c r="U552" s="3">
        <v>1.57</v>
      </c>
      <c r="V552" s="4">
        <v>1441</v>
      </c>
      <c r="AF552" s="5">
        <v>7.9545000000000003</v>
      </c>
      <c r="AI552" s="1">
        <v>2</v>
      </c>
      <c r="AJ552" t="s">
        <v>81</v>
      </c>
      <c r="AK552" t="s">
        <v>82</v>
      </c>
      <c r="AL552" t="s">
        <v>83</v>
      </c>
      <c r="AM552" s="3">
        <v>1.49</v>
      </c>
      <c r="AN552" s="4">
        <v>1545</v>
      </c>
      <c r="AO552" s="1">
        <v>1040</v>
      </c>
      <c r="AP552" s="3">
        <v>1.5</v>
      </c>
      <c r="AQ552" s="4">
        <v>1779</v>
      </c>
      <c r="AR552" s="1">
        <v>1185</v>
      </c>
      <c r="AW552" t="s">
        <v>84</v>
      </c>
      <c r="AY552" s="3">
        <v>1.7</v>
      </c>
      <c r="AZ552" s="4">
        <v>1269</v>
      </c>
      <c r="BA552" s="1">
        <v>746</v>
      </c>
      <c r="BB552" s="1">
        <v>80</v>
      </c>
      <c r="BC552" s="1">
        <v>80</v>
      </c>
      <c r="BD552" s="1">
        <v>16</v>
      </c>
      <c r="BF552" t="s">
        <v>3102</v>
      </c>
      <c r="BG552" t="s">
        <v>104</v>
      </c>
    </row>
    <row r="553" spans="1:62" x14ac:dyDescent="0.25">
      <c r="A553" t="s">
        <v>3103</v>
      </c>
      <c r="B553" t="s">
        <v>3104</v>
      </c>
      <c r="C553" s="1">
        <v>196</v>
      </c>
      <c r="D553" s="1">
        <v>2000</v>
      </c>
      <c r="E553" t="s">
        <v>64</v>
      </c>
      <c r="F553" t="s">
        <v>156</v>
      </c>
      <c r="G553" t="s">
        <v>3105</v>
      </c>
      <c r="H553" t="s">
        <v>3106</v>
      </c>
      <c r="I553" t="s">
        <v>3107</v>
      </c>
      <c r="J553" t="s">
        <v>3105</v>
      </c>
      <c r="K553" s="1">
        <v>3</v>
      </c>
      <c r="L553" t="s">
        <v>91</v>
      </c>
      <c r="M553" t="s">
        <v>70</v>
      </c>
      <c r="N553" t="s">
        <v>71</v>
      </c>
      <c r="O553" t="s">
        <v>118</v>
      </c>
      <c r="P553" t="s">
        <v>72</v>
      </c>
      <c r="Q553" t="s">
        <v>73</v>
      </c>
      <c r="R553" t="s">
        <v>74</v>
      </c>
      <c r="S553" t="s">
        <v>461</v>
      </c>
      <c r="T553" s="2">
        <v>859</v>
      </c>
      <c r="U553" s="3">
        <v>1.5</v>
      </c>
      <c r="V553" s="4">
        <v>1286</v>
      </c>
      <c r="AF553" s="5">
        <v>19.387799999999999</v>
      </c>
      <c r="AI553" s="1">
        <v>2</v>
      </c>
      <c r="AJ553" t="s">
        <v>81</v>
      </c>
      <c r="AK553" t="s">
        <v>82</v>
      </c>
      <c r="AL553" t="s">
        <v>83</v>
      </c>
      <c r="AM553" s="3">
        <v>1.49</v>
      </c>
      <c r="AN553" s="4">
        <v>1425</v>
      </c>
      <c r="AO553" s="1">
        <v>955</v>
      </c>
      <c r="AP553" s="3">
        <v>1.1399999999999999</v>
      </c>
      <c r="AQ553" s="4">
        <v>1373</v>
      </c>
      <c r="AR553" s="1">
        <v>1200</v>
      </c>
      <c r="AS553" s="3">
        <v>301729.06</v>
      </c>
      <c r="AW553" t="s">
        <v>84</v>
      </c>
      <c r="AY553" s="3">
        <v>1.72</v>
      </c>
      <c r="AZ553" s="4">
        <v>1191</v>
      </c>
      <c r="BA553" s="1">
        <v>694</v>
      </c>
      <c r="BB553" s="1">
        <v>108</v>
      </c>
      <c r="BC553" s="1">
        <v>49</v>
      </c>
      <c r="BD553" s="1">
        <v>39</v>
      </c>
    </row>
    <row r="554" spans="1:62" x14ac:dyDescent="0.25">
      <c r="A554" t="s">
        <v>3108</v>
      </c>
      <c r="B554" t="s">
        <v>3109</v>
      </c>
      <c r="C554" s="1">
        <v>280</v>
      </c>
      <c r="D554" s="1">
        <v>1996</v>
      </c>
      <c r="E554" t="s">
        <v>64</v>
      </c>
      <c r="F554" t="s">
        <v>660</v>
      </c>
      <c r="G554" t="s">
        <v>1400</v>
      </c>
      <c r="H554" t="s">
        <v>3110</v>
      </c>
      <c r="I554" t="s">
        <v>3111</v>
      </c>
      <c r="J554" t="s">
        <v>1400</v>
      </c>
      <c r="K554" s="1">
        <v>3</v>
      </c>
      <c r="L554" t="s">
        <v>91</v>
      </c>
      <c r="M554" t="s">
        <v>70</v>
      </c>
      <c r="N554" t="s">
        <v>71</v>
      </c>
      <c r="P554" t="s">
        <v>72</v>
      </c>
      <c r="Q554" t="s">
        <v>1012</v>
      </c>
      <c r="R554" t="s">
        <v>74</v>
      </c>
      <c r="S554" t="s">
        <v>1013</v>
      </c>
      <c r="T554" s="2">
        <v>868</v>
      </c>
      <c r="U554" s="3">
        <v>1.68</v>
      </c>
      <c r="V554" s="4">
        <v>1457</v>
      </c>
      <c r="AF554" s="5">
        <v>6.4286000000000003</v>
      </c>
      <c r="AI554" s="1">
        <v>2</v>
      </c>
      <c r="AJ554" t="s">
        <v>81</v>
      </c>
      <c r="AK554" t="s">
        <v>82</v>
      </c>
      <c r="AL554" t="s">
        <v>83</v>
      </c>
      <c r="AM554" s="3">
        <v>1.66</v>
      </c>
      <c r="AN554" s="4">
        <v>1622</v>
      </c>
      <c r="AO554" s="1">
        <v>977</v>
      </c>
      <c r="AP554" s="3">
        <v>1.67</v>
      </c>
      <c r="AQ554" s="4">
        <v>2173</v>
      </c>
      <c r="AR554" s="1">
        <v>1301</v>
      </c>
      <c r="AS554" s="3">
        <v>815010.98</v>
      </c>
      <c r="AW554" t="s">
        <v>84</v>
      </c>
      <c r="AY554" s="3">
        <v>1.71</v>
      </c>
      <c r="AZ554" s="4">
        <v>1192</v>
      </c>
      <c r="BA554" s="1">
        <v>698</v>
      </c>
      <c r="BB554" s="1">
        <v>128</v>
      </c>
      <c r="BC554" s="1">
        <v>136</v>
      </c>
      <c r="BD554" s="1">
        <v>16</v>
      </c>
      <c r="BG554" t="s">
        <v>131</v>
      </c>
    </row>
    <row r="555" spans="1:62" x14ac:dyDescent="0.25">
      <c r="A555" t="s">
        <v>3112</v>
      </c>
      <c r="B555" t="s">
        <v>3113</v>
      </c>
      <c r="C555" s="1">
        <v>480</v>
      </c>
      <c r="D555" s="1">
        <v>1998</v>
      </c>
      <c r="E555" t="s">
        <v>64</v>
      </c>
      <c r="F555" t="s">
        <v>140</v>
      </c>
      <c r="G555" t="s">
        <v>3114</v>
      </c>
      <c r="H555" t="s">
        <v>3115</v>
      </c>
      <c r="I555" t="s">
        <v>3116</v>
      </c>
      <c r="J555" t="s">
        <v>3114</v>
      </c>
      <c r="K555" s="1">
        <v>4</v>
      </c>
      <c r="L555" t="s">
        <v>729</v>
      </c>
      <c r="M555" t="s">
        <v>70</v>
      </c>
      <c r="N555" t="s">
        <v>71</v>
      </c>
      <c r="P555" t="s">
        <v>72</v>
      </c>
      <c r="Q555" t="s">
        <v>140</v>
      </c>
      <c r="R555" t="s">
        <v>74</v>
      </c>
      <c r="S555" t="s">
        <v>144</v>
      </c>
      <c r="T555" s="2">
        <v>1020</v>
      </c>
      <c r="U555" s="3">
        <v>1.71</v>
      </c>
      <c r="V555" s="4">
        <v>1746</v>
      </c>
      <c r="AF555" s="5">
        <v>8.125</v>
      </c>
      <c r="AI555" s="1">
        <v>2</v>
      </c>
      <c r="AJ555" t="s">
        <v>81</v>
      </c>
      <c r="AK555" t="s">
        <v>82</v>
      </c>
      <c r="AL555" t="s">
        <v>83</v>
      </c>
      <c r="AM555" s="3">
        <v>1.71</v>
      </c>
      <c r="AN555" s="4">
        <v>2010</v>
      </c>
      <c r="AO555" s="1">
        <v>1176</v>
      </c>
      <c r="AP555" s="3">
        <v>1.57</v>
      </c>
      <c r="AQ555" s="4">
        <v>2404</v>
      </c>
      <c r="AR555" s="1">
        <v>1530</v>
      </c>
      <c r="AS555" s="3">
        <v>1513276.5</v>
      </c>
      <c r="AW555" t="s">
        <v>84</v>
      </c>
      <c r="AY555" s="3">
        <v>1.75</v>
      </c>
      <c r="AZ555" s="4">
        <v>1476</v>
      </c>
      <c r="BA555" s="1">
        <v>846</v>
      </c>
      <c r="BB555" s="1">
        <v>264</v>
      </c>
      <c r="BC555" s="1">
        <v>180</v>
      </c>
      <c r="BD555" s="1">
        <v>36</v>
      </c>
      <c r="BG555" t="s">
        <v>131</v>
      </c>
    </row>
    <row r="556" spans="1:62" x14ac:dyDescent="0.25">
      <c r="A556" t="s">
        <v>3117</v>
      </c>
      <c r="B556" t="s">
        <v>3118</v>
      </c>
      <c r="C556" s="1">
        <v>282</v>
      </c>
      <c r="D556" s="1">
        <v>1992</v>
      </c>
      <c r="E556" t="s">
        <v>64</v>
      </c>
      <c r="F556" t="s">
        <v>269</v>
      </c>
      <c r="G556" t="s">
        <v>2786</v>
      </c>
      <c r="H556" t="s">
        <v>3119</v>
      </c>
      <c r="I556" t="s">
        <v>3120</v>
      </c>
      <c r="J556" t="s">
        <v>2786</v>
      </c>
      <c r="K556" s="1">
        <v>4</v>
      </c>
      <c r="L556" t="s">
        <v>729</v>
      </c>
      <c r="M556" t="s">
        <v>70</v>
      </c>
      <c r="N556" t="s">
        <v>71</v>
      </c>
      <c r="P556" t="s">
        <v>72</v>
      </c>
      <c r="Q556" t="s">
        <v>73</v>
      </c>
      <c r="R556" t="s">
        <v>74</v>
      </c>
      <c r="S556" t="s">
        <v>3121</v>
      </c>
      <c r="T556" s="2">
        <v>966</v>
      </c>
      <c r="U556" s="3">
        <v>1.93</v>
      </c>
      <c r="V556" s="4">
        <v>1863</v>
      </c>
      <c r="AF556" s="5">
        <v>1.7729999999999999</v>
      </c>
      <c r="AI556" s="1">
        <v>2</v>
      </c>
      <c r="AJ556" t="s">
        <v>81</v>
      </c>
      <c r="AK556" t="s">
        <v>82</v>
      </c>
      <c r="AL556" t="s">
        <v>83</v>
      </c>
      <c r="AM556" s="3">
        <v>1.78</v>
      </c>
      <c r="AN556" s="4">
        <v>1974</v>
      </c>
      <c r="AO556" s="1">
        <v>1108</v>
      </c>
      <c r="AP556" s="3">
        <v>1.84</v>
      </c>
      <c r="AQ556" s="4">
        <v>2502</v>
      </c>
      <c r="AR556" s="1">
        <v>1361</v>
      </c>
      <c r="AS556" s="3">
        <v>1206916.2</v>
      </c>
      <c r="AW556" t="s">
        <v>84</v>
      </c>
      <c r="AY556" s="3">
        <v>2.1800000000000002</v>
      </c>
      <c r="AZ556" s="4">
        <v>1700</v>
      </c>
      <c r="BA556" s="1">
        <v>778</v>
      </c>
      <c r="BB556" s="1">
        <v>126</v>
      </c>
      <c r="BC556" s="1">
        <v>150</v>
      </c>
      <c r="BD556" s="1">
        <v>6</v>
      </c>
      <c r="BG556" t="s">
        <v>131</v>
      </c>
    </row>
    <row r="557" spans="1:62" x14ac:dyDescent="0.25">
      <c r="A557" t="s">
        <v>3122</v>
      </c>
      <c r="B557" t="s">
        <v>3123</v>
      </c>
      <c r="C557" s="1">
        <v>196</v>
      </c>
      <c r="D557" s="1">
        <v>1999</v>
      </c>
      <c r="E557" t="s">
        <v>64</v>
      </c>
      <c r="F557" t="s">
        <v>2253</v>
      </c>
      <c r="G557" t="s">
        <v>546</v>
      </c>
      <c r="H557" t="s">
        <v>3124</v>
      </c>
      <c r="I557" t="s">
        <v>546</v>
      </c>
      <c r="J557" t="s">
        <v>546</v>
      </c>
      <c r="K557" s="1">
        <v>2</v>
      </c>
      <c r="L557" t="s">
        <v>69</v>
      </c>
      <c r="M557" t="s">
        <v>70</v>
      </c>
      <c r="N557" t="s">
        <v>71</v>
      </c>
      <c r="O557" t="s">
        <v>426</v>
      </c>
      <c r="P557" t="s">
        <v>72</v>
      </c>
      <c r="Q557" t="s">
        <v>73</v>
      </c>
      <c r="R557" t="s">
        <v>74</v>
      </c>
      <c r="S557" t="s">
        <v>2259</v>
      </c>
      <c r="T557" s="2">
        <v>1131</v>
      </c>
      <c r="U557" s="3">
        <v>0.73</v>
      </c>
      <c r="V557" s="4">
        <v>831</v>
      </c>
      <c r="AF557" s="5">
        <v>6.1223999999999998</v>
      </c>
      <c r="AI557" s="1">
        <v>2</v>
      </c>
      <c r="AJ557" t="s">
        <v>81</v>
      </c>
      <c r="AK557" t="s">
        <v>82</v>
      </c>
      <c r="AL557" t="s">
        <v>83</v>
      </c>
      <c r="AM557" s="3">
        <v>0.67</v>
      </c>
      <c r="AN557" s="4">
        <v>668</v>
      </c>
      <c r="AO557" s="1">
        <v>1000</v>
      </c>
      <c r="AP557" s="3">
        <v>0.74</v>
      </c>
      <c r="AQ557" s="4">
        <v>892</v>
      </c>
      <c r="AR557" s="1">
        <v>1200</v>
      </c>
      <c r="AS557" s="3">
        <v>716499.47</v>
      </c>
      <c r="AW557" t="s">
        <v>84</v>
      </c>
      <c r="AY557" s="3">
        <v>0.73</v>
      </c>
      <c r="AZ557" s="4">
        <v>544</v>
      </c>
      <c r="BA557" s="1">
        <v>750</v>
      </c>
      <c r="BB557" s="1">
        <v>10</v>
      </c>
      <c r="BC557" s="1">
        <v>92</v>
      </c>
      <c r="BD557" s="1">
        <v>47</v>
      </c>
      <c r="BE557" s="1">
        <v>47</v>
      </c>
      <c r="BH557" s="3">
        <v>0.82</v>
      </c>
      <c r="BI557" s="4">
        <v>1149</v>
      </c>
      <c r="BJ557" s="1">
        <v>1400</v>
      </c>
    </row>
    <row r="558" spans="1:62" x14ac:dyDescent="0.25">
      <c r="A558" t="s">
        <v>3125</v>
      </c>
      <c r="B558" t="s">
        <v>3126</v>
      </c>
      <c r="C558" s="1">
        <v>144</v>
      </c>
      <c r="D558" s="1">
        <v>1998</v>
      </c>
      <c r="E558" t="s">
        <v>64</v>
      </c>
      <c r="F558" t="s">
        <v>1147</v>
      </c>
      <c r="G558" t="s">
        <v>229</v>
      </c>
      <c r="H558" t="s">
        <v>3127</v>
      </c>
      <c r="I558" t="s">
        <v>3128</v>
      </c>
      <c r="J558" t="s">
        <v>229</v>
      </c>
      <c r="K558" s="1">
        <v>4</v>
      </c>
      <c r="L558" t="s">
        <v>91</v>
      </c>
      <c r="M558" t="s">
        <v>70</v>
      </c>
      <c r="N558" t="s">
        <v>71</v>
      </c>
      <c r="P558" t="s">
        <v>72</v>
      </c>
      <c r="Q558" t="s">
        <v>73</v>
      </c>
      <c r="R558" t="s">
        <v>74</v>
      </c>
      <c r="S558" t="s">
        <v>3129</v>
      </c>
      <c r="T558" s="2">
        <v>835</v>
      </c>
      <c r="U558" s="3">
        <v>1.84</v>
      </c>
      <c r="V558" s="4">
        <v>1540</v>
      </c>
      <c r="AF558" s="5">
        <v>11.8056</v>
      </c>
      <c r="AH558" s="1">
        <v>2011</v>
      </c>
      <c r="AI558" s="1">
        <v>3</v>
      </c>
      <c r="AJ558" t="s">
        <v>81</v>
      </c>
      <c r="AK558" t="s">
        <v>82</v>
      </c>
      <c r="AL558" t="s">
        <v>83</v>
      </c>
      <c r="AM558" s="3">
        <v>1.75</v>
      </c>
      <c r="AN558" s="4">
        <v>1676</v>
      </c>
      <c r="AO558" s="1">
        <v>959</v>
      </c>
      <c r="AP558" s="3">
        <v>1.56</v>
      </c>
      <c r="AQ558" s="4">
        <v>1881</v>
      </c>
      <c r="AR558" s="1">
        <v>1207</v>
      </c>
      <c r="AS558" s="3">
        <v>536407.19999999995</v>
      </c>
      <c r="AW558" t="s">
        <v>84</v>
      </c>
      <c r="AY558" s="3">
        <v>2.02</v>
      </c>
      <c r="AZ558" s="4">
        <v>1399</v>
      </c>
      <c r="BA558" s="1">
        <v>693</v>
      </c>
      <c r="BB558" s="1">
        <v>84</v>
      </c>
      <c r="BC558" s="1">
        <v>42</v>
      </c>
      <c r="BD558" s="1">
        <v>18</v>
      </c>
      <c r="BF558" t="s">
        <v>3130</v>
      </c>
      <c r="BG558" t="s">
        <v>365</v>
      </c>
    </row>
    <row r="559" spans="1:62" x14ac:dyDescent="0.25">
      <c r="A559" t="s">
        <v>3131</v>
      </c>
      <c r="B559" t="s">
        <v>3132</v>
      </c>
      <c r="C559" s="1">
        <v>71</v>
      </c>
      <c r="D559" s="1">
        <v>2000</v>
      </c>
      <c r="E559" t="s">
        <v>64</v>
      </c>
      <c r="F559" t="s">
        <v>65</v>
      </c>
      <c r="G559" t="s">
        <v>546</v>
      </c>
      <c r="H559" t="s">
        <v>3133</v>
      </c>
      <c r="I559" t="s">
        <v>3134</v>
      </c>
      <c r="J559" t="s">
        <v>546</v>
      </c>
      <c r="K559" s="1">
        <v>3</v>
      </c>
      <c r="L559" t="s">
        <v>69</v>
      </c>
      <c r="M559" t="s">
        <v>70</v>
      </c>
      <c r="N559" t="s">
        <v>71</v>
      </c>
      <c r="O559" t="s">
        <v>118</v>
      </c>
      <c r="P559" t="s">
        <v>72</v>
      </c>
      <c r="Q559" t="s">
        <v>73</v>
      </c>
      <c r="R559" t="s">
        <v>74</v>
      </c>
      <c r="S559" t="s">
        <v>3135</v>
      </c>
      <c r="AF559" s="5">
        <v>8.4506999999999994</v>
      </c>
      <c r="AI559" s="1">
        <v>3</v>
      </c>
      <c r="AJ559" t="s">
        <v>81</v>
      </c>
      <c r="AK559" t="s">
        <v>82</v>
      </c>
      <c r="AL559" t="s">
        <v>83</v>
      </c>
      <c r="AW559" t="s">
        <v>84</v>
      </c>
      <c r="BB559" s="1">
        <v>12</v>
      </c>
      <c r="BC559" s="1">
        <v>44</v>
      </c>
      <c r="BD559" s="1">
        <v>15</v>
      </c>
    </row>
    <row r="560" spans="1:62" x14ac:dyDescent="0.25">
      <c r="A560" t="s">
        <v>3136</v>
      </c>
      <c r="B560" t="s">
        <v>3137</v>
      </c>
      <c r="C560" s="1">
        <v>133</v>
      </c>
      <c r="D560" s="1">
        <v>1992</v>
      </c>
      <c r="E560" t="s">
        <v>64</v>
      </c>
      <c r="F560" t="s">
        <v>269</v>
      </c>
      <c r="G560" t="s">
        <v>735</v>
      </c>
      <c r="H560" t="s">
        <v>3138</v>
      </c>
      <c r="I560" t="s">
        <v>3139</v>
      </c>
      <c r="J560" t="s">
        <v>735</v>
      </c>
      <c r="K560" s="1">
        <v>3</v>
      </c>
      <c r="L560" t="s">
        <v>69</v>
      </c>
      <c r="M560" t="s">
        <v>70</v>
      </c>
      <c r="N560" t="s">
        <v>71</v>
      </c>
      <c r="P560" t="s">
        <v>72</v>
      </c>
      <c r="Q560" t="s">
        <v>73</v>
      </c>
      <c r="R560" t="s">
        <v>74</v>
      </c>
      <c r="S560" t="s">
        <v>272</v>
      </c>
      <c r="T560" s="2">
        <v>792</v>
      </c>
      <c r="U560" s="3">
        <v>1.47</v>
      </c>
      <c r="V560" s="4">
        <v>1165</v>
      </c>
      <c r="AF560" s="5">
        <v>18.045100000000001</v>
      </c>
      <c r="AI560" s="1">
        <v>3</v>
      </c>
      <c r="AJ560" t="s">
        <v>81</v>
      </c>
      <c r="AK560" t="s">
        <v>82</v>
      </c>
      <c r="AL560" t="s">
        <v>83</v>
      </c>
      <c r="AM560" s="3">
        <v>1.31</v>
      </c>
      <c r="AN560" s="4">
        <v>1455</v>
      </c>
      <c r="AO560" s="1">
        <v>1111</v>
      </c>
      <c r="AS560" s="3">
        <v>290553.90000000002</v>
      </c>
      <c r="AT560" s="3">
        <v>2.62</v>
      </c>
      <c r="AU560" s="4">
        <v>785</v>
      </c>
      <c r="AV560" s="6">
        <v>300</v>
      </c>
      <c r="AW560" t="s">
        <v>84</v>
      </c>
      <c r="AY560" s="3">
        <v>1.49</v>
      </c>
      <c r="AZ560" s="4">
        <v>1092</v>
      </c>
      <c r="BA560" s="1">
        <v>731</v>
      </c>
      <c r="BB560" s="1">
        <v>75</v>
      </c>
      <c r="BC560" s="1">
        <v>41</v>
      </c>
    </row>
    <row r="561" spans="1:59" x14ac:dyDescent="0.25">
      <c r="A561" t="s">
        <v>3140</v>
      </c>
      <c r="B561" t="s">
        <v>3141</v>
      </c>
      <c r="C561" s="1">
        <v>114</v>
      </c>
      <c r="D561" s="1">
        <v>1991</v>
      </c>
      <c r="E561" t="s">
        <v>64</v>
      </c>
      <c r="F561" t="s">
        <v>269</v>
      </c>
      <c r="G561" t="s">
        <v>2311</v>
      </c>
      <c r="H561" t="s">
        <v>3142</v>
      </c>
      <c r="I561" t="s">
        <v>3143</v>
      </c>
      <c r="J561" t="s">
        <v>2311</v>
      </c>
      <c r="K561" s="1">
        <v>3</v>
      </c>
      <c r="L561" t="s">
        <v>91</v>
      </c>
      <c r="M561" t="s">
        <v>70</v>
      </c>
      <c r="N561" t="s">
        <v>71</v>
      </c>
      <c r="P561" t="s">
        <v>72</v>
      </c>
      <c r="Q561" t="s">
        <v>73</v>
      </c>
      <c r="R561" t="s">
        <v>74</v>
      </c>
      <c r="S561" t="s">
        <v>272</v>
      </c>
      <c r="T561" s="2">
        <v>652</v>
      </c>
      <c r="U561" s="3">
        <v>1.85</v>
      </c>
      <c r="V561" s="4">
        <v>1205</v>
      </c>
      <c r="AF561" s="5">
        <v>4.3860000000000001</v>
      </c>
      <c r="AI561" s="1">
        <v>3</v>
      </c>
      <c r="AJ561" t="s">
        <v>81</v>
      </c>
      <c r="AK561" t="s">
        <v>82</v>
      </c>
      <c r="AL561" t="s">
        <v>83</v>
      </c>
      <c r="AM561" s="3">
        <v>1.66</v>
      </c>
      <c r="AN561" s="4">
        <v>1524</v>
      </c>
      <c r="AO561" s="1">
        <v>917</v>
      </c>
      <c r="AS561" s="3">
        <v>360957.34</v>
      </c>
      <c r="AT561" s="3">
        <v>2.29</v>
      </c>
      <c r="AU561" s="4">
        <v>1062</v>
      </c>
      <c r="AV561" s="6">
        <v>464</v>
      </c>
      <c r="AW561" t="s">
        <v>84</v>
      </c>
      <c r="AY561" s="3">
        <v>1.85</v>
      </c>
      <c r="AZ561" s="4">
        <v>1192</v>
      </c>
      <c r="BA561" s="1">
        <v>645</v>
      </c>
      <c r="BB561" s="1">
        <v>104</v>
      </c>
      <c r="BC561" s="1">
        <v>6</v>
      </c>
    </row>
    <row r="562" spans="1:59" x14ac:dyDescent="0.25">
      <c r="A562" t="s">
        <v>3144</v>
      </c>
      <c r="B562" t="s">
        <v>3145</v>
      </c>
      <c r="C562" s="1">
        <v>236</v>
      </c>
      <c r="D562" s="1">
        <v>1993</v>
      </c>
      <c r="E562" t="s">
        <v>64</v>
      </c>
      <c r="F562" t="s">
        <v>269</v>
      </c>
      <c r="G562" t="s">
        <v>3146</v>
      </c>
      <c r="H562" t="s">
        <v>3147</v>
      </c>
      <c r="J562" t="s">
        <v>3146</v>
      </c>
      <c r="K562" s="1">
        <v>4</v>
      </c>
      <c r="L562" t="s">
        <v>729</v>
      </c>
      <c r="M562" t="s">
        <v>70</v>
      </c>
      <c r="N562" t="s">
        <v>71</v>
      </c>
      <c r="P562" t="s">
        <v>72</v>
      </c>
      <c r="Q562" t="s">
        <v>73</v>
      </c>
      <c r="R562" t="s">
        <v>74</v>
      </c>
      <c r="S562" t="s">
        <v>3148</v>
      </c>
      <c r="T562" s="2">
        <v>967</v>
      </c>
      <c r="U562" s="3">
        <v>1.68</v>
      </c>
      <c r="V562" s="4">
        <v>1624</v>
      </c>
      <c r="AF562" s="5">
        <v>12.7119</v>
      </c>
      <c r="AI562" s="1">
        <v>2</v>
      </c>
      <c r="AJ562" t="s">
        <v>81</v>
      </c>
      <c r="AK562" t="s">
        <v>82</v>
      </c>
      <c r="AL562" t="s">
        <v>83</v>
      </c>
      <c r="AM562" s="3">
        <v>1.63</v>
      </c>
      <c r="AN562" s="4">
        <v>1791</v>
      </c>
      <c r="AO562" s="1">
        <v>1101</v>
      </c>
      <c r="AS562" s="3">
        <v>642571.13</v>
      </c>
      <c r="AW562" t="s">
        <v>84</v>
      </c>
      <c r="AY562" s="3">
        <v>1.75</v>
      </c>
      <c r="AZ562" s="4">
        <v>1458</v>
      </c>
      <c r="BA562" s="1">
        <v>835</v>
      </c>
      <c r="BB562" s="1">
        <v>118</v>
      </c>
      <c r="BC562" s="1">
        <v>118</v>
      </c>
    </row>
    <row r="563" spans="1:59" x14ac:dyDescent="0.25">
      <c r="A563" t="s">
        <v>1040</v>
      </c>
      <c r="B563" t="s">
        <v>1041</v>
      </c>
      <c r="C563" s="1">
        <v>168</v>
      </c>
      <c r="D563" s="1">
        <v>1990</v>
      </c>
      <c r="E563" t="s">
        <v>64</v>
      </c>
      <c r="F563" t="s">
        <v>269</v>
      </c>
      <c r="G563" t="s">
        <v>1042</v>
      </c>
      <c r="H563" t="s">
        <v>1043</v>
      </c>
      <c r="I563" t="s">
        <v>1044</v>
      </c>
      <c r="J563" t="s">
        <v>1042</v>
      </c>
      <c r="K563" s="1">
        <v>4</v>
      </c>
      <c r="L563" t="s">
        <v>729</v>
      </c>
      <c r="M563" t="s">
        <v>70</v>
      </c>
      <c r="N563" t="s">
        <v>71</v>
      </c>
      <c r="P563" t="s">
        <v>72</v>
      </c>
      <c r="Q563" t="s">
        <v>73</v>
      </c>
      <c r="R563" t="s">
        <v>74</v>
      </c>
      <c r="S563" t="s">
        <v>1045</v>
      </c>
      <c r="T563" s="2">
        <v>1211</v>
      </c>
      <c r="U563" s="3">
        <v>1.9</v>
      </c>
      <c r="V563" s="4">
        <v>2299</v>
      </c>
      <c r="AF563" s="5">
        <v>10.119</v>
      </c>
      <c r="AI563" s="1">
        <v>2</v>
      </c>
      <c r="AJ563" t="s">
        <v>81</v>
      </c>
      <c r="AK563" t="s">
        <v>82</v>
      </c>
      <c r="AL563" t="s">
        <v>83</v>
      </c>
      <c r="AM563" s="3">
        <v>1.9</v>
      </c>
      <c r="AN563" s="4">
        <v>2291</v>
      </c>
      <c r="AO563" s="1">
        <v>1204</v>
      </c>
      <c r="AP563" s="3">
        <v>1.79</v>
      </c>
      <c r="AQ563" s="4">
        <v>2544</v>
      </c>
      <c r="AR563" s="1">
        <v>1424</v>
      </c>
      <c r="AS563" s="3">
        <v>989000.78</v>
      </c>
      <c r="AW563" t="s">
        <v>84</v>
      </c>
      <c r="AY563" s="3">
        <v>1.95</v>
      </c>
      <c r="AZ563" s="4">
        <v>2043</v>
      </c>
      <c r="BA563" s="1">
        <v>1048</v>
      </c>
      <c r="BB563" s="1">
        <v>21</v>
      </c>
      <c r="BC563" s="1">
        <v>126</v>
      </c>
      <c r="BD563" s="1">
        <v>21</v>
      </c>
    </row>
    <row r="564" spans="1:59" x14ac:dyDescent="0.25">
      <c r="A564" t="s">
        <v>3149</v>
      </c>
      <c r="B564" t="s">
        <v>3150</v>
      </c>
      <c r="C564" s="1">
        <v>221</v>
      </c>
      <c r="D564" s="1">
        <v>1997</v>
      </c>
      <c r="E564" t="s">
        <v>64</v>
      </c>
      <c r="F564" t="s">
        <v>123</v>
      </c>
      <c r="G564" t="s">
        <v>3151</v>
      </c>
      <c r="H564" t="s">
        <v>3152</v>
      </c>
      <c r="I564" t="s">
        <v>3153</v>
      </c>
      <c r="J564" t="s">
        <v>3151</v>
      </c>
      <c r="K564" s="1">
        <v>3</v>
      </c>
      <c r="L564" t="s">
        <v>91</v>
      </c>
      <c r="M564" t="s">
        <v>70</v>
      </c>
      <c r="N564" t="s">
        <v>71</v>
      </c>
      <c r="P564" t="s">
        <v>72</v>
      </c>
      <c r="Q564" t="s">
        <v>129</v>
      </c>
      <c r="R564" t="s">
        <v>74</v>
      </c>
      <c r="S564" t="s">
        <v>2570</v>
      </c>
      <c r="T564" s="2">
        <v>1041</v>
      </c>
      <c r="U564" s="3">
        <v>1.76</v>
      </c>
      <c r="V564" s="4">
        <v>1831</v>
      </c>
      <c r="AF564" s="5">
        <v>5.4298999999999999</v>
      </c>
      <c r="AH564" s="1">
        <v>2002</v>
      </c>
      <c r="AI564" s="1">
        <v>2</v>
      </c>
      <c r="AJ564" t="s">
        <v>81</v>
      </c>
      <c r="AK564" t="s">
        <v>82</v>
      </c>
      <c r="AL564" t="s">
        <v>83</v>
      </c>
      <c r="AM564" s="3">
        <v>1.65</v>
      </c>
      <c r="AN564" s="4">
        <v>1951</v>
      </c>
      <c r="AO564" s="1">
        <v>1184</v>
      </c>
      <c r="AP564" s="3">
        <v>1.65</v>
      </c>
      <c r="AQ564" s="4">
        <v>2354</v>
      </c>
      <c r="AR564" s="1">
        <v>1428</v>
      </c>
      <c r="AS564" s="3">
        <v>618661.23</v>
      </c>
      <c r="AW564" t="s">
        <v>84</v>
      </c>
      <c r="AY564" s="3">
        <v>2.0099999999999998</v>
      </c>
      <c r="AZ564" s="4">
        <v>1584</v>
      </c>
      <c r="BA564" s="1">
        <v>788</v>
      </c>
      <c r="BB564" s="1">
        <v>88</v>
      </c>
      <c r="BC564" s="1">
        <v>119</v>
      </c>
      <c r="BD564" s="1">
        <v>14</v>
      </c>
      <c r="BG564" t="s">
        <v>131</v>
      </c>
    </row>
    <row r="565" spans="1:59" x14ac:dyDescent="0.25">
      <c r="A565" t="s">
        <v>3154</v>
      </c>
      <c r="B565" t="s">
        <v>3155</v>
      </c>
      <c r="C565" s="1">
        <v>308</v>
      </c>
      <c r="D565" s="1">
        <v>1997</v>
      </c>
      <c r="E565" t="s">
        <v>64</v>
      </c>
      <c r="F565" t="s">
        <v>123</v>
      </c>
      <c r="G565" t="s">
        <v>2557</v>
      </c>
      <c r="H565" t="s">
        <v>3156</v>
      </c>
      <c r="I565" t="s">
        <v>3157</v>
      </c>
      <c r="J565" t="s">
        <v>2557</v>
      </c>
      <c r="K565" s="1">
        <v>4</v>
      </c>
      <c r="L565" t="s">
        <v>91</v>
      </c>
      <c r="M565" t="s">
        <v>70</v>
      </c>
      <c r="N565" t="s">
        <v>71</v>
      </c>
      <c r="P565" t="s">
        <v>72</v>
      </c>
      <c r="Q565" t="s">
        <v>129</v>
      </c>
      <c r="R565" t="s">
        <v>74</v>
      </c>
      <c r="S565" t="s">
        <v>2570</v>
      </c>
      <c r="T565" s="2">
        <v>960</v>
      </c>
      <c r="U565" s="3">
        <v>1.52</v>
      </c>
      <c r="V565" s="4">
        <v>1458</v>
      </c>
      <c r="AF565" s="5">
        <v>3.5714000000000001</v>
      </c>
      <c r="AI565" s="1">
        <v>3</v>
      </c>
      <c r="AJ565" t="s">
        <v>81</v>
      </c>
      <c r="AK565" t="s">
        <v>82</v>
      </c>
      <c r="AL565" t="s">
        <v>83</v>
      </c>
      <c r="AM565" s="3">
        <v>1.45</v>
      </c>
      <c r="AN565" s="4">
        <v>1647</v>
      </c>
      <c r="AO565" s="1">
        <v>1135</v>
      </c>
      <c r="AP565" s="3">
        <v>1.51</v>
      </c>
      <c r="AQ565" s="4">
        <v>2039</v>
      </c>
      <c r="AR565" s="1">
        <v>1351</v>
      </c>
      <c r="AS565" s="3">
        <v>745469.5</v>
      </c>
      <c r="AW565" t="s">
        <v>84</v>
      </c>
      <c r="AY565" s="3">
        <v>1.59</v>
      </c>
      <c r="AZ565" s="4">
        <v>1245</v>
      </c>
      <c r="BA565" s="1">
        <v>784</v>
      </c>
      <c r="BB565" s="1">
        <v>168</v>
      </c>
      <c r="BC565" s="1">
        <v>116</v>
      </c>
      <c r="BD565" s="1">
        <v>24</v>
      </c>
      <c r="BF565" t="s">
        <v>261</v>
      </c>
      <c r="BG565" t="s">
        <v>104</v>
      </c>
    </row>
    <row r="566" spans="1:59" x14ac:dyDescent="0.25">
      <c r="A566" t="s">
        <v>3158</v>
      </c>
      <c r="B566" t="s">
        <v>3159</v>
      </c>
      <c r="C566" s="1">
        <v>168</v>
      </c>
      <c r="D566" s="1">
        <v>1998</v>
      </c>
      <c r="E566" t="s">
        <v>64</v>
      </c>
      <c r="F566" t="s">
        <v>123</v>
      </c>
      <c r="G566" t="s">
        <v>3160</v>
      </c>
      <c r="H566" t="s">
        <v>3161</v>
      </c>
      <c r="I566" t="s">
        <v>3162</v>
      </c>
      <c r="J566" t="s">
        <v>3160</v>
      </c>
      <c r="K566" s="1">
        <v>4</v>
      </c>
      <c r="L566" t="s">
        <v>91</v>
      </c>
      <c r="M566" t="s">
        <v>70</v>
      </c>
      <c r="N566" t="s">
        <v>71</v>
      </c>
      <c r="O566" t="s">
        <v>118</v>
      </c>
      <c r="P566" t="s">
        <v>72</v>
      </c>
      <c r="Q566" t="s">
        <v>129</v>
      </c>
      <c r="R566" t="s">
        <v>74</v>
      </c>
      <c r="S566" t="s">
        <v>2570</v>
      </c>
      <c r="T566" s="2">
        <v>1068</v>
      </c>
      <c r="U566" s="3">
        <v>1.56</v>
      </c>
      <c r="V566" s="4">
        <v>1672</v>
      </c>
      <c r="AF566" s="5">
        <v>11.3095</v>
      </c>
      <c r="AI566" s="1">
        <v>3</v>
      </c>
      <c r="AJ566" t="s">
        <v>81</v>
      </c>
      <c r="AK566" t="s">
        <v>82</v>
      </c>
      <c r="AL566" t="s">
        <v>83</v>
      </c>
      <c r="AM566" s="3">
        <v>1.65</v>
      </c>
      <c r="AN566" s="4">
        <v>1606</v>
      </c>
      <c r="AO566" s="1">
        <v>976</v>
      </c>
      <c r="AP566" s="3">
        <v>1.51</v>
      </c>
      <c r="AQ566" s="4">
        <v>1721</v>
      </c>
      <c r="AR566" s="1">
        <v>1138</v>
      </c>
      <c r="AS566" s="3">
        <v>343201.45</v>
      </c>
      <c r="AW566" t="s">
        <v>84</v>
      </c>
      <c r="BC566" s="1">
        <v>72</v>
      </c>
      <c r="BD566" s="1">
        <v>96</v>
      </c>
      <c r="BG566" t="s">
        <v>131</v>
      </c>
    </row>
    <row r="567" spans="1:59" x14ac:dyDescent="0.25">
      <c r="A567" t="s">
        <v>3163</v>
      </c>
      <c r="B567" t="s">
        <v>3164</v>
      </c>
      <c r="C567" s="1">
        <v>360</v>
      </c>
      <c r="D567" s="1">
        <v>1997</v>
      </c>
      <c r="E567" t="s">
        <v>64</v>
      </c>
      <c r="F567" t="s">
        <v>123</v>
      </c>
      <c r="G567" t="s">
        <v>1400</v>
      </c>
      <c r="H567" t="s">
        <v>3165</v>
      </c>
      <c r="I567" t="s">
        <v>3166</v>
      </c>
      <c r="J567" t="s">
        <v>1400</v>
      </c>
      <c r="K567" s="1">
        <v>4</v>
      </c>
      <c r="L567" t="s">
        <v>729</v>
      </c>
      <c r="M567" t="s">
        <v>70</v>
      </c>
      <c r="N567" t="s">
        <v>71</v>
      </c>
      <c r="P567" t="s">
        <v>72</v>
      </c>
      <c r="Q567" t="s">
        <v>129</v>
      </c>
      <c r="R567" t="s">
        <v>74</v>
      </c>
      <c r="S567" t="s">
        <v>3167</v>
      </c>
      <c r="T567" s="2">
        <v>942</v>
      </c>
      <c r="U567" s="3">
        <v>1.44</v>
      </c>
      <c r="V567" s="4">
        <v>1360</v>
      </c>
      <c r="AF567" s="5">
        <v>9.7222000000000008</v>
      </c>
      <c r="AI567" s="1">
        <v>3</v>
      </c>
      <c r="AJ567" t="s">
        <v>81</v>
      </c>
      <c r="AK567" t="s">
        <v>82</v>
      </c>
      <c r="AL567" t="s">
        <v>83</v>
      </c>
      <c r="AM567" s="3">
        <v>1.35</v>
      </c>
      <c r="AN567" s="4">
        <v>1459</v>
      </c>
      <c r="AO567" s="1">
        <v>1077</v>
      </c>
      <c r="AP567" s="3">
        <v>1.63</v>
      </c>
      <c r="AQ567" s="4">
        <v>2045</v>
      </c>
      <c r="AR567" s="1">
        <v>1254</v>
      </c>
      <c r="AS567" s="3">
        <v>1157829.68</v>
      </c>
      <c r="AW567" t="s">
        <v>84</v>
      </c>
      <c r="AY567" s="3">
        <v>1.51</v>
      </c>
      <c r="AZ567" s="4">
        <v>1097</v>
      </c>
      <c r="BA567" s="1">
        <v>726</v>
      </c>
      <c r="BB567" s="1">
        <v>156</v>
      </c>
      <c r="BC567" s="1">
        <v>168</v>
      </c>
      <c r="BD567" s="1">
        <v>36</v>
      </c>
      <c r="BF567" t="s">
        <v>203</v>
      </c>
      <c r="BG567" t="s">
        <v>104</v>
      </c>
    </row>
    <row r="568" spans="1:59" x14ac:dyDescent="0.25">
      <c r="A568" t="s">
        <v>3168</v>
      </c>
      <c r="B568" t="s">
        <v>3169</v>
      </c>
      <c r="C568" s="1">
        <v>96</v>
      </c>
      <c r="D568" s="1">
        <v>2000</v>
      </c>
      <c r="E568" t="s">
        <v>64</v>
      </c>
      <c r="F568" t="s">
        <v>611</v>
      </c>
      <c r="G568" t="s">
        <v>770</v>
      </c>
      <c r="H568" t="s">
        <v>3170</v>
      </c>
      <c r="I568" t="s">
        <v>3171</v>
      </c>
      <c r="J568" t="s">
        <v>770</v>
      </c>
      <c r="K568" s="1">
        <v>3</v>
      </c>
      <c r="L568" t="s">
        <v>91</v>
      </c>
      <c r="M568" t="s">
        <v>70</v>
      </c>
      <c r="N568" t="s">
        <v>71</v>
      </c>
      <c r="P568" t="s">
        <v>72</v>
      </c>
      <c r="Q568" t="s">
        <v>3172</v>
      </c>
      <c r="R568" t="s">
        <v>74</v>
      </c>
      <c r="S568" t="s">
        <v>3173</v>
      </c>
      <c r="T568" s="2">
        <v>846</v>
      </c>
      <c r="U568" s="3">
        <v>1.74</v>
      </c>
      <c r="V568" s="4">
        <v>1473</v>
      </c>
      <c r="AF568" s="5">
        <v>17.708300000000001</v>
      </c>
      <c r="AI568" s="1">
        <v>2</v>
      </c>
      <c r="AJ568" t="s">
        <v>81</v>
      </c>
      <c r="AK568" t="s">
        <v>82</v>
      </c>
      <c r="AL568" t="s">
        <v>83</v>
      </c>
      <c r="AM568" s="3">
        <v>1.72</v>
      </c>
      <c r="AN568" s="4">
        <v>1558</v>
      </c>
      <c r="AO568" s="1">
        <v>906</v>
      </c>
      <c r="AS568" s="3">
        <v>394242.4</v>
      </c>
      <c r="AW568" t="s">
        <v>84</v>
      </c>
      <c r="AY568" s="3">
        <v>1.78</v>
      </c>
      <c r="AZ568" s="4">
        <v>1331</v>
      </c>
      <c r="BA568" s="1">
        <v>747</v>
      </c>
      <c r="BB568" s="1">
        <v>36</v>
      </c>
      <c r="BC568" s="1">
        <v>60</v>
      </c>
    </row>
    <row r="569" spans="1:59" x14ac:dyDescent="0.25">
      <c r="A569" t="s">
        <v>3174</v>
      </c>
      <c r="B569" t="s">
        <v>3175</v>
      </c>
      <c r="C569" s="1">
        <v>234</v>
      </c>
      <c r="D569" s="1">
        <v>1998</v>
      </c>
      <c r="E569" t="s">
        <v>64</v>
      </c>
      <c r="F569" t="s">
        <v>841</v>
      </c>
      <c r="G569" t="s">
        <v>3176</v>
      </c>
      <c r="H569" t="s">
        <v>3177</v>
      </c>
      <c r="I569" t="s">
        <v>3178</v>
      </c>
      <c r="J569" t="s">
        <v>3176</v>
      </c>
      <c r="K569" s="1">
        <v>4</v>
      </c>
      <c r="L569" t="s">
        <v>91</v>
      </c>
      <c r="M569" t="s">
        <v>70</v>
      </c>
      <c r="N569" t="s">
        <v>71</v>
      </c>
      <c r="P569" t="s">
        <v>72</v>
      </c>
      <c r="Q569" t="s">
        <v>841</v>
      </c>
      <c r="R569" t="s">
        <v>74</v>
      </c>
      <c r="S569" t="s">
        <v>845</v>
      </c>
      <c r="T569" s="2">
        <v>1025</v>
      </c>
      <c r="U569" s="3">
        <v>1.77</v>
      </c>
      <c r="V569" s="4">
        <v>1819</v>
      </c>
      <c r="AF569" s="5">
        <v>6.8376000000000001</v>
      </c>
      <c r="AI569" s="1">
        <v>2</v>
      </c>
      <c r="AJ569" t="s">
        <v>81</v>
      </c>
      <c r="AK569" t="s">
        <v>82</v>
      </c>
      <c r="AL569" t="s">
        <v>83</v>
      </c>
      <c r="AM569" s="3">
        <v>1.63</v>
      </c>
      <c r="AN569" s="4">
        <v>1887</v>
      </c>
      <c r="AO569" s="1">
        <v>1161</v>
      </c>
      <c r="AP569" s="3">
        <v>1.71</v>
      </c>
      <c r="AQ569" s="4">
        <v>2452</v>
      </c>
      <c r="AR569" s="1">
        <v>1434</v>
      </c>
      <c r="AS569" s="3">
        <v>760006.86</v>
      </c>
      <c r="AW569" t="s">
        <v>84</v>
      </c>
      <c r="AY569" s="3">
        <v>2.0499999999999998</v>
      </c>
      <c r="AZ569" s="4">
        <v>1580</v>
      </c>
      <c r="BA569" s="1">
        <v>771</v>
      </c>
      <c r="BB569" s="1">
        <v>98</v>
      </c>
      <c r="BC569" s="1">
        <v>112</v>
      </c>
      <c r="BD569" s="1">
        <v>24</v>
      </c>
    </row>
    <row r="570" spans="1:59" x14ac:dyDescent="0.25">
      <c r="A570" t="s">
        <v>3179</v>
      </c>
      <c r="B570" t="s">
        <v>3180</v>
      </c>
      <c r="C570" s="1">
        <v>347</v>
      </c>
      <c r="D570" s="1">
        <v>1998</v>
      </c>
      <c r="E570" t="s">
        <v>64</v>
      </c>
      <c r="F570" t="s">
        <v>841</v>
      </c>
      <c r="G570" t="s">
        <v>1532</v>
      </c>
      <c r="H570" t="s">
        <v>3181</v>
      </c>
      <c r="I570" t="s">
        <v>3182</v>
      </c>
      <c r="J570" t="s">
        <v>1532</v>
      </c>
      <c r="K570" s="1">
        <v>4</v>
      </c>
      <c r="L570" t="s">
        <v>91</v>
      </c>
      <c r="M570" t="s">
        <v>70</v>
      </c>
      <c r="N570" t="s">
        <v>71</v>
      </c>
      <c r="P570" t="s">
        <v>72</v>
      </c>
      <c r="Q570" t="s">
        <v>841</v>
      </c>
      <c r="R570" t="s">
        <v>74</v>
      </c>
      <c r="S570" t="s">
        <v>3183</v>
      </c>
      <c r="T570" s="2">
        <v>1007</v>
      </c>
      <c r="U570" s="3">
        <v>1.82</v>
      </c>
      <c r="V570" s="4">
        <v>1831</v>
      </c>
      <c r="AF570" s="5">
        <v>7.2046000000000001</v>
      </c>
      <c r="AH570" s="1">
        <v>2017</v>
      </c>
      <c r="AI570" s="1">
        <v>2</v>
      </c>
      <c r="AJ570" t="s">
        <v>81</v>
      </c>
      <c r="AK570" t="s">
        <v>82</v>
      </c>
      <c r="AL570" t="s">
        <v>83</v>
      </c>
      <c r="AM570" s="3">
        <v>1.94</v>
      </c>
      <c r="AN570" s="4">
        <v>2152</v>
      </c>
      <c r="AO570" s="1">
        <v>1110</v>
      </c>
      <c r="AP570" s="3">
        <v>1.63</v>
      </c>
      <c r="AQ570" s="4">
        <v>2307</v>
      </c>
      <c r="AR570" s="1">
        <v>1413</v>
      </c>
      <c r="AS570" s="3">
        <v>1090448.43</v>
      </c>
      <c r="AW570" t="s">
        <v>84</v>
      </c>
      <c r="AY570" s="3">
        <v>1.89</v>
      </c>
      <c r="AZ570" s="4">
        <v>1504</v>
      </c>
      <c r="BA570" s="1">
        <v>794</v>
      </c>
      <c r="BB570" s="1">
        <v>191</v>
      </c>
      <c r="BC570" s="1">
        <v>74</v>
      </c>
      <c r="BD570" s="1">
        <v>82</v>
      </c>
      <c r="BF570" t="s">
        <v>679</v>
      </c>
      <c r="BG570" t="s">
        <v>104</v>
      </c>
    </row>
    <row r="571" spans="1:59" x14ac:dyDescent="0.25">
      <c r="A571" t="s">
        <v>3184</v>
      </c>
      <c r="B571" t="s">
        <v>3185</v>
      </c>
      <c r="C571" s="1">
        <v>144</v>
      </c>
      <c r="D571" s="1">
        <v>1998</v>
      </c>
      <c r="E571" t="s">
        <v>64</v>
      </c>
      <c r="F571" t="s">
        <v>2726</v>
      </c>
      <c r="G571" t="s">
        <v>3186</v>
      </c>
      <c r="I571" t="s">
        <v>3186</v>
      </c>
      <c r="K571" s="1">
        <v>3</v>
      </c>
      <c r="L571" t="s">
        <v>91</v>
      </c>
      <c r="M571" t="s">
        <v>70</v>
      </c>
      <c r="N571" t="s">
        <v>71</v>
      </c>
      <c r="P571" t="s">
        <v>72</v>
      </c>
      <c r="Q571" t="s">
        <v>73</v>
      </c>
      <c r="R571" t="s">
        <v>74</v>
      </c>
      <c r="S571" t="s">
        <v>1568</v>
      </c>
      <c r="AI571" s="1">
        <v>22</v>
      </c>
      <c r="AJ571" t="s">
        <v>81</v>
      </c>
      <c r="AK571" t="s">
        <v>82</v>
      </c>
      <c r="AL571" t="s">
        <v>83</v>
      </c>
      <c r="AS571" s="3">
        <v>283501.19</v>
      </c>
      <c r="AW571" t="s">
        <v>84</v>
      </c>
      <c r="BC571" s="1">
        <v>144</v>
      </c>
    </row>
    <row r="572" spans="1:59" x14ac:dyDescent="0.25">
      <c r="A572" t="s">
        <v>3187</v>
      </c>
      <c r="B572" t="s">
        <v>3188</v>
      </c>
      <c r="C572" s="1">
        <v>470</v>
      </c>
      <c r="D572" s="1">
        <v>1995</v>
      </c>
      <c r="E572" t="s">
        <v>64</v>
      </c>
      <c r="F572" t="s">
        <v>140</v>
      </c>
      <c r="G572" t="s">
        <v>2786</v>
      </c>
      <c r="H572" t="s">
        <v>3189</v>
      </c>
      <c r="I572" t="s">
        <v>2786</v>
      </c>
      <c r="J572" t="s">
        <v>2786</v>
      </c>
      <c r="K572" s="1">
        <v>4</v>
      </c>
      <c r="L572" t="s">
        <v>91</v>
      </c>
      <c r="M572" t="s">
        <v>70</v>
      </c>
      <c r="N572" t="s">
        <v>71</v>
      </c>
      <c r="P572" t="s">
        <v>72</v>
      </c>
      <c r="Q572" t="s">
        <v>140</v>
      </c>
      <c r="R572" t="s">
        <v>74</v>
      </c>
      <c r="S572" t="s">
        <v>565</v>
      </c>
      <c r="T572" s="2">
        <v>895</v>
      </c>
      <c r="U572" s="3">
        <v>1.52</v>
      </c>
      <c r="V572" s="4">
        <v>1364</v>
      </c>
      <c r="AF572" s="5">
        <v>2.1276999999999999</v>
      </c>
      <c r="AH572" s="1">
        <v>2006</v>
      </c>
      <c r="AI572" s="1">
        <v>2</v>
      </c>
      <c r="AJ572" t="s">
        <v>81</v>
      </c>
      <c r="AK572" t="s">
        <v>82</v>
      </c>
      <c r="AL572" t="s">
        <v>83</v>
      </c>
      <c r="AM572" s="3">
        <v>1.45</v>
      </c>
      <c r="AN572" s="4">
        <v>1522</v>
      </c>
      <c r="AO572" s="1">
        <v>1052</v>
      </c>
      <c r="AP572" s="3">
        <v>1.47</v>
      </c>
      <c r="AQ572" s="4">
        <v>1991</v>
      </c>
      <c r="AR572" s="1">
        <v>1352</v>
      </c>
      <c r="AS572" s="3">
        <v>957414.22</v>
      </c>
      <c r="AW572" t="s">
        <v>84</v>
      </c>
      <c r="AY572" s="3">
        <v>1.63</v>
      </c>
      <c r="AZ572" s="4">
        <v>1176</v>
      </c>
      <c r="BA572" s="1">
        <v>723</v>
      </c>
      <c r="BB572" s="1">
        <v>240</v>
      </c>
      <c r="BC572" s="1">
        <v>212</v>
      </c>
      <c r="BD572" s="1">
        <v>18</v>
      </c>
      <c r="BF572" t="s">
        <v>2368</v>
      </c>
      <c r="BG572" t="s">
        <v>131</v>
      </c>
    </row>
    <row r="573" spans="1:59" x14ac:dyDescent="0.25">
      <c r="A573" t="s">
        <v>3190</v>
      </c>
      <c r="B573" t="s">
        <v>3191</v>
      </c>
      <c r="C573" s="1">
        <v>346</v>
      </c>
      <c r="D573" s="1">
        <v>1996</v>
      </c>
      <c r="E573" t="s">
        <v>64</v>
      </c>
      <c r="F573" t="s">
        <v>140</v>
      </c>
      <c r="G573" t="s">
        <v>3192</v>
      </c>
      <c r="H573" t="s">
        <v>3193</v>
      </c>
      <c r="I573" t="s">
        <v>3194</v>
      </c>
      <c r="J573" t="s">
        <v>3192</v>
      </c>
      <c r="K573" s="1">
        <v>4</v>
      </c>
      <c r="L573" t="s">
        <v>729</v>
      </c>
      <c r="M573" t="s">
        <v>70</v>
      </c>
      <c r="N573" t="s">
        <v>71</v>
      </c>
      <c r="P573" t="s">
        <v>72</v>
      </c>
      <c r="Q573" t="s">
        <v>140</v>
      </c>
      <c r="R573" t="s">
        <v>74</v>
      </c>
      <c r="S573" t="s">
        <v>565</v>
      </c>
      <c r="T573" s="2">
        <v>977</v>
      </c>
      <c r="U573" s="3">
        <v>1.71</v>
      </c>
      <c r="V573" s="4">
        <v>1659</v>
      </c>
      <c r="AF573" s="5">
        <v>5.4912999999999998</v>
      </c>
      <c r="AI573" s="1">
        <v>2</v>
      </c>
      <c r="AJ573" t="s">
        <v>81</v>
      </c>
      <c r="AK573" t="s">
        <v>82</v>
      </c>
      <c r="AL573" t="s">
        <v>83</v>
      </c>
      <c r="AM573" s="3">
        <v>1.63</v>
      </c>
      <c r="AN573" s="4">
        <v>1857</v>
      </c>
      <c r="AO573" s="1">
        <v>1137</v>
      </c>
      <c r="AP573" s="3">
        <v>1.45</v>
      </c>
      <c r="AQ573" s="4">
        <v>1969</v>
      </c>
      <c r="AR573" s="1">
        <v>1356</v>
      </c>
      <c r="AS573" s="3">
        <v>846475.32</v>
      </c>
      <c r="AW573" t="s">
        <v>84</v>
      </c>
      <c r="AY573" s="3">
        <v>1.83</v>
      </c>
      <c r="AZ573" s="4">
        <v>1444</v>
      </c>
      <c r="BA573" s="1">
        <v>792</v>
      </c>
      <c r="BB573" s="1">
        <v>176</v>
      </c>
      <c r="BC573" s="1">
        <v>150</v>
      </c>
      <c r="BD573" s="1">
        <v>20</v>
      </c>
      <c r="BG573" t="s">
        <v>131</v>
      </c>
    </row>
    <row r="574" spans="1:59" x14ac:dyDescent="0.25">
      <c r="A574" t="s">
        <v>3195</v>
      </c>
      <c r="B574" t="s">
        <v>3196</v>
      </c>
      <c r="C574" s="1">
        <v>326</v>
      </c>
      <c r="D574" s="1">
        <v>1992</v>
      </c>
      <c r="E574" t="s">
        <v>64</v>
      </c>
      <c r="F574" t="s">
        <v>140</v>
      </c>
      <c r="G574" t="s">
        <v>257</v>
      </c>
      <c r="H574" t="s">
        <v>3197</v>
      </c>
      <c r="I574" t="s">
        <v>3198</v>
      </c>
      <c r="J574" t="s">
        <v>257</v>
      </c>
      <c r="K574" s="1">
        <v>4</v>
      </c>
      <c r="L574" t="s">
        <v>91</v>
      </c>
      <c r="M574" t="s">
        <v>70</v>
      </c>
      <c r="N574" t="s">
        <v>71</v>
      </c>
      <c r="O574" t="s">
        <v>128</v>
      </c>
      <c r="P574" t="s">
        <v>72</v>
      </c>
      <c r="Q574" t="s">
        <v>140</v>
      </c>
      <c r="R574" t="s">
        <v>74</v>
      </c>
      <c r="S574" t="s">
        <v>565</v>
      </c>
      <c r="T574" s="2">
        <v>893</v>
      </c>
      <c r="U574" s="3">
        <v>1.57</v>
      </c>
      <c r="V574" s="4">
        <v>1399</v>
      </c>
      <c r="AF574" s="5">
        <v>10.429399999999999</v>
      </c>
      <c r="AH574" s="1">
        <v>2015</v>
      </c>
      <c r="AI574" s="1">
        <v>2</v>
      </c>
      <c r="AJ574" t="s">
        <v>81</v>
      </c>
      <c r="AK574" t="s">
        <v>82</v>
      </c>
      <c r="AL574" t="s">
        <v>83</v>
      </c>
      <c r="AM574" s="3">
        <v>1.55</v>
      </c>
      <c r="AN574" s="4">
        <v>1565</v>
      </c>
      <c r="AO574" s="1">
        <v>1013</v>
      </c>
      <c r="AP574" s="3">
        <v>1.48</v>
      </c>
      <c r="AQ574" s="4">
        <v>1728</v>
      </c>
      <c r="AR574" s="1">
        <v>1170</v>
      </c>
      <c r="AS574" s="3">
        <v>372256.85</v>
      </c>
      <c r="AW574" t="s">
        <v>84</v>
      </c>
      <c r="AY574" s="3">
        <v>1.63</v>
      </c>
      <c r="AZ574" s="4">
        <v>1121</v>
      </c>
      <c r="BA574" s="1">
        <v>689</v>
      </c>
      <c r="BB574" s="1">
        <v>128</v>
      </c>
      <c r="BC574" s="1">
        <v>182</v>
      </c>
      <c r="BD574" s="1">
        <v>16</v>
      </c>
      <c r="BG574" t="s">
        <v>131</v>
      </c>
    </row>
    <row r="575" spans="1:59" x14ac:dyDescent="0.25">
      <c r="A575" t="s">
        <v>3199</v>
      </c>
      <c r="B575" t="s">
        <v>2169</v>
      </c>
      <c r="C575" s="1">
        <v>240</v>
      </c>
      <c r="D575" s="1">
        <v>1995</v>
      </c>
      <c r="E575" t="s">
        <v>64</v>
      </c>
      <c r="F575" t="s">
        <v>140</v>
      </c>
      <c r="G575" t="s">
        <v>2170</v>
      </c>
      <c r="H575" t="s">
        <v>3200</v>
      </c>
      <c r="I575" t="s">
        <v>3201</v>
      </c>
      <c r="J575" t="s">
        <v>2170</v>
      </c>
      <c r="K575" s="1">
        <v>3</v>
      </c>
      <c r="L575" t="s">
        <v>91</v>
      </c>
      <c r="M575" t="s">
        <v>70</v>
      </c>
      <c r="N575" t="s">
        <v>71</v>
      </c>
      <c r="O575" t="s">
        <v>118</v>
      </c>
      <c r="P575" t="s">
        <v>72</v>
      </c>
      <c r="Q575" t="s">
        <v>140</v>
      </c>
      <c r="R575" t="s">
        <v>74</v>
      </c>
      <c r="S575" t="s">
        <v>565</v>
      </c>
      <c r="T575" s="2">
        <v>826</v>
      </c>
      <c r="U575" s="3">
        <v>1.63</v>
      </c>
      <c r="V575" s="4">
        <v>1343</v>
      </c>
      <c r="AF575" s="5">
        <v>5.4166999999999996</v>
      </c>
      <c r="AG575" s="1">
        <v>5</v>
      </c>
      <c r="AI575" s="1">
        <v>2</v>
      </c>
      <c r="AJ575" t="s">
        <v>81</v>
      </c>
      <c r="AK575" t="s">
        <v>82</v>
      </c>
      <c r="AL575" t="s">
        <v>83</v>
      </c>
      <c r="AM575" s="3">
        <v>1.56</v>
      </c>
      <c r="AN575" s="4">
        <v>1363</v>
      </c>
      <c r="AO575" s="1">
        <v>876</v>
      </c>
      <c r="AP575" s="3">
        <v>1.64</v>
      </c>
      <c r="AQ575" s="4">
        <v>1727</v>
      </c>
      <c r="AR575" s="1">
        <v>1056</v>
      </c>
      <c r="AS575" s="3">
        <v>141867.06</v>
      </c>
      <c r="AW575" t="s">
        <v>84</v>
      </c>
      <c r="AY575" s="3">
        <v>1.77</v>
      </c>
      <c r="AZ575" s="4">
        <v>1156</v>
      </c>
      <c r="BA575" s="1">
        <v>654</v>
      </c>
      <c r="BB575" s="1">
        <v>80</v>
      </c>
      <c r="BC575" s="1">
        <v>128</v>
      </c>
      <c r="BD575" s="1">
        <v>32</v>
      </c>
      <c r="BG575" t="s">
        <v>104</v>
      </c>
    </row>
    <row r="576" spans="1:59" x14ac:dyDescent="0.25">
      <c r="A576" t="s">
        <v>3202</v>
      </c>
      <c r="B576" t="s">
        <v>3203</v>
      </c>
      <c r="C576" s="1">
        <v>320</v>
      </c>
      <c r="D576" s="1">
        <v>1999</v>
      </c>
      <c r="E576" t="s">
        <v>64</v>
      </c>
      <c r="F576" t="s">
        <v>841</v>
      </c>
      <c r="G576" t="s">
        <v>3204</v>
      </c>
      <c r="H576" t="s">
        <v>3205</v>
      </c>
      <c r="I576" t="s">
        <v>3206</v>
      </c>
      <c r="J576" t="s">
        <v>3204</v>
      </c>
      <c r="K576" s="1">
        <v>4</v>
      </c>
      <c r="L576" t="s">
        <v>91</v>
      </c>
      <c r="M576" t="s">
        <v>70</v>
      </c>
      <c r="N576" t="s">
        <v>71</v>
      </c>
      <c r="P576" t="s">
        <v>72</v>
      </c>
      <c r="Q576" t="s">
        <v>841</v>
      </c>
      <c r="R576" t="s">
        <v>74</v>
      </c>
      <c r="S576" t="s">
        <v>845</v>
      </c>
      <c r="T576" s="2">
        <v>1190</v>
      </c>
      <c r="U576" s="3">
        <v>1.71</v>
      </c>
      <c r="V576" s="4">
        <v>2037</v>
      </c>
      <c r="AF576" s="5">
        <v>9.0625</v>
      </c>
      <c r="AI576" s="1">
        <v>2</v>
      </c>
      <c r="AJ576" t="s">
        <v>81</v>
      </c>
      <c r="AK576" t="s">
        <v>82</v>
      </c>
      <c r="AL576" t="s">
        <v>83</v>
      </c>
      <c r="AM576" s="3">
        <v>1.69</v>
      </c>
      <c r="AN576" s="4">
        <v>2189</v>
      </c>
      <c r="AO576" s="1">
        <v>1295</v>
      </c>
      <c r="AP576" s="3">
        <v>1.56</v>
      </c>
      <c r="AQ576" s="4">
        <v>2607</v>
      </c>
      <c r="AR576" s="1">
        <v>1672</v>
      </c>
      <c r="AS576" s="3">
        <v>925399.66</v>
      </c>
      <c r="AW576" t="s">
        <v>84</v>
      </c>
      <c r="AY576" s="3">
        <v>1.82</v>
      </c>
      <c r="AZ576" s="4">
        <v>1746</v>
      </c>
      <c r="BA576" s="1">
        <v>957</v>
      </c>
      <c r="BB576" s="1">
        <v>172</v>
      </c>
      <c r="BC576" s="1">
        <v>82</v>
      </c>
      <c r="BD576" s="1">
        <v>66</v>
      </c>
      <c r="BF576" t="s">
        <v>3207</v>
      </c>
      <c r="BG576" t="s">
        <v>744</v>
      </c>
    </row>
    <row r="577" spans="1:62" x14ac:dyDescent="0.25">
      <c r="A577" t="s">
        <v>3208</v>
      </c>
      <c r="B577" t="s">
        <v>3209</v>
      </c>
      <c r="C577" s="1">
        <v>222</v>
      </c>
      <c r="D577" s="1">
        <v>1998</v>
      </c>
      <c r="E577" t="s">
        <v>64</v>
      </c>
      <c r="F577" t="s">
        <v>123</v>
      </c>
      <c r="G577" t="s">
        <v>3210</v>
      </c>
      <c r="H577" t="s">
        <v>3211</v>
      </c>
      <c r="I577" t="s">
        <v>3212</v>
      </c>
      <c r="J577" t="s">
        <v>3210</v>
      </c>
      <c r="K577" s="1">
        <v>3</v>
      </c>
      <c r="L577" t="s">
        <v>91</v>
      </c>
      <c r="M577" t="s">
        <v>70</v>
      </c>
      <c r="N577" t="s">
        <v>71</v>
      </c>
      <c r="P577" t="s">
        <v>72</v>
      </c>
      <c r="Q577" t="s">
        <v>2038</v>
      </c>
      <c r="R577" t="s">
        <v>74</v>
      </c>
      <c r="S577" t="s">
        <v>3213</v>
      </c>
      <c r="T577" s="2">
        <v>983</v>
      </c>
      <c r="U577" s="3">
        <v>1.89</v>
      </c>
      <c r="V577" s="4">
        <v>1860</v>
      </c>
      <c r="AF577" s="5">
        <v>6.7568000000000001</v>
      </c>
      <c r="AI577" s="1">
        <v>3</v>
      </c>
      <c r="AJ577" t="s">
        <v>81</v>
      </c>
      <c r="AK577" t="s">
        <v>82</v>
      </c>
      <c r="AL577" t="s">
        <v>83</v>
      </c>
      <c r="AM577" s="3">
        <v>1.77</v>
      </c>
      <c r="AN577" s="4">
        <v>1939</v>
      </c>
      <c r="AO577" s="1">
        <v>1094</v>
      </c>
      <c r="AP577" s="3">
        <v>1.96</v>
      </c>
      <c r="AQ577" s="4">
        <v>2595</v>
      </c>
      <c r="AR577" s="1">
        <v>1325</v>
      </c>
      <c r="AS577" s="3">
        <v>795685.09</v>
      </c>
      <c r="AW577" t="s">
        <v>84</v>
      </c>
      <c r="AY577" s="3">
        <v>2.12</v>
      </c>
      <c r="AZ577" s="4">
        <v>1535</v>
      </c>
      <c r="BA577" s="1">
        <v>725</v>
      </c>
      <c r="BB577" s="1">
        <v>81</v>
      </c>
      <c r="BC577" s="1">
        <v>118</v>
      </c>
      <c r="BD577" s="1">
        <v>23</v>
      </c>
      <c r="BG577" t="s">
        <v>365</v>
      </c>
    </row>
    <row r="578" spans="1:62" x14ac:dyDescent="0.25">
      <c r="A578" t="s">
        <v>3214</v>
      </c>
      <c r="B578" t="s">
        <v>3215</v>
      </c>
      <c r="C578" s="1">
        <v>61</v>
      </c>
      <c r="D578" s="1">
        <v>1997</v>
      </c>
      <c r="E578" t="s">
        <v>64</v>
      </c>
      <c r="F578" t="s">
        <v>114</v>
      </c>
      <c r="G578" t="s">
        <v>3216</v>
      </c>
      <c r="H578" t="s">
        <v>3217</v>
      </c>
      <c r="I578" t="s">
        <v>3218</v>
      </c>
      <c r="J578" t="s">
        <v>3216</v>
      </c>
      <c r="K578" s="1">
        <v>2</v>
      </c>
      <c r="L578" t="s">
        <v>69</v>
      </c>
      <c r="M578" t="s">
        <v>70</v>
      </c>
      <c r="N578" t="s">
        <v>71</v>
      </c>
      <c r="O578" t="s">
        <v>118</v>
      </c>
      <c r="P578" t="s">
        <v>72</v>
      </c>
      <c r="Q578" t="s">
        <v>356</v>
      </c>
      <c r="R578" t="s">
        <v>74</v>
      </c>
      <c r="S578" t="s">
        <v>357</v>
      </c>
      <c r="T578" s="2">
        <v>1341</v>
      </c>
      <c r="U578" s="3">
        <v>0.95</v>
      </c>
      <c r="V578" s="4">
        <v>1279</v>
      </c>
      <c r="AF578" s="5">
        <v>1.6393</v>
      </c>
      <c r="AI578" s="1">
        <v>1</v>
      </c>
      <c r="AJ578" t="s">
        <v>81</v>
      </c>
      <c r="AK578" t="s">
        <v>82</v>
      </c>
      <c r="AL578" t="s">
        <v>83</v>
      </c>
      <c r="AS578" s="3">
        <v>1036.57</v>
      </c>
      <c r="AW578" t="s">
        <v>84</v>
      </c>
      <c r="BE578" s="1">
        <v>61</v>
      </c>
      <c r="BH578" s="3">
        <v>0.95</v>
      </c>
      <c r="BI578" s="4">
        <v>1279</v>
      </c>
      <c r="BJ578" s="1">
        <v>1341</v>
      </c>
    </row>
    <row r="579" spans="1:62" x14ac:dyDescent="0.25">
      <c r="A579" t="s">
        <v>3219</v>
      </c>
      <c r="B579" t="s">
        <v>3220</v>
      </c>
      <c r="C579" s="1">
        <v>104</v>
      </c>
      <c r="D579" s="1">
        <v>1996</v>
      </c>
      <c r="E579" t="s">
        <v>64</v>
      </c>
      <c r="F579" t="s">
        <v>477</v>
      </c>
      <c r="G579" t="s">
        <v>3221</v>
      </c>
      <c r="H579" t="s">
        <v>3222</v>
      </c>
      <c r="I579" t="s">
        <v>3223</v>
      </c>
      <c r="J579" t="s">
        <v>3221</v>
      </c>
      <c r="K579" s="1">
        <v>3</v>
      </c>
      <c r="L579" t="s">
        <v>91</v>
      </c>
      <c r="M579" t="s">
        <v>70</v>
      </c>
      <c r="N579" t="s">
        <v>71</v>
      </c>
      <c r="P579" t="s">
        <v>72</v>
      </c>
      <c r="Q579" t="s">
        <v>110</v>
      </c>
      <c r="R579" t="s">
        <v>74</v>
      </c>
      <c r="S579" t="s">
        <v>3224</v>
      </c>
      <c r="T579" s="2">
        <v>568</v>
      </c>
      <c r="U579" s="3">
        <v>4</v>
      </c>
      <c r="V579" s="4">
        <v>2273</v>
      </c>
      <c r="AF579" s="5">
        <v>20.192299999999999</v>
      </c>
      <c r="AI579" s="1">
        <v>2</v>
      </c>
      <c r="AJ579" t="s">
        <v>81</v>
      </c>
      <c r="AK579" t="s">
        <v>82</v>
      </c>
      <c r="AL579" t="s">
        <v>83</v>
      </c>
      <c r="AM579" s="3">
        <v>3.81</v>
      </c>
      <c r="AN579" s="4">
        <v>3433</v>
      </c>
      <c r="AO579" s="1">
        <v>901</v>
      </c>
      <c r="AS579" s="3">
        <v>196702.2</v>
      </c>
      <c r="AT579" s="3">
        <v>4.1900000000000004</v>
      </c>
      <c r="AU579" s="4">
        <v>1873</v>
      </c>
      <c r="AV579" s="6">
        <v>447</v>
      </c>
      <c r="AW579" t="s">
        <v>84</v>
      </c>
      <c r="AY579" s="3">
        <v>3.94</v>
      </c>
      <c r="AZ579" s="4">
        <v>2393</v>
      </c>
      <c r="BA579" s="1">
        <v>607</v>
      </c>
      <c r="BB579" s="1">
        <v>53</v>
      </c>
      <c r="BC579" s="1">
        <v>9</v>
      </c>
    </row>
    <row r="580" spans="1:62" x14ac:dyDescent="0.25">
      <c r="A580" t="s">
        <v>3225</v>
      </c>
      <c r="B580" t="s">
        <v>3226</v>
      </c>
      <c r="C580" s="1">
        <v>113</v>
      </c>
      <c r="D580" s="1">
        <v>1998</v>
      </c>
      <c r="E580" t="s">
        <v>64</v>
      </c>
      <c r="F580" t="s">
        <v>338</v>
      </c>
      <c r="G580" t="s">
        <v>3227</v>
      </c>
      <c r="I580" t="s">
        <v>3227</v>
      </c>
      <c r="K580" s="1">
        <v>3</v>
      </c>
      <c r="L580" t="s">
        <v>91</v>
      </c>
      <c r="M580" t="s">
        <v>70</v>
      </c>
      <c r="N580" t="s">
        <v>71</v>
      </c>
      <c r="P580" t="s">
        <v>72</v>
      </c>
      <c r="Q580" t="s">
        <v>73</v>
      </c>
      <c r="R580" t="s">
        <v>74</v>
      </c>
      <c r="S580" t="s">
        <v>92</v>
      </c>
      <c r="AI580" s="1">
        <v>4</v>
      </c>
      <c r="AJ580" t="s">
        <v>81</v>
      </c>
      <c r="AK580" t="s">
        <v>82</v>
      </c>
      <c r="AL580" t="s">
        <v>83</v>
      </c>
      <c r="AS580" s="3">
        <v>83418.789999999994</v>
      </c>
      <c r="AW580" t="s">
        <v>84</v>
      </c>
    </row>
    <row r="581" spans="1:62" x14ac:dyDescent="0.25">
      <c r="A581" t="s">
        <v>3228</v>
      </c>
      <c r="B581" t="s">
        <v>3229</v>
      </c>
      <c r="C581" s="1">
        <v>238</v>
      </c>
      <c r="D581" s="1">
        <v>1996</v>
      </c>
      <c r="E581" t="s">
        <v>64</v>
      </c>
      <c r="F581" t="s">
        <v>215</v>
      </c>
      <c r="G581" t="s">
        <v>3230</v>
      </c>
      <c r="H581" t="s">
        <v>3231</v>
      </c>
      <c r="I581" t="s">
        <v>3232</v>
      </c>
      <c r="J581" t="s">
        <v>3230</v>
      </c>
      <c r="K581" s="1">
        <v>3</v>
      </c>
      <c r="L581" t="s">
        <v>91</v>
      </c>
      <c r="M581" t="s">
        <v>70</v>
      </c>
      <c r="N581" t="s">
        <v>71</v>
      </c>
      <c r="P581" t="s">
        <v>72</v>
      </c>
      <c r="Q581" t="s">
        <v>215</v>
      </c>
      <c r="R581" t="s">
        <v>74</v>
      </c>
      <c r="S581" t="s">
        <v>3233</v>
      </c>
      <c r="T581" s="2">
        <v>834</v>
      </c>
      <c r="U581" s="3">
        <v>1.59</v>
      </c>
      <c r="V581" s="4">
        <v>1330</v>
      </c>
      <c r="AF581" s="5">
        <v>7.9832000000000001</v>
      </c>
      <c r="AH581" s="1">
        <v>2021</v>
      </c>
      <c r="AI581" s="1">
        <v>2</v>
      </c>
      <c r="AJ581" t="s">
        <v>81</v>
      </c>
      <c r="AK581" t="s">
        <v>82</v>
      </c>
      <c r="AL581" t="s">
        <v>83</v>
      </c>
      <c r="AM581" s="3">
        <v>1.56</v>
      </c>
      <c r="AN581" s="4">
        <v>1475</v>
      </c>
      <c r="AO581" s="1">
        <v>947</v>
      </c>
      <c r="AP581" s="3">
        <v>1.26</v>
      </c>
      <c r="AQ581" s="4">
        <v>1463</v>
      </c>
      <c r="AR581" s="1">
        <v>1164</v>
      </c>
      <c r="AS581" s="3">
        <v>646613.31000000006</v>
      </c>
      <c r="AW581" t="s">
        <v>84</v>
      </c>
      <c r="AY581" s="3">
        <v>1.74</v>
      </c>
      <c r="AZ581" s="4">
        <v>1196</v>
      </c>
      <c r="BA581" s="1">
        <v>688</v>
      </c>
      <c r="BB581" s="1">
        <v>123</v>
      </c>
      <c r="BC581" s="1">
        <v>92</v>
      </c>
      <c r="BD581" s="1">
        <v>23</v>
      </c>
      <c r="BF581" t="s">
        <v>2607</v>
      </c>
      <c r="BG581" t="s">
        <v>104</v>
      </c>
    </row>
    <row r="582" spans="1:62" x14ac:dyDescent="0.25">
      <c r="A582" t="s">
        <v>3234</v>
      </c>
      <c r="B582" t="s">
        <v>3235</v>
      </c>
      <c r="C582" s="1">
        <v>112</v>
      </c>
      <c r="D582" s="1">
        <v>2000</v>
      </c>
      <c r="E582" t="s">
        <v>64</v>
      </c>
      <c r="F582" t="s">
        <v>3236</v>
      </c>
      <c r="G582" t="s">
        <v>3237</v>
      </c>
      <c r="H582" t="s">
        <v>3238</v>
      </c>
      <c r="I582" t="s">
        <v>3239</v>
      </c>
      <c r="J582" t="s">
        <v>3237</v>
      </c>
      <c r="K582" s="1">
        <v>4</v>
      </c>
      <c r="L582" t="s">
        <v>91</v>
      </c>
      <c r="M582" t="s">
        <v>70</v>
      </c>
      <c r="N582" t="s">
        <v>71</v>
      </c>
      <c r="P582" t="s">
        <v>72</v>
      </c>
      <c r="Q582" t="s">
        <v>73</v>
      </c>
      <c r="R582" t="s">
        <v>74</v>
      </c>
      <c r="S582" t="s">
        <v>1568</v>
      </c>
      <c r="T582" s="2">
        <v>1887</v>
      </c>
      <c r="U582" s="3">
        <v>2.56</v>
      </c>
      <c r="V582" s="4">
        <v>4831</v>
      </c>
      <c r="AF582" s="5">
        <v>18.75</v>
      </c>
      <c r="AI582" s="1">
        <v>3</v>
      </c>
      <c r="AJ582" t="s">
        <v>81</v>
      </c>
      <c r="AK582" t="s">
        <v>82</v>
      </c>
      <c r="AL582" t="s">
        <v>83</v>
      </c>
      <c r="AM582" s="3">
        <v>2.75</v>
      </c>
      <c r="AN582" s="4">
        <v>4720</v>
      </c>
      <c r="AO582" s="1">
        <v>1719</v>
      </c>
      <c r="AP582" s="3">
        <v>2.41</v>
      </c>
      <c r="AQ582" s="4">
        <v>5600</v>
      </c>
      <c r="AR582" s="1">
        <v>2326</v>
      </c>
      <c r="AS582" s="3">
        <v>1076.3</v>
      </c>
      <c r="AW582" t="s">
        <v>84</v>
      </c>
      <c r="AY582" s="3">
        <v>2.37</v>
      </c>
      <c r="AZ582" s="4">
        <v>3299</v>
      </c>
      <c r="BA582" s="1">
        <v>1393</v>
      </c>
      <c r="BB582" s="1">
        <v>16</v>
      </c>
      <c r="BC582" s="1">
        <v>57</v>
      </c>
      <c r="BD582" s="1">
        <v>38</v>
      </c>
      <c r="BE582" s="1">
        <v>1</v>
      </c>
      <c r="BF582" t="s">
        <v>3240</v>
      </c>
      <c r="BG582" t="s">
        <v>104</v>
      </c>
      <c r="BH582" s="3">
        <v>2.36</v>
      </c>
      <c r="BI582" s="4">
        <v>6459</v>
      </c>
      <c r="BJ582" s="1">
        <v>2736</v>
      </c>
    </row>
    <row r="583" spans="1:62" x14ac:dyDescent="0.25">
      <c r="A583" t="s">
        <v>3241</v>
      </c>
      <c r="B583" t="s">
        <v>3242</v>
      </c>
      <c r="C583" s="1">
        <v>248</v>
      </c>
      <c r="D583" s="1">
        <v>1999</v>
      </c>
      <c r="E583" t="s">
        <v>64</v>
      </c>
      <c r="F583" t="s">
        <v>123</v>
      </c>
      <c r="G583" t="s">
        <v>1532</v>
      </c>
      <c r="H583" t="s">
        <v>3243</v>
      </c>
      <c r="I583" t="s">
        <v>3244</v>
      </c>
      <c r="J583" t="s">
        <v>1532</v>
      </c>
      <c r="K583" s="1">
        <v>4</v>
      </c>
      <c r="L583" t="s">
        <v>729</v>
      </c>
      <c r="M583" t="s">
        <v>70</v>
      </c>
      <c r="N583" t="s">
        <v>71</v>
      </c>
      <c r="P583" t="s">
        <v>72</v>
      </c>
      <c r="Q583" t="s">
        <v>2038</v>
      </c>
      <c r="R583" t="s">
        <v>74</v>
      </c>
      <c r="S583" t="s">
        <v>3213</v>
      </c>
      <c r="T583" s="2">
        <v>980</v>
      </c>
      <c r="U583" s="3">
        <v>1.82</v>
      </c>
      <c r="V583" s="4">
        <v>1788</v>
      </c>
      <c r="AF583" s="5">
        <v>7.2580999999999998</v>
      </c>
      <c r="AI583" s="1">
        <v>2</v>
      </c>
      <c r="AJ583" t="s">
        <v>81</v>
      </c>
      <c r="AK583" t="s">
        <v>82</v>
      </c>
      <c r="AL583" t="s">
        <v>83</v>
      </c>
      <c r="AM583" s="3">
        <v>1.74</v>
      </c>
      <c r="AN583" s="4">
        <v>1939</v>
      </c>
      <c r="AO583" s="1">
        <v>1114</v>
      </c>
      <c r="AP583" s="3">
        <v>1.8</v>
      </c>
      <c r="AQ583" s="4">
        <v>2382</v>
      </c>
      <c r="AR583" s="1">
        <v>1321</v>
      </c>
      <c r="AS583" s="3">
        <v>838008.76</v>
      </c>
      <c r="AW583" t="s">
        <v>84</v>
      </c>
      <c r="AY583" s="3">
        <v>1.95</v>
      </c>
      <c r="AZ583" s="4">
        <v>1494</v>
      </c>
      <c r="BA583" s="1">
        <v>768</v>
      </c>
      <c r="BB583" s="1">
        <v>120</v>
      </c>
      <c r="BC583" s="1">
        <v>88</v>
      </c>
      <c r="BD583" s="1">
        <v>40</v>
      </c>
      <c r="BG583" t="s">
        <v>131</v>
      </c>
    </row>
    <row r="584" spans="1:62" x14ac:dyDescent="0.25">
      <c r="A584" t="s">
        <v>3245</v>
      </c>
      <c r="B584" t="s">
        <v>3246</v>
      </c>
      <c r="C584" s="1">
        <v>188</v>
      </c>
      <c r="D584" s="1">
        <v>1995</v>
      </c>
      <c r="E584" t="s">
        <v>64</v>
      </c>
      <c r="F584" t="s">
        <v>611</v>
      </c>
      <c r="G584" t="s">
        <v>3247</v>
      </c>
      <c r="H584" t="s">
        <v>3248</v>
      </c>
      <c r="I584" t="s">
        <v>3249</v>
      </c>
      <c r="J584" t="s">
        <v>3247</v>
      </c>
      <c r="K584" s="1">
        <v>4</v>
      </c>
      <c r="L584" t="s">
        <v>729</v>
      </c>
      <c r="M584" t="s">
        <v>70</v>
      </c>
      <c r="N584" t="s">
        <v>71</v>
      </c>
      <c r="P584" t="s">
        <v>72</v>
      </c>
      <c r="Q584" t="s">
        <v>611</v>
      </c>
      <c r="R584" t="s">
        <v>74</v>
      </c>
      <c r="S584" t="s">
        <v>3250</v>
      </c>
      <c r="T584" s="2">
        <v>1054</v>
      </c>
      <c r="U584" s="3">
        <v>1.65</v>
      </c>
      <c r="V584" s="4">
        <v>1734</v>
      </c>
      <c r="AF584" s="5">
        <v>1.0638000000000001</v>
      </c>
      <c r="AI584" s="1">
        <v>2</v>
      </c>
      <c r="AJ584" t="s">
        <v>81</v>
      </c>
      <c r="AK584" t="s">
        <v>82</v>
      </c>
      <c r="AL584" t="s">
        <v>83</v>
      </c>
      <c r="AM584" s="3">
        <v>1.57</v>
      </c>
      <c r="AN584" s="4">
        <v>1783</v>
      </c>
      <c r="AO584" s="1">
        <v>1137</v>
      </c>
      <c r="AS584" s="3">
        <v>836930.74</v>
      </c>
      <c r="AW584" t="s">
        <v>84</v>
      </c>
      <c r="AY584" s="3">
        <v>1.97</v>
      </c>
      <c r="AZ584" s="4">
        <v>1589</v>
      </c>
      <c r="BA584" s="1">
        <v>806</v>
      </c>
      <c r="BB584" s="1">
        <v>47</v>
      </c>
      <c r="BC584" s="1">
        <v>141</v>
      </c>
    </row>
    <row r="585" spans="1:62" x14ac:dyDescent="0.25">
      <c r="A585" t="s">
        <v>3251</v>
      </c>
      <c r="B585" t="s">
        <v>3252</v>
      </c>
      <c r="C585" s="1">
        <v>52</v>
      </c>
      <c r="D585" s="1">
        <v>1995</v>
      </c>
      <c r="E585" t="s">
        <v>64</v>
      </c>
      <c r="F585" t="s">
        <v>140</v>
      </c>
      <c r="K585" s="1">
        <v>3</v>
      </c>
      <c r="L585" t="s">
        <v>91</v>
      </c>
      <c r="M585" t="s">
        <v>70</v>
      </c>
      <c r="N585" t="s">
        <v>71</v>
      </c>
      <c r="P585" t="s">
        <v>72</v>
      </c>
      <c r="Q585" t="s">
        <v>134</v>
      </c>
      <c r="R585" t="s">
        <v>74</v>
      </c>
      <c r="S585" t="s">
        <v>3253</v>
      </c>
      <c r="AI585" s="1">
        <v>2</v>
      </c>
      <c r="AJ585" t="s">
        <v>81</v>
      </c>
      <c r="AK585" t="s">
        <v>82</v>
      </c>
      <c r="AL585" t="s">
        <v>83</v>
      </c>
      <c r="AS585" s="3">
        <v>4273.03</v>
      </c>
      <c r="AW585" t="s">
        <v>84</v>
      </c>
    </row>
    <row r="586" spans="1:62" x14ac:dyDescent="0.25">
      <c r="A586" t="s">
        <v>3254</v>
      </c>
      <c r="B586" t="s">
        <v>3255</v>
      </c>
      <c r="C586" s="1">
        <v>300</v>
      </c>
      <c r="D586" s="1">
        <v>1999</v>
      </c>
      <c r="E586" t="s">
        <v>64</v>
      </c>
      <c r="F586" t="s">
        <v>501</v>
      </c>
      <c r="G586" t="s">
        <v>3256</v>
      </c>
      <c r="H586" t="s">
        <v>3257</v>
      </c>
      <c r="I586" t="s">
        <v>3258</v>
      </c>
      <c r="J586" t="s">
        <v>3256</v>
      </c>
      <c r="K586" s="1">
        <v>3</v>
      </c>
      <c r="L586" t="s">
        <v>91</v>
      </c>
      <c r="M586" t="s">
        <v>70</v>
      </c>
      <c r="N586" t="s">
        <v>127</v>
      </c>
      <c r="P586" t="s">
        <v>72</v>
      </c>
      <c r="Q586" t="s">
        <v>152</v>
      </c>
      <c r="R586" t="s">
        <v>74</v>
      </c>
      <c r="S586" t="s">
        <v>3259</v>
      </c>
      <c r="AF586" s="5">
        <v>9.6667000000000005</v>
      </c>
      <c r="AH586" s="1">
        <v>2009</v>
      </c>
      <c r="AI586" s="1">
        <v>1</v>
      </c>
      <c r="AJ586" t="s">
        <v>81</v>
      </c>
      <c r="AK586" t="s">
        <v>82</v>
      </c>
      <c r="AL586" t="s">
        <v>83</v>
      </c>
      <c r="AS586" s="3">
        <v>70009.06</v>
      </c>
      <c r="AW586" t="s">
        <v>84</v>
      </c>
    </row>
    <row r="587" spans="1:62" x14ac:dyDescent="0.25">
      <c r="A587" t="s">
        <v>3260</v>
      </c>
      <c r="B587" t="s">
        <v>3261</v>
      </c>
      <c r="C587" s="1">
        <v>196</v>
      </c>
      <c r="D587" s="1">
        <v>1999</v>
      </c>
      <c r="E587" t="s">
        <v>64</v>
      </c>
      <c r="F587" t="s">
        <v>501</v>
      </c>
      <c r="G587" t="s">
        <v>3262</v>
      </c>
      <c r="H587" t="s">
        <v>3263</v>
      </c>
      <c r="I587" t="s">
        <v>3264</v>
      </c>
      <c r="J587" t="s">
        <v>3262</v>
      </c>
      <c r="K587" s="1">
        <v>4</v>
      </c>
      <c r="L587" t="s">
        <v>91</v>
      </c>
      <c r="M587" t="s">
        <v>70</v>
      </c>
      <c r="N587" t="s">
        <v>71</v>
      </c>
      <c r="O587" t="s">
        <v>118</v>
      </c>
      <c r="P587" t="s">
        <v>72</v>
      </c>
      <c r="Q587" t="s">
        <v>152</v>
      </c>
      <c r="R587" t="s">
        <v>74</v>
      </c>
      <c r="S587" t="s">
        <v>3265</v>
      </c>
      <c r="T587" s="2">
        <v>926</v>
      </c>
      <c r="U587" s="3">
        <v>1.24</v>
      </c>
      <c r="V587" s="4">
        <v>1146</v>
      </c>
      <c r="AF587" s="5">
        <v>31.122399999999999</v>
      </c>
      <c r="AI587" s="1">
        <v>4</v>
      </c>
      <c r="AJ587" t="s">
        <v>81</v>
      </c>
      <c r="AK587" t="s">
        <v>82</v>
      </c>
      <c r="AL587" t="s">
        <v>83</v>
      </c>
      <c r="AM587" s="3">
        <v>1.17</v>
      </c>
      <c r="AN587" s="4">
        <v>1225</v>
      </c>
      <c r="AO587" s="1">
        <v>1045</v>
      </c>
      <c r="AS587" s="3">
        <v>0</v>
      </c>
      <c r="AW587" t="s">
        <v>84</v>
      </c>
      <c r="AY587" s="3">
        <v>1.32</v>
      </c>
      <c r="AZ587" s="4">
        <v>1070</v>
      </c>
      <c r="BA587" s="1">
        <v>813</v>
      </c>
      <c r="BB587" s="1">
        <v>100</v>
      </c>
      <c r="BC587" s="1">
        <v>96</v>
      </c>
      <c r="BF587" t="s">
        <v>3266</v>
      </c>
      <c r="BG587" t="s">
        <v>104</v>
      </c>
    </row>
    <row r="588" spans="1:62" x14ac:dyDescent="0.25">
      <c r="A588" t="s">
        <v>3267</v>
      </c>
      <c r="B588" t="s">
        <v>3268</v>
      </c>
      <c r="C588" s="1">
        <v>514</v>
      </c>
      <c r="D588" s="1">
        <v>1997</v>
      </c>
      <c r="E588" t="s">
        <v>64</v>
      </c>
      <c r="F588" t="s">
        <v>514</v>
      </c>
      <c r="G588" t="s">
        <v>3247</v>
      </c>
      <c r="H588" t="s">
        <v>3269</v>
      </c>
      <c r="I588" t="s">
        <v>3249</v>
      </c>
      <c r="J588" t="s">
        <v>3247</v>
      </c>
      <c r="K588" s="1">
        <v>4</v>
      </c>
      <c r="L588" t="s">
        <v>729</v>
      </c>
      <c r="M588" t="s">
        <v>70</v>
      </c>
      <c r="N588" t="s">
        <v>71</v>
      </c>
      <c r="P588" t="s">
        <v>72</v>
      </c>
      <c r="Q588" t="s">
        <v>264</v>
      </c>
      <c r="R588" t="s">
        <v>74</v>
      </c>
      <c r="S588" t="s">
        <v>517</v>
      </c>
      <c r="T588" s="2">
        <v>936</v>
      </c>
      <c r="U588" s="3">
        <v>1.7</v>
      </c>
      <c r="V588" s="4">
        <v>1591</v>
      </c>
      <c r="AF588" s="5">
        <v>5.0583999999999998</v>
      </c>
      <c r="AI588" s="1">
        <v>3</v>
      </c>
      <c r="AJ588" t="s">
        <v>81</v>
      </c>
      <c r="AK588" t="s">
        <v>82</v>
      </c>
      <c r="AL588" t="s">
        <v>83</v>
      </c>
      <c r="AM588" s="3">
        <v>1.65</v>
      </c>
      <c r="AN588" s="4">
        <v>1770</v>
      </c>
      <c r="AO588" s="1">
        <v>1074</v>
      </c>
      <c r="AP588" s="3">
        <v>1.62</v>
      </c>
      <c r="AQ588" s="4">
        <v>2257</v>
      </c>
      <c r="AR588" s="1">
        <v>1390</v>
      </c>
      <c r="AS588" s="3">
        <v>1995240.76</v>
      </c>
      <c r="AW588" t="s">
        <v>84</v>
      </c>
      <c r="AY588" s="3">
        <v>1.76</v>
      </c>
      <c r="AZ588" s="4">
        <v>1395</v>
      </c>
      <c r="BA588" s="1">
        <v>791</v>
      </c>
      <c r="BB588" s="1">
        <v>274</v>
      </c>
      <c r="BC588" s="1">
        <v>218</v>
      </c>
      <c r="BD588" s="1">
        <v>22</v>
      </c>
      <c r="BG588" t="s">
        <v>94</v>
      </c>
    </row>
    <row r="589" spans="1:62" x14ac:dyDescent="0.25">
      <c r="A589" t="s">
        <v>3270</v>
      </c>
      <c r="B589" t="s">
        <v>3271</v>
      </c>
      <c r="C589" s="1">
        <v>412</v>
      </c>
      <c r="D589" s="1">
        <v>1995</v>
      </c>
      <c r="E589" t="s">
        <v>64</v>
      </c>
      <c r="F589" t="s">
        <v>3272</v>
      </c>
      <c r="G589" t="s">
        <v>403</v>
      </c>
      <c r="H589" t="s">
        <v>3273</v>
      </c>
      <c r="I589" t="s">
        <v>405</v>
      </c>
      <c r="J589" t="s">
        <v>403</v>
      </c>
      <c r="K589" s="1">
        <v>3</v>
      </c>
      <c r="L589" t="s">
        <v>91</v>
      </c>
      <c r="M589" t="s">
        <v>70</v>
      </c>
      <c r="N589" t="s">
        <v>71</v>
      </c>
      <c r="O589" t="s">
        <v>118</v>
      </c>
      <c r="P589" t="s">
        <v>3274</v>
      </c>
      <c r="Q589" t="s">
        <v>152</v>
      </c>
      <c r="R589" t="s">
        <v>74</v>
      </c>
      <c r="S589" t="s">
        <v>3275</v>
      </c>
      <c r="AI589" s="1">
        <v>1</v>
      </c>
      <c r="AJ589" t="s">
        <v>81</v>
      </c>
      <c r="AK589" t="s">
        <v>82</v>
      </c>
      <c r="AL589" t="s">
        <v>83</v>
      </c>
      <c r="AW589" t="s">
        <v>84</v>
      </c>
    </row>
    <row r="590" spans="1:62" x14ac:dyDescent="0.25">
      <c r="A590" t="s">
        <v>1125</v>
      </c>
      <c r="B590" t="s">
        <v>1126</v>
      </c>
      <c r="C590" s="1">
        <v>424</v>
      </c>
      <c r="D590" s="1">
        <v>1990</v>
      </c>
      <c r="E590" t="s">
        <v>64</v>
      </c>
      <c r="F590" t="s">
        <v>514</v>
      </c>
      <c r="G590" t="s">
        <v>575</v>
      </c>
      <c r="H590" t="s">
        <v>1127</v>
      </c>
      <c r="I590" t="s">
        <v>1128</v>
      </c>
      <c r="J590" t="s">
        <v>575</v>
      </c>
      <c r="K590" s="1">
        <v>4</v>
      </c>
      <c r="L590" t="s">
        <v>91</v>
      </c>
      <c r="M590" t="s">
        <v>70</v>
      </c>
      <c r="N590" t="s">
        <v>71</v>
      </c>
      <c r="P590" t="s">
        <v>72</v>
      </c>
      <c r="Q590" t="s">
        <v>264</v>
      </c>
      <c r="R590" t="s">
        <v>74</v>
      </c>
      <c r="S590" t="s">
        <v>1129</v>
      </c>
      <c r="T590" s="2">
        <v>815</v>
      </c>
      <c r="U590" s="3">
        <v>1.69</v>
      </c>
      <c r="V590" s="4">
        <v>1378</v>
      </c>
      <c r="AF590" s="5">
        <v>7.7830000000000004</v>
      </c>
      <c r="AH590" s="1">
        <v>2016</v>
      </c>
      <c r="AI590" s="1">
        <v>3</v>
      </c>
      <c r="AJ590" t="s">
        <v>81</v>
      </c>
      <c r="AK590" t="s">
        <v>82</v>
      </c>
      <c r="AL590" t="s">
        <v>83</v>
      </c>
      <c r="AM590" s="3">
        <v>1.64</v>
      </c>
      <c r="AN590" s="4">
        <v>1561</v>
      </c>
      <c r="AO590" s="1">
        <v>953</v>
      </c>
      <c r="AS590" s="3">
        <v>1994395.81</v>
      </c>
      <c r="AW590" t="s">
        <v>84</v>
      </c>
      <c r="AY590" s="3">
        <v>1.8</v>
      </c>
      <c r="AZ590" s="4">
        <v>1193</v>
      </c>
      <c r="BA590" s="1">
        <v>662</v>
      </c>
      <c r="BB590" s="1">
        <v>200</v>
      </c>
      <c r="BC590" s="1">
        <v>224</v>
      </c>
      <c r="BF590" t="s">
        <v>1130</v>
      </c>
      <c r="BG590" t="s">
        <v>104</v>
      </c>
    </row>
    <row r="591" spans="1:62" x14ac:dyDescent="0.25">
      <c r="A591" t="s">
        <v>3276</v>
      </c>
      <c r="B591" t="s">
        <v>3277</v>
      </c>
      <c r="C591" s="1">
        <v>504</v>
      </c>
      <c r="D591" s="1">
        <v>1998</v>
      </c>
      <c r="E591" t="s">
        <v>64</v>
      </c>
      <c r="F591" t="s">
        <v>1133</v>
      </c>
      <c r="G591" t="s">
        <v>3278</v>
      </c>
      <c r="H591" t="s">
        <v>3279</v>
      </c>
      <c r="I591" t="s">
        <v>3280</v>
      </c>
      <c r="J591" t="s">
        <v>3278</v>
      </c>
      <c r="K591" s="1">
        <v>4</v>
      </c>
      <c r="L591" t="s">
        <v>729</v>
      </c>
      <c r="M591" t="s">
        <v>70</v>
      </c>
      <c r="N591" t="s">
        <v>71</v>
      </c>
      <c r="P591" t="s">
        <v>72</v>
      </c>
      <c r="Q591" t="s">
        <v>264</v>
      </c>
      <c r="R591" t="s">
        <v>74</v>
      </c>
      <c r="S591" t="s">
        <v>1594</v>
      </c>
      <c r="T591" s="2">
        <v>906</v>
      </c>
      <c r="U591" s="3">
        <v>1.64</v>
      </c>
      <c r="V591" s="4">
        <v>1483</v>
      </c>
      <c r="AF591" s="5">
        <v>21.626999999999999</v>
      </c>
      <c r="AI591" s="1">
        <v>3</v>
      </c>
      <c r="AJ591" t="s">
        <v>81</v>
      </c>
      <c r="AK591" t="s">
        <v>82</v>
      </c>
      <c r="AL591" t="s">
        <v>83</v>
      </c>
      <c r="AM591" s="3">
        <v>1.55</v>
      </c>
      <c r="AN591" s="4">
        <v>1686</v>
      </c>
      <c r="AO591" s="1">
        <v>1086</v>
      </c>
      <c r="AP591" s="3">
        <v>1.55</v>
      </c>
      <c r="AQ591" s="4">
        <v>2240</v>
      </c>
      <c r="AR591" s="1">
        <v>1449</v>
      </c>
      <c r="AS591" s="3">
        <v>2100326.73</v>
      </c>
      <c r="AW591" t="s">
        <v>84</v>
      </c>
      <c r="AY591" s="3">
        <v>1.75</v>
      </c>
      <c r="AZ591" s="4">
        <v>1261</v>
      </c>
      <c r="BA591" s="1">
        <v>720</v>
      </c>
      <c r="BB591" s="1">
        <v>267</v>
      </c>
      <c r="BC591" s="1">
        <v>217</v>
      </c>
      <c r="BD591" s="1">
        <v>20</v>
      </c>
      <c r="BG591" t="s">
        <v>131</v>
      </c>
    </row>
    <row r="592" spans="1:62" x14ac:dyDescent="0.25">
      <c r="A592" t="s">
        <v>3281</v>
      </c>
      <c r="B592" t="s">
        <v>3282</v>
      </c>
      <c r="C592" s="1">
        <v>396</v>
      </c>
      <c r="D592" s="1">
        <v>1997</v>
      </c>
      <c r="E592" t="s">
        <v>64</v>
      </c>
      <c r="F592" t="s">
        <v>1133</v>
      </c>
      <c r="G592" t="s">
        <v>801</v>
      </c>
      <c r="H592" t="s">
        <v>3283</v>
      </c>
      <c r="I592" t="s">
        <v>3284</v>
      </c>
      <c r="J592" t="s">
        <v>801</v>
      </c>
      <c r="K592" s="1">
        <v>3</v>
      </c>
      <c r="L592" t="s">
        <v>91</v>
      </c>
      <c r="M592" t="s">
        <v>70</v>
      </c>
      <c r="N592" t="s">
        <v>71</v>
      </c>
      <c r="P592" t="s">
        <v>72</v>
      </c>
      <c r="Q592" t="s">
        <v>264</v>
      </c>
      <c r="R592" t="s">
        <v>74</v>
      </c>
      <c r="S592" t="s">
        <v>1594</v>
      </c>
      <c r="T592" s="2">
        <v>1160</v>
      </c>
      <c r="U592" s="3">
        <v>1.53</v>
      </c>
      <c r="V592" s="4">
        <v>1777</v>
      </c>
      <c r="AF592" s="5">
        <v>5.5556000000000001</v>
      </c>
      <c r="AI592" s="1">
        <v>3</v>
      </c>
      <c r="AJ592" t="s">
        <v>81</v>
      </c>
      <c r="AK592" t="s">
        <v>82</v>
      </c>
      <c r="AL592" t="s">
        <v>83</v>
      </c>
      <c r="AM592" s="3">
        <v>1.48</v>
      </c>
      <c r="AN592" s="4">
        <v>1880</v>
      </c>
      <c r="AO592" s="1">
        <v>1272</v>
      </c>
      <c r="AP592" s="3">
        <v>1.51</v>
      </c>
      <c r="AQ592" s="4">
        <v>2446</v>
      </c>
      <c r="AR592" s="1">
        <v>1624</v>
      </c>
      <c r="AS592" s="3">
        <v>1979365.5</v>
      </c>
      <c r="AW592" t="s">
        <v>84</v>
      </c>
      <c r="AY592" s="3">
        <v>1.61</v>
      </c>
      <c r="AZ592" s="4">
        <v>1540</v>
      </c>
      <c r="BA592" s="1">
        <v>955</v>
      </c>
      <c r="BB592" s="1">
        <v>180</v>
      </c>
      <c r="BC592" s="1">
        <v>180</v>
      </c>
      <c r="BD592" s="1">
        <v>36</v>
      </c>
    </row>
    <row r="593" spans="1:59" x14ac:dyDescent="0.25">
      <c r="A593" t="s">
        <v>3285</v>
      </c>
      <c r="B593" t="s">
        <v>3286</v>
      </c>
      <c r="C593" s="1">
        <v>210</v>
      </c>
      <c r="D593" s="1">
        <v>1998</v>
      </c>
      <c r="E593" t="s">
        <v>64</v>
      </c>
      <c r="F593" t="s">
        <v>1133</v>
      </c>
      <c r="G593" t="s">
        <v>1277</v>
      </c>
      <c r="H593" t="s">
        <v>3287</v>
      </c>
      <c r="I593" t="s">
        <v>3288</v>
      </c>
      <c r="J593" t="s">
        <v>1277</v>
      </c>
      <c r="K593" s="1">
        <v>3</v>
      </c>
      <c r="L593" t="s">
        <v>91</v>
      </c>
      <c r="M593" t="s">
        <v>70</v>
      </c>
      <c r="N593" t="s">
        <v>71</v>
      </c>
      <c r="P593" t="s">
        <v>72</v>
      </c>
      <c r="Q593" t="s">
        <v>264</v>
      </c>
      <c r="R593" t="s">
        <v>74</v>
      </c>
      <c r="S593" t="s">
        <v>3289</v>
      </c>
      <c r="T593" s="2">
        <v>991</v>
      </c>
      <c r="U593" s="3">
        <v>1.82</v>
      </c>
      <c r="V593" s="4">
        <v>1809</v>
      </c>
      <c r="AF593" s="5">
        <v>8.0952000000000002</v>
      </c>
      <c r="AI593" s="1">
        <v>3</v>
      </c>
      <c r="AJ593" t="s">
        <v>81</v>
      </c>
      <c r="AK593" t="s">
        <v>82</v>
      </c>
      <c r="AL593" t="s">
        <v>83</v>
      </c>
      <c r="AM593" s="3">
        <v>1.75</v>
      </c>
      <c r="AN593" s="4">
        <v>2036</v>
      </c>
      <c r="AO593" s="1">
        <v>1163</v>
      </c>
      <c r="AP593" s="3">
        <v>1.81</v>
      </c>
      <c r="AQ593" s="4">
        <v>2491</v>
      </c>
      <c r="AR593" s="1">
        <v>1374</v>
      </c>
      <c r="AS593" s="3">
        <v>945696.85</v>
      </c>
      <c r="AW593" t="s">
        <v>84</v>
      </c>
      <c r="AY593" s="3">
        <v>1.89</v>
      </c>
      <c r="AZ593" s="4">
        <v>1577</v>
      </c>
      <c r="BA593" s="1">
        <v>836</v>
      </c>
      <c r="BB593" s="1">
        <v>122</v>
      </c>
      <c r="BC593" s="1">
        <v>70</v>
      </c>
      <c r="BD593" s="1">
        <v>18</v>
      </c>
      <c r="BG593" t="s">
        <v>131</v>
      </c>
    </row>
    <row r="594" spans="1:59" x14ac:dyDescent="0.25">
      <c r="A594" t="s">
        <v>3290</v>
      </c>
      <c r="B594" t="s">
        <v>3291</v>
      </c>
      <c r="C594" s="1">
        <v>440</v>
      </c>
      <c r="D594" s="1">
        <v>1996</v>
      </c>
      <c r="E594" t="s">
        <v>64</v>
      </c>
      <c r="F594" t="s">
        <v>1133</v>
      </c>
      <c r="G594" t="s">
        <v>2786</v>
      </c>
      <c r="H594" t="s">
        <v>3292</v>
      </c>
      <c r="I594" t="s">
        <v>3293</v>
      </c>
      <c r="J594" t="s">
        <v>2786</v>
      </c>
      <c r="K594" s="1">
        <v>3</v>
      </c>
      <c r="L594" t="s">
        <v>69</v>
      </c>
      <c r="M594" t="s">
        <v>70</v>
      </c>
      <c r="N594" t="s">
        <v>71</v>
      </c>
      <c r="P594" t="s">
        <v>72</v>
      </c>
      <c r="Q594" t="s">
        <v>264</v>
      </c>
      <c r="R594" t="s">
        <v>74</v>
      </c>
      <c r="S594" t="s">
        <v>1594</v>
      </c>
      <c r="T594" s="2">
        <v>1007</v>
      </c>
      <c r="U594" s="3">
        <v>1.45</v>
      </c>
      <c r="V594" s="4">
        <v>1457</v>
      </c>
      <c r="AF594" s="5">
        <v>3.1818</v>
      </c>
      <c r="AI594" s="1">
        <v>2</v>
      </c>
      <c r="AJ594" t="s">
        <v>81</v>
      </c>
      <c r="AK594" t="s">
        <v>82</v>
      </c>
      <c r="AL594" t="s">
        <v>83</v>
      </c>
      <c r="AM594" s="3">
        <v>1.38</v>
      </c>
      <c r="AN594" s="4">
        <v>1743</v>
      </c>
      <c r="AO594" s="1">
        <v>1267</v>
      </c>
      <c r="AS594" s="3">
        <v>1671464.2</v>
      </c>
      <c r="AW594" t="s">
        <v>84</v>
      </c>
      <c r="AY594" s="3">
        <v>1.5</v>
      </c>
      <c r="AZ594" s="4">
        <v>1313</v>
      </c>
      <c r="BA594" s="1">
        <v>877</v>
      </c>
      <c r="BB594" s="1">
        <v>293</v>
      </c>
      <c r="BC594" s="1">
        <v>147</v>
      </c>
      <c r="BG594" t="s">
        <v>131</v>
      </c>
    </row>
    <row r="595" spans="1:59" x14ac:dyDescent="0.25">
      <c r="A595" t="s">
        <v>3294</v>
      </c>
      <c r="B595" t="s">
        <v>3295</v>
      </c>
      <c r="C595" s="1">
        <v>248</v>
      </c>
      <c r="D595" s="1">
        <v>1991</v>
      </c>
      <c r="E595" t="s">
        <v>64</v>
      </c>
      <c r="F595" t="s">
        <v>1133</v>
      </c>
      <c r="G595" t="s">
        <v>1548</v>
      </c>
      <c r="H595" t="s">
        <v>3296</v>
      </c>
      <c r="I595" t="s">
        <v>3297</v>
      </c>
      <c r="J595" t="s">
        <v>1548</v>
      </c>
      <c r="K595" s="1">
        <v>4</v>
      </c>
      <c r="L595" t="s">
        <v>91</v>
      </c>
      <c r="M595" t="s">
        <v>70</v>
      </c>
      <c r="N595" t="s">
        <v>71</v>
      </c>
      <c r="P595" t="s">
        <v>72</v>
      </c>
      <c r="Q595" t="s">
        <v>264</v>
      </c>
      <c r="R595" t="s">
        <v>74</v>
      </c>
      <c r="S595" t="s">
        <v>1594</v>
      </c>
      <c r="T595" s="2">
        <v>809</v>
      </c>
      <c r="U595" s="3">
        <v>1.63</v>
      </c>
      <c r="V595" s="4">
        <v>1321</v>
      </c>
      <c r="AF595" s="5">
        <v>2.8226</v>
      </c>
      <c r="AI595" s="1">
        <v>4</v>
      </c>
      <c r="AJ595" t="s">
        <v>81</v>
      </c>
      <c r="AK595" t="s">
        <v>82</v>
      </c>
      <c r="AL595" t="s">
        <v>83</v>
      </c>
      <c r="AM595" s="3">
        <v>1.64</v>
      </c>
      <c r="AN595" s="4">
        <v>1521</v>
      </c>
      <c r="AO595" s="1">
        <v>930</v>
      </c>
      <c r="AS595" s="3">
        <v>835622.15</v>
      </c>
      <c r="AW595" t="s">
        <v>84</v>
      </c>
      <c r="AY595" s="3">
        <v>1.63</v>
      </c>
      <c r="AZ595" s="4">
        <v>1145</v>
      </c>
      <c r="BA595" s="1">
        <v>703</v>
      </c>
      <c r="BB595" s="1">
        <v>132</v>
      </c>
      <c r="BC595" s="1">
        <v>116</v>
      </c>
      <c r="BG595" t="s">
        <v>131</v>
      </c>
    </row>
    <row r="596" spans="1:59" x14ac:dyDescent="0.25">
      <c r="A596" t="s">
        <v>3298</v>
      </c>
      <c r="B596" t="s">
        <v>3299</v>
      </c>
      <c r="C596" s="1">
        <v>386</v>
      </c>
      <c r="D596" s="1">
        <v>1996</v>
      </c>
      <c r="E596" t="s">
        <v>64</v>
      </c>
      <c r="F596" t="s">
        <v>814</v>
      </c>
      <c r="G596" t="s">
        <v>735</v>
      </c>
      <c r="H596" t="s">
        <v>3300</v>
      </c>
      <c r="I596" t="s">
        <v>3301</v>
      </c>
      <c r="J596" t="s">
        <v>735</v>
      </c>
      <c r="K596" s="1">
        <v>3</v>
      </c>
      <c r="L596" t="s">
        <v>91</v>
      </c>
      <c r="M596" t="s">
        <v>70</v>
      </c>
      <c r="N596" t="s">
        <v>71</v>
      </c>
      <c r="P596" t="s">
        <v>72</v>
      </c>
      <c r="Q596" t="s">
        <v>814</v>
      </c>
      <c r="R596" t="s">
        <v>74</v>
      </c>
      <c r="S596" t="s">
        <v>816</v>
      </c>
      <c r="T596" s="2">
        <v>908</v>
      </c>
      <c r="U596" s="3">
        <v>1.44</v>
      </c>
      <c r="V596" s="4">
        <v>1309</v>
      </c>
      <c r="AF596" s="5">
        <v>8.5492000000000008</v>
      </c>
      <c r="AI596" s="1">
        <v>2</v>
      </c>
      <c r="AJ596" t="s">
        <v>81</v>
      </c>
      <c r="AK596" t="s">
        <v>82</v>
      </c>
      <c r="AL596" t="s">
        <v>83</v>
      </c>
      <c r="AM596" s="3">
        <v>1.27</v>
      </c>
      <c r="AN596" s="4">
        <v>1456</v>
      </c>
      <c r="AO596" s="1">
        <v>1142</v>
      </c>
      <c r="AP596" s="3">
        <v>1.37</v>
      </c>
      <c r="AQ596" s="4">
        <v>1978</v>
      </c>
      <c r="AR596" s="1">
        <v>1449</v>
      </c>
      <c r="AS596" s="3">
        <v>1047836.34</v>
      </c>
      <c r="AW596" t="s">
        <v>84</v>
      </c>
      <c r="AY596" s="3">
        <v>1.58</v>
      </c>
      <c r="AZ596" s="4">
        <v>1198</v>
      </c>
      <c r="BA596" s="1">
        <v>757</v>
      </c>
      <c r="BB596" s="1">
        <v>244</v>
      </c>
      <c r="BC596" s="1">
        <v>130</v>
      </c>
      <c r="BD596" s="1">
        <v>12</v>
      </c>
      <c r="BF596" t="s">
        <v>3302</v>
      </c>
    </row>
    <row r="597" spans="1:59" x14ac:dyDescent="0.25">
      <c r="A597" t="s">
        <v>3303</v>
      </c>
      <c r="B597" t="s">
        <v>3304</v>
      </c>
      <c r="C597" s="1">
        <v>144</v>
      </c>
      <c r="D597" s="1">
        <v>1999</v>
      </c>
      <c r="E597" t="s">
        <v>64</v>
      </c>
      <c r="F597" t="s">
        <v>439</v>
      </c>
      <c r="G597" t="s">
        <v>3305</v>
      </c>
      <c r="H597" t="s">
        <v>3306</v>
      </c>
      <c r="I597" t="s">
        <v>3307</v>
      </c>
      <c r="J597" t="s">
        <v>3305</v>
      </c>
      <c r="K597" s="1">
        <v>3</v>
      </c>
      <c r="L597" t="s">
        <v>91</v>
      </c>
      <c r="M597" t="s">
        <v>70</v>
      </c>
      <c r="N597" t="s">
        <v>71</v>
      </c>
      <c r="O597" t="s">
        <v>118</v>
      </c>
      <c r="P597" t="s">
        <v>72</v>
      </c>
      <c r="Q597" t="s">
        <v>442</v>
      </c>
      <c r="R597" t="s">
        <v>74</v>
      </c>
      <c r="S597" t="s">
        <v>3308</v>
      </c>
      <c r="T597" s="2">
        <v>958</v>
      </c>
      <c r="U597" s="3">
        <v>1.31</v>
      </c>
      <c r="V597" s="4">
        <v>1259</v>
      </c>
      <c r="AF597" s="5">
        <v>5.5556000000000001</v>
      </c>
      <c r="AI597" s="1">
        <v>2</v>
      </c>
      <c r="AJ597" t="s">
        <v>81</v>
      </c>
      <c r="AK597" t="s">
        <v>82</v>
      </c>
      <c r="AL597" t="s">
        <v>83</v>
      </c>
      <c r="AM597" s="3">
        <v>1.34</v>
      </c>
      <c r="AN597" s="4">
        <v>1248</v>
      </c>
      <c r="AO597" s="1">
        <v>930</v>
      </c>
      <c r="AP597" s="3">
        <v>1.2</v>
      </c>
      <c r="AQ597" s="4">
        <v>1433</v>
      </c>
      <c r="AR597" s="1">
        <v>1192</v>
      </c>
      <c r="AS597" s="3">
        <v>114129.60000000001</v>
      </c>
      <c r="AW597" t="s">
        <v>84</v>
      </c>
      <c r="AY597" s="3">
        <v>1.49</v>
      </c>
      <c r="AZ597" s="4">
        <v>1045</v>
      </c>
      <c r="BA597" s="1">
        <v>700</v>
      </c>
      <c r="BB597" s="1">
        <v>32</v>
      </c>
      <c r="BC597" s="1">
        <v>68</v>
      </c>
      <c r="BD597" s="1">
        <v>44</v>
      </c>
    </row>
    <row r="598" spans="1:59" x14ac:dyDescent="0.25">
      <c r="A598" t="s">
        <v>3309</v>
      </c>
      <c r="B598" t="s">
        <v>3310</v>
      </c>
      <c r="C598" s="1">
        <v>52</v>
      </c>
      <c r="D598" s="1">
        <v>1993</v>
      </c>
      <c r="E598" t="s">
        <v>64</v>
      </c>
      <c r="F598" t="s">
        <v>1154</v>
      </c>
      <c r="G598" t="s">
        <v>3311</v>
      </c>
      <c r="H598" t="s">
        <v>3312</v>
      </c>
      <c r="I598" t="s">
        <v>3311</v>
      </c>
      <c r="J598" t="s">
        <v>3311</v>
      </c>
      <c r="K598" s="1">
        <v>3</v>
      </c>
      <c r="L598" t="s">
        <v>91</v>
      </c>
      <c r="M598" t="s">
        <v>70</v>
      </c>
      <c r="N598" t="s">
        <v>71</v>
      </c>
      <c r="O598" t="s">
        <v>118</v>
      </c>
      <c r="P598" t="s">
        <v>72</v>
      </c>
      <c r="Q598" t="s">
        <v>1158</v>
      </c>
      <c r="R598" t="s">
        <v>74</v>
      </c>
      <c r="S598" t="s">
        <v>3313</v>
      </c>
      <c r="T598" s="2">
        <v>773</v>
      </c>
      <c r="U598" s="3">
        <v>1.47</v>
      </c>
      <c r="V598" s="4">
        <v>1133</v>
      </c>
      <c r="AF598" s="5">
        <v>1.9231</v>
      </c>
      <c r="AI598" s="1">
        <v>1</v>
      </c>
      <c r="AJ598" t="s">
        <v>81</v>
      </c>
      <c r="AK598" t="s">
        <v>82</v>
      </c>
      <c r="AL598" t="s">
        <v>83</v>
      </c>
      <c r="AM598" s="3">
        <v>1.45</v>
      </c>
      <c r="AN598" s="4">
        <v>1205</v>
      </c>
      <c r="AO598" s="1">
        <v>830</v>
      </c>
      <c r="AS598" s="3">
        <v>106659.04</v>
      </c>
      <c r="AW598" t="s">
        <v>84</v>
      </c>
      <c r="AY598" s="3">
        <v>1.48</v>
      </c>
      <c r="AZ598" s="4">
        <v>1061</v>
      </c>
      <c r="BA598" s="1">
        <v>716</v>
      </c>
      <c r="BB598" s="1">
        <v>26</v>
      </c>
      <c r="BC598" s="1">
        <v>26</v>
      </c>
    </row>
    <row r="599" spans="1:59" x14ac:dyDescent="0.25">
      <c r="A599" t="s">
        <v>3314</v>
      </c>
      <c r="B599" t="s">
        <v>3315</v>
      </c>
      <c r="C599" s="1">
        <v>252</v>
      </c>
      <c r="D599" s="1">
        <v>1997</v>
      </c>
      <c r="E599" t="s">
        <v>64</v>
      </c>
      <c r="F599" t="s">
        <v>87</v>
      </c>
      <c r="G599" t="s">
        <v>2786</v>
      </c>
      <c r="H599" t="s">
        <v>3316</v>
      </c>
      <c r="I599" t="s">
        <v>3317</v>
      </c>
      <c r="J599" t="s">
        <v>2786</v>
      </c>
      <c r="K599" s="1">
        <v>4</v>
      </c>
      <c r="L599" t="s">
        <v>729</v>
      </c>
      <c r="M599" t="s">
        <v>70</v>
      </c>
      <c r="N599" t="s">
        <v>71</v>
      </c>
      <c r="P599" t="s">
        <v>72</v>
      </c>
      <c r="Q599" t="s">
        <v>73</v>
      </c>
      <c r="R599" t="s">
        <v>74</v>
      </c>
      <c r="S599" t="s">
        <v>2424</v>
      </c>
      <c r="T599" s="2">
        <v>926</v>
      </c>
      <c r="U599" s="3">
        <v>1.79</v>
      </c>
      <c r="V599" s="4">
        <v>1662</v>
      </c>
      <c r="AF599" s="5">
        <v>3.5714000000000001</v>
      </c>
      <c r="AH599" s="1">
        <v>2003</v>
      </c>
      <c r="AI599" s="1">
        <v>4</v>
      </c>
      <c r="AJ599" t="s">
        <v>81</v>
      </c>
      <c r="AK599" t="s">
        <v>82</v>
      </c>
      <c r="AL599" t="s">
        <v>83</v>
      </c>
      <c r="AM599" s="3">
        <v>1.66</v>
      </c>
      <c r="AN599" s="4">
        <v>1651</v>
      </c>
      <c r="AO599" s="1">
        <v>995</v>
      </c>
      <c r="AP599" s="3">
        <v>1.52</v>
      </c>
      <c r="AQ599" s="4">
        <v>2205</v>
      </c>
      <c r="AR599" s="1">
        <v>1455</v>
      </c>
      <c r="AS599" s="3">
        <v>1122914.78</v>
      </c>
      <c r="AT599" s="3">
        <v>2.78</v>
      </c>
      <c r="AU599" s="4">
        <v>1343</v>
      </c>
      <c r="AV599" s="6">
        <v>484</v>
      </c>
      <c r="AW599" t="s">
        <v>84</v>
      </c>
      <c r="AY599" s="3">
        <v>2.17</v>
      </c>
      <c r="AZ599" s="4">
        <v>1429</v>
      </c>
      <c r="BA599" s="1">
        <v>659</v>
      </c>
      <c r="BB599" s="1">
        <v>116</v>
      </c>
      <c r="BC599" s="1">
        <v>72</v>
      </c>
      <c r="BD599" s="1">
        <v>56</v>
      </c>
      <c r="BG599" t="s">
        <v>131</v>
      </c>
    </row>
    <row r="600" spans="1:59" x14ac:dyDescent="0.25">
      <c r="A600" t="s">
        <v>3318</v>
      </c>
      <c r="B600" t="s">
        <v>3319</v>
      </c>
      <c r="C600" s="1">
        <v>72</v>
      </c>
      <c r="D600" s="1">
        <v>1999</v>
      </c>
      <c r="E600" t="s">
        <v>64</v>
      </c>
      <c r="F600" t="s">
        <v>943</v>
      </c>
      <c r="G600" t="s">
        <v>3320</v>
      </c>
      <c r="H600" t="s">
        <v>3321</v>
      </c>
      <c r="I600" t="s">
        <v>3322</v>
      </c>
      <c r="J600" t="s">
        <v>3320</v>
      </c>
      <c r="K600" s="1">
        <v>3</v>
      </c>
      <c r="L600" t="s">
        <v>91</v>
      </c>
      <c r="M600" t="s">
        <v>70</v>
      </c>
      <c r="N600" t="s">
        <v>71</v>
      </c>
      <c r="O600" t="s">
        <v>118</v>
      </c>
      <c r="P600" t="s">
        <v>72</v>
      </c>
      <c r="Q600" t="s">
        <v>3323</v>
      </c>
      <c r="R600" t="s">
        <v>74</v>
      </c>
      <c r="S600" t="s">
        <v>3324</v>
      </c>
      <c r="T600" s="2">
        <v>982</v>
      </c>
      <c r="U600" s="3">
        <v>1.29</v>
      </c>
      <c r="V600" s="4">
        <v>1269</v>
      </c>
      <c r="AF600" s="5">
        <v>5.5556000000000001</v>
      </c>
      <c r="AI600" s="1">
        <v>1</v>
      </c>
      <c r="AJ600" t="s">
        <v>81</v>
      </c>
      <c r="AK600" t="s">
        <v>82</v>
      </c>
      <c r="AL600" t="s">
        <v>83</v>
      </c>
      <c r="AM600" s="3">
        <v>1.3</v>
      </c>
      <c r="AN600" s="4">
        <v>1296</v>
      </c>
      <c r="AO600" s="1">
        <v>996</v>
      </c>
      <c r="AP600" s="3">
        <v>1.1299999999999999</v>
      </c>
      <c r="AQ600" s="4">
        <v>1296</v>
      </c>
      <c r="AR600" s="1">
        <v>1149</v>
      </c>
      <c r="AS600" s="3">
        <v>52200.44</v>
      </c>
      <c r="AW600" t="s">
        <v>84</v>
      </c>
      <c r="AY600" s="3">
        <v>1.57</v>
      </c>
      <c r="AZ600" s="4">
        <v>1188</v>
      </c>
      <c r="BA600" s="1">
        <v>755</v>
      </c>
      <c r="BB600" s="1">
        <v>18</v>
      </c>
      <c r="BC600" s="1">
        <v>32</v>
      </c>
      <c r="BD600" s="1">
        <v>22</v>
      </c>
      <c r="BF600" t="s">
        <v>579</v>
      </c>
      <c r="BG600" t="s">
        <v>104</v>
      </c>
    </row>
    <row r="601" spans="1:59" x14ac:dyDescent="0.25">
      <c r="A601" t="s">
        <v>3325</v>
      </c>
      <c r="B601" t="s">
        <v>3326</v>
      </c>
      <c r="C601" s="1">
        <v>148</v>
      </c>
      <c r="D601" s="1">
        <v>1996</v>
      </c>
      <c r="E601" t="s">
        <v>64</v>
      </c>
      <c r="F601" t="s">
        <v>734</v>
      </c>
      <c r="G601" t="s">
        <v>3327</v>
      </c>
      <c r="H601" t="s">
        <v>3328</v>
      </c>
      <c r="I601" t="s">
        <v>3329</v>
      </c>
      <c r="J601" t="s">
        <v>3327</v>
      </c>
      <c r="K601" s="1">
        <v>3</v>
      </c>
      <c r="L601" t="s">
        <v>91</v>
      </c>
      <c r="M601" t="s">
        <v>70</v>
      </c>
      <c r="N601" t="s">
        <v>71</v>
      </c>
      <c r="P601" t="s">
        <v>72</v>
      </c>
      <c r="Q601" t="s">
        <v>73</v>
      </c>
      <c r="R601" t="s">
        <v>74</v>
      </c>
      <c r="S601" t="s">
        <v>3330</v>
      </c>
      <c r="T601" s="2">
        <v>1238</v>
      </c>
      <c r="U601" s="3">
        <v>1.64</v>
      </c>
      <c r="V601" s="4">
        <v>2031</v>
      </c>
      <c r="AF601" s="5">
        <v>4.7297000000000002</v>
      </c>
      <c r="AH601" s="1">
        <v>2014</v>
      </c>
      <c r="AI601" s="1">
        <v>3</v>
      </c>
      <c r="AJ601" t="s">
        <v>81</v>
      </c>
      <c r="AK601" t="s">
        <v>82</v>
      </c>
      <c r="AL601" t="s">
        <v>83</v>
      </c>
      <c r="AM601" s="3">
        <v>1.64</v>
      </c>
      <c r="AN601" s="4">
        <v>2031</v>
      </c>
      <c r="AO601" s="1">
        <v>1239</v>
      </c>
      <c r="AS601" s="3">
        <v>569928.75</v>
      </c>
      <c r="AW601" t="s">
        <v>84</v>
      </c>
      <c r="BC601" s="1">
        <v>148</v>
      </c>
      <c r="BF601" t="s">
        <v>2217</v>
      </c>
      <c r="BG601" t="s">
        <v>104</v>
      </c>
    </row>
    <row r="602" spans="1:59" x14ac:dyDescent="0.25">
      <c r="A602" t="s">
        <v>1177</v>
      </c>
      <c r="B602" t="s">
        <v>1178</v>
      </c>
      <c r="C602" s="1">
        <v>115</v>
      </c>
      <c r="D602" s="1">
        <v>1990</v>
      </c>
      <c r="E602" t="s">
        <v>64</v>
      </c>
      <c r="F602" t="s">
        <v>1179</v>
      </c>
      <c r="G602" t="s">
        <v>1180</v>
      </c>
      <c r="I602" t="s">
        <v>1181</v>
      </c>
      <c r="J602" t="s">
        <v>1180</v>
      </c>
      <c r="K602" s="1">
        <v>2</v>
      </c>
      <c r="L602" t="s">
        <v>69</v>
      </c>
      <c r="M602" t="s">
        <v>70</v>
      </c>
      <c r="N602" t="s">
        <v>71</v>
      </c>
      <c r="P602" t="s">
        <v>72</v>
      </c>
      <c r="Q602" t="s">
        <v>73</v>
      </c>
      <c r="R602" t="s">
        <v>74</v>
      </c>
      <c r="S602" t="s">
        <v>1182</v>
      </c>
      <c r="AF602" s="5">
        <v>9.5652000000000008</v>
      </c>
      <c r="AI602" s="1">
        <v>2</v>
      </c>
      <c r="AJ602" t="s">
        <v>81</v>
      </c>
      <c r="AK602" t="s">
        <v>82</v>
      </c>
      <c r="AL602" t="s">
        <v>83</v>
      </c>
      <c r="AS602" s="3">
        <v>164753.22</v>
      </c>
      <c r="AW602" t="s">
        <v>84</v>
      </c>
    </row>
    <row r="603" spans="1:59" x14ac:dyDescent="0.25">
      <c r="A603" t="s">
        <v>3331</v>
      </c>
      <c r="B603" t="s">
        <v>3332</v>
      </c>
      <c r="C603" s="1">
        <v>264</v>
      </c>
      <c r="D603" s="1">
        <v>1995</v>
      </c>
      <c r="E603" t="s">
        <v>64</v>
      </c>
      <c r="F603" t="s">
        <v>551</v>
      </c>
      <c r="G603" t="s">
        <v>3333</v>
      </c>
      <c r="H603" t="s">
        <v>3334</v>
      </c>
      <c r="I603" t="s">
        <v>3335</v>
      </c>
      <c r="J603" t="s">
        <v>3333</v>
      </c>
      <c r="K603" s="1">
        <v>4</v>
      </c>
      <c r="L603" t="s">
        <v>91</v>
      </c>
      <c r="M603" t="s">
        <v>70</v>
      </c>
      <c r="N603" t="s">
        <v>71</v>
      </c>
      <c r="P603" t="s">
        <v>72</v>
      </c>
      <c r="Q603" t="s">
        <v>551</v>
      </c>
      <c r="R603" t="s">
        <v>74</v>
      </c>
      <c r="S603" t="s">
        <v>554</v>
      </c>
      <c r="T603" s="2">
        <v>987</v>
      </c>
      <c r="U603" s="3">
        <v>1.71</v>
      </c>
      <c r="V603" s="4">
        <v>1684</v>
      </c>
      <c r="AF603" s="5">
        <v>7.1970000000000001</v>
      </c>
      <c r="AH603" s="1">
        <v>2015</v>
      </c>
      <c r="AI603" s="1">
        <v>2</v>
      </c>
      <c r="AJ603" t="s">
        <v>81</v>
      </c>
      <c r="AK603" t="s">
        <v>82</v>
      </c>
      <c r="AL603" t="s">
        <v>83</v>
      </c>
      <c r="AM603" s="3">
        <v>1.67</v>
      </c>
      <c r="AN603" s="4">
        <v>1853</v>
      </c>
      <c r="AO603" s="1">
        <v>1110</v>
      </c>
      <c r="AS603" s="3">
        <v>1200066.3999999999</v>
      </c>
      <c r="AW603" t="s">
        <v>84</v>
      </c>
      <c r="AY603" s="3">
        <v>1.78</v>
      </c>
      <c r="AZ603" s="4">
        <v>1423</v>
      </c>
      <c r="BA603" s="1">
        <v>799</v>
      </c>
      <c r="BB603" s="1">
        <v>104</v>
      </c>
      <c r="BC603" s="1">
        <v>160</v>
      </c>
      <c r="BG603" t="s">
        <v>131</v>
      </c>
    </row>
    <row r="604" spans="1:59" x14ac:dyDescent="0.25">
      <c r="A604" t="s">
        <v>3336</v>
      </c>
      <c r="B604" t="s">
        <v>3337</v>
      </c>
      <c r="C604" s="1">
        <v>196</v>
      </c>
      <c r="D604" s="1">
        <v>1995</v>
      </c>
      <c r="E604" t="s">
        <v>64</v>
      </c>
      <c r="F604" t="s">
        <v>2085</v>
      </c>
      <c r="G604" t="s">
        <v>3008</v>
      </c>
      <c r="H604" t="s">
        <v>3338</v>
      </c>
      <c r="I604" t="s">
        <v>3339</v>
      </c>
      <c r="J604" t="s">
        <v>3008</v>
      </c>
      <c r="K604" s="1">
        <v>4</v>
      </c>
      <c r="L604" t="s">
        <v>729</v>
      </c>
      <c r="M604" t="s">
        <v>70</v>
      </c>
      <c r="N604" t="s">
        <v>71</v>
      </c>
      <c r="P604" t="s">
        <v>72</v>
      </c>
      <c r="Q604" t="s">
        <v>2085</v>
      </c>
      <c r="R604" t="s">
        <v>74</v>
      </c>
      <c r="S604" t="s">
        <v>2086</v>
      </c>
      <c r="T604" s="2">
        <v>1064</v>
      </c>
      <c r="U604" s="3">
        <v>2.02</v>
      </c>
      <c r="V604" s="4">
        <v>2155</v>
      </c>
      <c r="AF604" s="5">
        <v>7.1429</v>
      </c>
      <c r="AH604" s="1">
        <v>2019</v>
      </c>
      <c r="AI604" s="1">
        <v>2</v>
      </c>
      <c r="AJ604" t="s">
        <v>81</v>
      </c>
      <c r="AK604" t="s">
        <v>82</v>
      </c>
      <c r="AL604" t="s">
        <v>83</v>
      </c>
      <c r="AM604" s="3">
        <v>2.0099999999999998</v>
      </c>
      <c r="AN604" s="4">
        <v>2415</v>
      </c>
      <c r="AO604" s="1">
        <v>1202</v>
      </c>
      <c r="AP604" s="3">
        <v>1.84</v>
      </c>
      <c r="AQ604" s="4">
        <v>2468</v>
      </c>
      <c r="AR604" s="1">
        <v>1343</v>
      </c>
      <c r="AS604" s="3">
        <v>1091477.52</v>
      </c>
      <c r="AW604" t="s">
        <v>84</v>
      </c>
      <c r="AY604" s="3">
        <v>2.06</v>
      </c>
      <c r="AZ604" s="4">
        <v>1921</v>
      </c>
      <c r="BA604" s="1">
        <v>932</v>
      </c>
      <c r="BB604" s="1">
        <v>104</v>
      </c>
      <c r="BC604" s="1">
        <v>84</v>
      </c>
      <c r="BD604" s="1">
        <v>8</v>
      </c>
      <c r="BF604" t="s">
        <v>3340</v>
      </c>
      <c r="BG604" t="s">
        <v>365</v>
      </c>
    </row>
    <row r="605" spans="1:59" x14ac:dyDescent="0.25">
      <c r="A605" t="s">
        <v>3341</v>
      </c>
      <c r="B605" t="s">
        <v>3342</v>
      </c>
      <c r="C605" s="1">
        <v>204</v>
      </c>
      <c r="D605" s="1">
        <v>1999</v>
      </c>
      <c r="E605" t="s">
        <v>64</v>
      </c>
      <c r="F605" t="s">
        <v>520</v>
      </c>
      <c r="G605" t="s">
        <v>1107</v>
      </c>
      <c r="H605" t="s">
        <v>3343</v>
      </c>
      <c r="I605" t="s">
        <v>3344</v>
      </c>
      <c r="J605" t="s">
        <v>1107</v>
      </c>
      <c r="K605" s="1">
        <v>3</v>
      </c>
      <c r="L605" t="s">
        <v>69</v>
      </c>
      <c r="M605" t="s">
        <v>70</v>
      </c>
      <c r="N605" t="s">
        <v>71</v>
      </c>
      <c r="P605" t="s">
        <v>72</v>
      </c>
      <c r="Q605" t="s">
        <v>3345</v>
      </c>
      <c r="R605" t="s">
        <v>74</v>
      </c>
      <c r="S605" t="s">
        <v>3346</v>
      </c>
      <c r="T605" s="2">
        <v>796</v>
      </c>
      <c r="U605" s="3">
        <v>1.53</v>
      </c>
      <c r="V605" s="4">
        <v>1217</v>
      </c>
      <c r="AF605" s="5">
        <v>5.3921999999999999</v>
      </c>
      <c r="AI605" s="1">
        <v>2</v>
      </c>
      <c r="AJ605" t="s">
        <v>81</v>
      </c>
      <c r="AK605" t="s">
        <v>82</v>
      </c>
      <c r="AL605" t="s">
        <v>83</v>
      </c>
      <c r="AM605" s="3">
        <v>1.41</v>
      </c>
      <c r="AN605" s="4">
        <v>1333</v>
      </c>
      <c r="AO605" s="1">
        <v>943</v>
      </c>
      <c r="AP605" s="3">
        <v>1.32</v>
      </c>
      <c r="AQ605" s="4">
        <v>1542</v>
      </c>
      <c r="AR605" s="1">
        <v>1168</v>
      </c>
      <c r="AS605" s="3">
        <v>404767.44</v>
      </c>
      <c r="AW605" t="s">
        <v>84</v>
      </c>
      <c r="AY605" s="3">
        <v>1.7</v>
      </c>
      <c r="AZ605" s="4">
        <v>1091</v>
      </c>
      <c r="BA605" s="1">
        <v>642</v>
      </c>
      <c r="BB605" s="1">
        <v>108</v>
      </c>
      <c r="BC605" s="1">
        <v>84</v>
      </c>
      <c r="BD605" s="1">
        <v>12</v>
      </c>
      <c r="BF605" t="s">
        <v>3347</v>
      </c>
      <c r="BG605" t="s">
        <v>131</v>
      </c>
    </row>
    <row r="606" spans="1:59" x14ac:dyDescent="0.25">
      <c r="A606" t="s">
        <v>3348</v>
      </c>
      <c r="B606" t="s">
        <v>3349</v>
      </c>
      <c r="C606" s="1">
        <v>378</v>
      </c>
      <c r="D606" s="1">
        <v>2000</v>
      </c>
      <c r="E606" t="s">
        <v>64</v>
      </c>
      <c r="F606" t="s">
        <v>140</v>
      </c>
      <c r="G606" t="s">
        <v>801</v>
      </c>
      <c r="H606" t="s">
        <v>3350</v>
      </c>
      <c r="J606" t="s">
        <v>801</v>
      </c>
      <c r="K606" s="1">
        <v>4</v>
      </c>
      <c r="L606" t="s">
        <v>91</v>
      </c>
      <c r="M606" t="s">
        <v>70</v>
      </c>
      <c r="N606" t="s">
        <v>71</v>
      </c>
      <c r="P606" t="s">
        <v>72</v>
      </c>
      <c r="Q606" t="s">
        <v>140</v>
      </c>
      <c r="R606" t="s">
        <v>74</v>
      </c>
      <c r="S606" t="s">
        <v>1535</v>
      </c>
      <c r="T606" s="2">
        <v>809</v>
      </c>
      <c r="U606" s="3">
        <v>1.77</v>
      </c>
      <c r="V606" s="4">
        <v>1435</v>
      </c>
      <c r="AF606" s="5">
        <v>6.6138000000000003</v>
      </c>
      <c r="AI606" s="1">
        <v>4</v>
      </c>
      <c r="AJ606" t="s">
        <v>81</v>
      </c>
      <c r="AK606" t="s">
        <v>82</v>
      </c>
      <c r="AL606" t="s">
        <v>83</v>
      </c>
      <c r="AM606" s="3">
        <v>1.67</v>
      </c>
      <c r="AN606" s="4">
        <v>1916</v>
      </c>
      <c r="AO606" s="1">
        <v>1150</v>
      </c>
      <c r="AT606" s="3">
        <v>1.83</v>
      </c>
      <c r="AU606" s="4">
        <v>1200</v>
      </c>
      <c r="AV606" s="6">
        <v>656</v>
      </c>
      <c r="AW606" t="s">
        <v>84</v>
      </c>
      <c r="AY606" s="3">
        <v>1.81</v>
      </c>
      <c r="AZ606" s="4">
        <v>1421</v>
      </c>
      <c r="BA606" s="1">
        <v>784</v>
      </c>
      <c r="BB606" s="1">
        <v>127</v>
      </c>
      <c r="BC606" s="1">
        <v>85</v>
      </c>
    </row>
    <row r="607" spans="1:59" x14ac:dyDescent="0.25">
      <c r="A607" t="s">
        <v>3351</v>
      </c>
      <c r="B607" t="s">
        <v>3352</v>
      </c>
      <c r="C607" s="1">
        <v>121</v>
      </c>
      <c r="D607" s="1">
        <v>1997</v>
      </c>
      <c r="E607" t="s">
        <v>64</v>
      </c>
      <c r="F607" t="s">
        <v>501</v>
      </c>
      <c r="G607" t="s">
        <v>1155</v>
      </c>
      <c r="I607" t="s">
        <v>3353</v>
      </c>
      <c r="J607" t="s">
        <v>1155</v>
      </c>
      <c r="K607" s="1">
        <v>2</v>
      </c>
      <c r="L607" t="s">
        <v>69</v>
      </c>
      <c r="M607" t="s">
        <v>70</v>
      </c>
      <c r="N607" t="s">
        <v>127</v>
      </c>
      <c r="P607" t="s">
        <v>72</v>
      </c>
      <c r="Q607" t="s">
        <v>152</v>
      </c>
      <c r="R607" t="s">
        <v>74</v>
      </c>
      <c r="S607" t="s">
        <v>504</v>
      </c>
      <c r="AF607" s="5">
        <v>9.9174000000000007</v>
      </c>
      <c r="AI607" s="1">
        <v>1</v>
      </c>
      <c r="AJ607" t="s">
        <v>81</v>
      </c>
      <c r="AK607" t="s">
        <v>82</v>
      </c>
      <c r="AL607" t="s">
        <v>83</v>
      </c>
      <c r="AW607" t="s">
        <v>84</v>
      </c>
    </row>
    <row r="608" spans="1:59" x14ac:dyDescent="0.25">
      <c r="A608" t="s">
        <v>3354</v>
      </c>
      <c r="B608" t="s">
        <v>3355</v>
      </c>
      <c r="C608" s="1">
        <v>280</v>
      </c>
      <c r="D608" s="1">
        <v>1996</v>
      </c>
      <c r="E608" t="s">
        <v>64</v>
      </c>
      <c r="F608" t="s">
        <v>470</v>
      </c>
      <c r="G608" t="s">
        <v>3356</v>
      </c>
      <c r="H608" t="s">
        <v>3357</v>
      </c>
      <c r="I608" t="s">
        <v>3358</v>
      </c>
      <c r="J608" t="s">
        <v>3356</v>
      </c>
      <c r="K608" s="1">
        <v>3</v>
      </c>
      <c r="L608" t="s">
        <v>91</v>
      </c>
      <c r="M608" t="s">
        <v>70</v>
      </c>
      <c r="N608" t="s">
        <v>71</v>
      </c>
      <c r="O608" t="s">
        <v>118</v>
      </c>
      <c r="P608" t="s">
        <v>72</v>
      </c>
      <c r="Q608" t="s">
        <v>73</v>
      </c>
      <c r="R608" t="s">
        <v>74</v>
      </c>
      <c r="S608" t="s">
        <v>3359</v>
      </c>
      <c r="T608" s="2">
        <v>889</v>
      </c>
      <c r="U608" s="3">
        <v>1.25</v>
      </c>
      <c r="V608" s="4">
        <v>1111</v>
      </c>
      <c r="AF608" s="5">
        <v>17.5</v>
      </c>
      <c r="AI608" s="1">
        <v>3</v>
      </c>
      <c r="AJ608" t="s">
        <v>81</v>
      </c>
      <c r="AK608" t="s">
        <v>82</v>
      </c>
      <c r="AL608" t="s">
        <v>83</v>
      </c>
      <c r="AM608" s="3">
        <v>1.3</v>
      </c>
      <c r="AN608" s="4">
        <v>1130</v>
      </c>
      <c r="AO608" s="1">
        <v>872</v>
      </c>
      <c r="AP608" s="3">
        <v>1.1000000000000001</v>
      </c>
      <c r="AQ608" s="4">
        <v>1245</v>
      </c>
      <c r="AR608" s="1">
        <v>1130</v>
      </c>
      <c r="AS608" s="3">
        <v>552583.26</v>
      </c>
      <c r="AW608" t="s">
        <v>84</v>
      </c>
      <c r="AY608" s="3">
        <v>1.46</v>
      </c>
      <c r="AZ608" s="4">
        <v>915</v>
      </c>
      <c r="BA608" s="1">
        <v>627</v>
      </c>
      <c r="BB608" s="1">
        <v>72</v>
      </c>
      <c r="BC608" s="1">
        <v>120</v>
      </c>
      <c r="BD608" s="1">
        <v>88</v>
      </c>
    </row>
    <row r="609" spans="1:59" x14ac:dyDescent="0.25">
      <c r="A609" t="s">
        <v>3360</v>
      </c>
      <c r="B609" t="s">
        <v>3361</v>
      </c>
      <c r="C609" s="1">
        <v>98</v>
      </c>
      <c r="D609" s="1">
        <v>1999</v>
      </c>
      <c r="E609" t="s">
        <v>64</v>
      </c>
      <c r="F609" t="s">
        <v>422</v>
      </c>
      <c r="G609" t="s">
        <v>3362</v>
      </c>
      <c r="H609" t="s">
        <v>3363</v>
      </c>
      <c r="I609" t="s">
        <v>3364</v>
      </c>
      <c r="J609" t="s">
        <v>3362</v>
      </c>
      <c r="K609" s="1">
        <v>3</v>
      </c>
      <c r="L609" t="s">
        <v>91</v>
      </c>
      <c r="M609" t="s">
        <v>70</v>
      </c>
      <c r="N609" t="s">
        <v>71</v>
      </c>
      <c r="P609" t="s">
        <v>72</v>
      </c>
      <c r="Q609" t="s">
        <v>427</v>
      </c>
      <c r="R609" t="s">
        <v>74</v>
      </c>
      <c r="S609" t="s">
        <v>3365</v>
      </c>
      <c r="T609" s="2">
        <v>752</v>
      </c>
      <c r="AF609" s="5">
        <v>11.1111</v>
      </c>
      <c r="AI609" s="1">
        <v>2</v>
      </c>
      <c r="AJ609" t="s">
        <v>81</v>
      </c>
      <c r="AK609" t="s">
        <v>82</v>
      </c>
      <c r="AL609" t="s">
        <v>83</v>
      </c>
      <c r="AS609" s="3">
        <v>117293.15</v>
      </c>
      <c r="AW609" t="s">
        <v>84</v>
      </c>
      <c r="BA609" s="1">
        <v>752</v>
      </c>
      <c r="BB609" s="1">
        <v>18</v>
      </c>
    </row>
    <row r="610" spans="1:59" x14ac:dyDescent="0.25">
      <c r="A610" t="s">
        <v>1242</v>
      </c>
      <c r="B610" t="s">
        <v>1243</v>
      </c>
      <c r="C610" s="1">
        <v>294</v>
      </c>
      <c r="D610" s="1">
        <v>1990</v>
      </c>
      <c r="E610" t="s">
        <v>64</v>
      </c>
      <c r="F610" t="s">
        <v>734</v>
      </c>
      <c r="G610" t="s">
        <v>735</v>
      </c>
      <c r="H610" t="s">
        <v>1244</v>
      </c>
      <c r="J610" t="s">
        <v>735</v>
      </c>
      <c r="K610" s="1">
        <v>3</v>
      </c>
      <c r="L610" t="s">
        <v>91</v>
      </c>
      <c r="M610" t="s">
        <v>70</v>
      </c>
      <c r="N610" t="s">
        <v>71</v>
      </c>
      <c r="P610" t="s">
        <v>72</v>
      </c>
      <c r="Q610" t="s">
        <v>73</v>
      </c>
      <c r="R610" t="s">
        <v>74</v>
      </c>
      <c r="S610" t="s">
        <v>1245</v>
      </c>
      <c r="T610" s="2">
        <v>605</v>
      </c>
      <c r="U610" s="3">
        <v>1.46</v>
      </c>
      <c r="V610" s="4">
        <v>885</v>
      </c>
      <c r="AF610" s="5">
        <v>6.4626000000000001</v>
      </c>
      <c r="AI610" s="1">
        <v>3</v>
      </c>
      <c r="AJ610" t="s">
        <v>81</v>
      </c>
      <c r="AK610" t="s">
        <v>82</v>
      </c>
      <c r="AL610" t="s">
        <v>83</v>
      </c>
      <c r="AM610" s="3">
        <v>1.31</v>
      </c>
      <c r="AN610" s="4">
        <v>947</v>
      </c>
      <c r="AO610" s="1">
        <v>725</v>
      </c>
      <c r="AS610" s="3">
        <v>0</v>
      </c>
      <c r="AT610" s="3">
        <v>1.85</v>
      </c>
      <c r="AU610" s="4">
        <v>785</v>
      </c>
      <c r="AV610" s="6">
        <v>425</v>
      </c>
      <c r="AW610" t="s">
        <v>84</v>
      </c>
      <c r="AY610" s="3">
        <v>1.43</v>
      </c>
      <c r="AZ610" s="4">
        <v>901</v>
      </c>
      <c r="BA610" s="1">
        <v>632</v>
      </c>
      <c r="BB610" s="1">
        <v>164</v>
      </c>
      <c r="BC610" s="1">
        <v>64</v>
      </c>
    </row>
    <row r="611" spans="1:59" x14ac:dyDescent="0.25">
      <c r="A611" t="s">
        <v>3366</v>
      </c>
      <c r="B611" t="s">
        <v>3367</v>
      </c>
      <c r="C611" s="1">
        <v>432</v>
      </c>
      <c r="D611" s="1">
        <v>1997</v>
      </c>
      <c r="E611" t="s">
        <v>64</v>
      </c>
      <c r="F611" t="s">
        <v>660</v>
      </c>
      <c r="G611" t="s">
        <v>2243</v>
      </c>
      <c r="H611" t="s">
        <v>3368</v>
      </c>
      <c r="I611" t="s">
        <v>3369</v>
      </c>
      <c r="J611" t="s">
        <v>2243</v>
      </c>
      <c r="K611" s="1">
        <v>4</v>
      </c>
      <c r="L611" t="s">
        <v>729</v>
      </c>
      <c r="M611" t="s">
        <v>70</v>
      </c>
      <c r="N611" t="s">
        <v>71</v>
      </c>
      <c r="P611" t="s">
        <v>72</v>
      </c>
      <c r="Q611" t="s">
        <v>1012</v>
      </c>
      <c r="R611" t="s">
        <v>74</v>
      </c>
      <c r="S611" t="s">
        <v>2246</v>
      </c>
      <c r="T611" s="2">
        <v>1036</v>
      </c>
      <c r="U611" s="3">
        <v>1.56</v>
      </c>
      <c r="V611" s="4">
        <v>1616</v>
      </c>
      <c r="AF611" s="5">
        <v>3.9352</v>
      </c>
      <c r="AI611" s="1">
        <v>3</v>
      </c>
      <c r="AJ611" t="s">
        <v>81</v>
      </c>
      <c r="AK611" t="s">
        <v>82</v>
      </c>
      <c r="AL611" t="s">
        <v>83</v>
      </c>
      <c r="AM611" s="3">
        <v>1.46</v>
      </c>
      <c r="AN611" s="4">
        <v>1646</v>
      </c>
      <c r="AO611" s="1">
        <v>1130</v>
      </c>
      <c r="AP611" s="3">
        <v>1.7</v>
      </c>
      <c r="AQ611" s="4">
        <v>2093</v>
      </c>
      <c r="AR611" s="1">
        <v>1231</v>
      </c>
      <c r="AS611" s="3">
        <v>1249092.92</v>
      </c>
      <c r="AW611" t="s">
        <v>84</v>
      </c>
      <c r="AY611" s="3">
        <v>1.82</v>
      </c>
      <c r="AZ611" s="4">
        <v>1343</v>
      </c>
      <c r="BA611" s="1">
        <v>736</v>
      </c>
      <c r="BB611" s="1">
        <v>114</v>
      </c>
      <c r="BC611" s="1">
        <v>270</v>
      </c>
      <c r="BD611" s="1">
        <v>48</v>
      </c>
      <c r="BF611" t="s">
        <v>3370</v>
      </c>
      <c r="BG611" t="s">
        <v>104</v>
      </c>
    </row>
    <row r="612" spans="1:59" x14ac:dyDescent="0.25">
      <c r="A612" t="s">
        <v>3371</v>
      </c>
      <c r="C612" s="1">
        <v>60</v>
      </c>
      <c r="D612" s="1">
        <v>2000</v>
      </c>
      <c r="E612" t="s">
        <v>64</v>
      </c>
      <c r="F612" t="s">
        <v>87</v>
      </c>
      <c r="G612" t="s">
        <v>3372</v>
      </c>
      <c r="I612" t="s">
        <v>3372</v>
      </c>
      <c r="K612" s="1">
        <v>4</v>
      </c>
      <c r="L612" t="s">
        <v>91</v>
      </c>
      <c r="M612" t="s">
        <v>70</v>
      </c>
      <c r="N612" t="s">
        <v>71</v>
      </c>
      <c r="P612" t="s">
        <v>72</v>
      </c>
      <c r="Q612" t="s">
        <v>73</v>
      </c>
      <c r="R612" t="s">
        <v>74</v>
      </c>
      <c r="S612" t="s">
        <v>2424</v>
      </c>
      <c r="AI612" s="1">
        <v>18</v>
      </c>
      <c r="AJ612" t="s">
        <v>81</v>
      </c>
      <c r="AK612" t="s">
        <v>82</v>
      </c>
      <c r="AL612" t="s">
        <v>83</v>
      </c>
      <c r="AS612" s="3">
        <v>181464.89</v>
      </c>
      <c r="AW612" t="s">
        <v>84</v>
      </c>
    </row>
    <row r="613" spans="1:59" x14ac:dyDescent="0.25">
      <c r="A613" t="s">
        <v>3373</v>
      </c>
      <c r="B613" t="s">
        <v>3374</v>
      </c>
      <c r="C613" s="1">
        <v>334</v>
      </c>
      <c r="D613" s="1">
        <v>1993</v>
      </c>
      <c r="E613" t="s">
        <v>64</v>
      </c>
      <c r="F613" t="s">
        <v>87</v>
      </c>
      <c r="G613" t="s">
        <v>801</v>
      </c>
      <c r="H613" t="s">
        <v>3375</v>
      </c>
      <c r="I613" t="s">
        <v>3376</v>
      </c>
      <c r="J613" t="s">
        <v>801</v>
      </c>
      <c r="K613" s="1">
        <v>5</v>
      </c>
      <c r="L613" t="s">
        <v>729</v>
      </c>
      <c r="M613" t="s">
        <v>70</v>
      </c>
      <c r="N613" t="s">
        <v>71</v>
      </c>
      <c r="P613" t="s">
        <v>72</v>
      </c>
      <c r="Q613" t="s">
        <v>73</v>
      </c>
      <c r="R613" t="s">
        <v>74</v>
      </c>
      <c r="S613" t="s">
        <v>92</v>
      </c>
      <c r="T613" s="2">
        <v>803</v>
      </c>
      <c r="U613" s="3">
        <v>2.54</v>
      </c>
      <c r="V613" s="4">
        <v>2038</v>
      </c>
      <c r="AF613" s="5">
        <v>4.7904</v>
      </c>
      <c r="AH613" s="1">
        <v>2008</v>
      </c>
      <c r="AI613" s="1">
        <v>8</v>
      </c>
      <c r="AJ613" t="s">
        <v>81</v>
      </c>
      <c r="AK613" t="s">
        <v>82</v>
      </c>
      <c r="AL613" t="s">
        <v>83</v>
      </c>
      <c r="AM613" s="3">
        <v>2.4700000000000002</v>
      </c>
      <c r="AN613" s="4">
        <v>2670</v>
      </c>
      <c r="AO613" s="1">
        <v>1081</v>
      </c>
      <c r="AS613" s="3">
        <v>1594880.99</v>
      </c>
      <c r="AT613" s="3">
        <v>3.14</v>
      </c>
      <c r="AU613" s="4">
        <v>1405</v>
      </c>
      <c r="AV613" s="6">
        <v>447</v>
      </c>
      <c r="AW613" t="s">
        <v>84</v>
      </c>
      <c r="AY613" s="3">
        <v>2.5499999999999998</v>
      </c>
      <c r="AZ613" s="4">
        <v>1826</v>
      </c>
      <c r="BA613" s="1">
        <v>716</v>
      </c>
      <c r="BB613" s="1">
        <v>226</v>
      </c>
      <c r="BC613" s="1">
        <v>92</v>
      </c>
    </row>
    <row r="614" spans="1:59" x14ac:dyDescent="0.25">
      <c r="A614" t="s">
        <v>3377</v>
      </c>
      <c r="B614" t="s">
        <v>3378</v>
      </c>
      <c r="C614" s="1">
        <v>120</v>
      </c>
      <c r="D614" s="1">
        <v>1996</v>
      </c>
      <c r="E614" t="s">
        <v>64</v>
      </c>
      <c r="F614" t="s">
        <v>211</v>
      </c>
      <c r="G614" t="s">
        <v>2296</v>
      </c>
      <c r="H614" t="s">
        <v>3379</v>
      </c>
      <c r="I614" t="s">
        <v>3380</v>
      </c>
      <c r="J614" t="s">
        <v>2296</v>
      </c>
      <c r="K614" s="1">
        <v>4</v>
      </c>
      <c r="L614" t="s">
        <v>91</v>
      </c>
      <c r="M614" t="s">
        <v>70</v>
      </c>
      <c r="N614" t="s">
        <v>71</v>
      </c>
      <c r="O614" t="s">
        <v>118</v>
      </c>
      <c r="P614" t="s">
        <v>72</v>
      </c>
      <c r="Q614" t="s">
        <v>215</v>
      </c>
      <c r="R614" t="s">
        <v>74</v>
      </c>
      <c r="S614" t="s">
        <v>216</v>
      </c>
      <c r="T614" s="2">
        <v>908</v>
      </c>
      <c r="U614" s="3">
        <v>1.3</v>
      </c>
      <c r="V614" s="4">
        <v>1177</v>
      </c>
      <c r="AF614" s="5">
        <v>11.666700000000001</v>
      </c>
      <c r="AI614" s="1">
        <v>2</v>
      </c>
      <c r="AJ614" t="s">
        <v>81</v>
      </c>
      <c r="AK614" t="s">
        <v>82</v>
      </c>
      <c r="AL614" t="s">
        <v>83</v>
      </c>
      <c r="AM614" s="3">
        <v>1.26</v>
      </c>
      <c r="AN614" s="4">
        <v>1200</v>
      </c>
      <c r="AO614" s="1">
        <v>950</v>
      </c>
      <c r="AP614" s="3">
        <v>1.3</v>
      </c>
      <c r="AQ614" s="4">
        <v>1400</v>
      </c>
      <c r="AR614" s="1">
        <v>1075</v>
      </c>
      <c r="AS614" s="3">
        <v>167926.44</v>
      </c>
      <c r="AW614" t="s">
        <v>84</v>
      </c>
      <c r="AY614" s="3">
        <v>1.33</v>
      </c>
      <c r="AZ614" s="4">
        <v>931</v>
      </c>
      <c r="BA614" s="1">
        <v>700</v>
      </c>
      <c r="BB614" s="1">
        <v>40</v>
      </c>
      <c r="BC614" s="1">
        <v>40</v>
      </c>
      <c r="BD614" s="1">
        <v>40</v>
      </c>
      <c r="BF614" t="s">
        <v>2670</v>
      </c>
      <c r="BG614" t="s">
        <v>104</v>
      </c>
    </row>
    <row r="615" spans="1:59" x14ac:dyDescent="0.25">
      <c r="A615" t="s">
        <v>3381</v>
      </c>
      <c r="B615" t="s">
        <v>3382</v>
      </c>
      <c r="C615" s="1">
        <v>358</v>
      </c>
      <c r="D615" s="1">
        <v>1993</v>
      </c>
      <c r="E615" t="s">
        <v>64</v>
      </c>
      <c r="F615" t="s">
        <v>514</v>
      </c>
      <c r="G615" t="s">
        <v>3383</v>
      </c>
      <c r="H615" t="s">
        <v>3384</v>
      </c>
      <c r="I615" t="s">
        <v>3385</v>
      </c>
      <c r="J615" t="s">
        <v>3383</v>
      </c>
      <c r="K615" s="1">
        <v>4</v>
      </c>
      <c r="L615" t="s">
        <v>91</v>
      </c>
      <c r="M615" t="s">
        <v>70</v>
      </c>
      <c r="N615" t="s">
        <v>71</v>
      </c>
      <c r="P615" t="s">
        <v>72</v>
      </c>
      <c r="Q615" t="s">
        <v>264</v>
      </c>
      <c r="R615" t="s">
        <v>74</v>
      </c>
      <c r="S615" t="s">
        <v>3386</v>
      </c>
      <c r="T615" s="2">
        <v>918</v>
      </c>
      <c r="U615" s="3">
        <v>1.7</v>
      </c>
      <c r="V615" s="4">
        <v>1564</v>
      </c>
      <c r="AF615" s="5">
        <v>12.2905</v>
      </c>
      <c r="AI615" s="1">
        <v>3</v>
      </c>
      <c r="AJ615" t="s">
        <v>81</v>
      </c>
      <c r="AK615" t="s">
        <v>82</v>
      </c>
      <c r="AL615" t="s">
        <v>83</v>
      </c>
      <c r="AM615" s="3">
        <v>1.62</v>
      </c>
      <c r="AN615" s="4">
        <v>1800</v>
      </c>
      <c r="AO615" s="1">
        <v>1112</v>
      </c>
      <c r="AP615" s="3">
        <v>1.56</v>
      </c>
      <c r="AQ615" s="4">
        <v>2162</v>
      </c>
      <c r="AR615" s="1">
        <v>1384</v>
      </c>
      <c r="AS615" s="3">
        <v>1189774.18</v>
      </c>
      <c r="AW615" t="s">
        <v>84</v>
      </c>
      <c r="AY615" s="3">
        <v>1.83</v>
      </c>
      <c r="AZ615" s="4">
        <v>1323</v>
      </c>
      <c r="BA615" s="1">
        <v>723</v>
      </c>
      <c r="BB615" s="1">
        <v>198</v>
      </c>
      <c r="BC615" s="1">
        <v>132</v>
      </c>
      <c r="BD615" s="1">
        <v>28</v>
      </c>
      <c r="BG615" t="s">
        <v>131</v>
      </c>
    </row>
    <row r="616" spans="1:59" x14ac:dyDescent="0.25">
      <c r="A616" t="s">
        <v>3387</v>
      </c>
      <c r="B616" t="s">
        <v>3388</v>
      </c>
      <c r="C616" s="1">
        <v>120</v>
      </c>
      <c r="D616" s="1">
        <v>1996</v>
      </c>
      <c r="E616" t="s">
        <v>64</v>
      </c>
      <c r="F616" t="s">
        <v>3389</v>
      </c>
      <c r="G616" t="s">
        <v>3390</v>
      </c>
      <c r="H616" t="s">
        <v>3388</v>
      </c>
      <c r="I616" t="s">
        <v>3391</v>
      </c>
      <c r="J616" t="s">
        <v>3390</v>
      </c>
      <c r="K616" s="1">
        <v>3</v>
      </c>
      <c r="L616" t="s">
        <v>91</v>
      </c>
      <c r="M616" t="s">
        <v>70</v>
      </c>
      <c r="N616" t="s">
        <v>71</v>
      </c>
      <c r="P616" t="s">
        <v>72</v>
      </c>
      <c r="Q616" t="s">
        <v>393</v>
      </c>
      <c r="R616" t="s">
        <v>74</v>
      </c>
      <c r="S616" t="s">
        <v>3392</v>
      </c>
      <c r="T616" s="2">
        <v>496</v>
      </c>
      <c r="AF616" s="5">
        <v>0.83330000000000004</v>
      </c>
      <c r="AI616" s="1">
        <v>3</v>
      </c>
      <c r="AJ616" t="s">
        <v>81</v>
      </c>
      <c r="AK616" t="s">
        <v>82</v>
      </c>
      <c r="AL616" t="s">
        <v>83</v>
      </c>
      <c r="AO616" s="1">
        <v>925</v>
      </c>
      <c r="AS616" s="3">
        <v>207774.55</v>
      </c>
      <c r="AV616" s="6">
        <v>363</v>
      </c>
      <c r="AW616" t="s">
        <v>84</v>
      </c>
      <c r="BA616" s="1">
        <v>659</v>
      </c>
      <c r="BB616" s="1">
        <v>35</v>
      </c>
      <c r="BC616" s="1">
        <v>10</v>
      </c>
      <c r="BG616" t="s">
        <v>131</v>
      </c>
    </row>
    <row r="617" spans="1:59" x14ac:dyDescent="0.25">
      <c r="A617" t="s">
        <v>3393</v>
      </c>
      <c r="B617" t="s">
        <v>3394</v>
      </c>
      <c r="C617" s="1">
        <v>76</v>
      </c>
      <c r="D617" s="1">
        <v>1998</v>
      </c>
      <c r="E617" t="s">
        <v>64</v>
      </c>
      <c r="F617" t="s">
        <v>638</v>
      </c>
      <c r="G617" t="s">
        <v>2594</v>
      </c>
      <c r="H617" t="s">
        <v>3395</v>
      </c>
      <c r="I617" t="s">
        <v>3396</v>
      </c>
      <c r="J617" t="s">
        <v>2594</v>
      </c>
      <c r="K617" s="1">
        <v>3</v>
      </c>
      <c r="L617" t="s">
        <v>91</v>
      </c>
      <c r="M617" t="s">
        <v>70</v>
      </c>
      <c r="N617" t="s">
        <v>71</v>
      </c>
      <c r="O617" t="s">
        <v>118</v>
      </c>
      <c r="P617" t="s">
        <v>72</v>
      </c>
      <c r="Q617" t="s">
        <v>2750</v>
      </c>
      <c r="R617" t="s">
        <v>74</v>
      </c>
      <c r="S617" t="s">
        <v>3397</v>
      </c>
      <c r="T617" s="2">
        <v>1022</v>
      </c>
      <c r="U617" s="3">
        <v>1.19</v>
      </c>
      <c r="V617" s="4">
        <v>1221</v>
      </c>
      <c r="AF617" s="5">
        <v>5.2632000000000003</v>
      </c>
      <c r="AH617" s="1">
        <v>2017</v>
      </c>
      <c r="AI617" s="1">
        <v>2</v>
      </c>
      <c r="AJ617" t="s">
        <v>81</v>
      </c>
      <c r="AK617" t="s">
        <v>82</v>
      </c>
      <c r="AL617" t="s">
        <v>83</v>
      </c>
      <c r="AM617" s="3">
        <v>1.1599999999999999</v>
      </c>
      <c r="AN617" s="4">
        <v>1181</v>
      </c>
      <c r="AO617" s="1">
        <v>1016</v>
      </c>
      <c r="AP617" s="3">
        <v>1.25</v>
      </c>
      <c r="AQ617" s="4">
        <v>1366</v>
      </c>
      <c r="AR617" s="1">
        <v>1096</v>
      </c>
      <c r="AS617" s="3">
        <v>81948.38</v>
      </c>
      <c r="AW617" t="s">
        <v>84</v>
      </c>
      <c r="AY617" s="3">
        <v>1.28</v>
      </c>
      <c r="AZ617" s="4">
        <v>974</v>
      </c>
      <c r="BA617" s="1">
        <v>760</v>
      </c>
      <c r="BB617" s="1">
        <v>5</v>
      </c>
      <c r="BC617" s="1">
        <v>49</v>
      </c>
      <c r="BD617" s="1">
        <v>22</v>
      </c>
    </row>
    <row r="618" spans="1:59" x14ac:dyDescent="0.25">
      <c r="A618" t="s">
        <v>3398</v>
      </c>
      <c r="B618" t="s">
        <v>3399</v>
      </c>
      <c r="C618" s="1">
        <v>179</v>
      </c>
      <c r="D618" s="1">
        <v>1995</v>
      </c>
      <c r="E618" t="s">
        <v>64</v>
      </c>
      <c r="F618" t="s">
        <v>734</v>
      </c>
      <c r="K618" s="1">
        <v>3</v>
      </c>
      <c r="L618" t="s">
        <v>91</v>
      </c>
      <c r="M618" t="s">
        <v>70</v>
      </c>
      <c r="N618" t="s">
        <v>71</v>
      </c>
      <c r="P618" t="s">
        <v>72</v>
      </c>
      <c r="Q618" t="s">
        <v>73</v>
      </c>
      <c r="R618" t="s">
        <v>74</v>
      </c>
      <c r="S618" t="s">
        <v>3400</v>
      </c>
      <c r="AI618" s="1">
        <v>2</v>
      </c>
      <c r="AJ618" t="s">
        <v>81</v>
      </c>
      <c r="AK618" t="s">
        <v>82</v>
      </c>
      <c r="AL618" t="s">
        <v>83</v>
      </c>
      <c r="AS618" s="3">
        <v>60653.42</v>
      </c>
      <c r="AW618" t="s">
        <v>84</v>
      </c>
    </row>
    <row r="619" spans="1:59" x14ac:dyDescent="0.25">
      <c r="A619" t="s">
        <v>3401</v>
      </c>
      <c r="B619" t="s">
        <v>3402</v>
      </c>
      <c r="C619" s="1">
        <v>228</v>
      </c>
      <c r="D619" s="1">
        <v>1999</v>
      </c>
      <c r="E619" t="s">
        <v>64</v>
      </c>
      <c r="F619" t="s">
        <v>409</v>
      </c>
      <c r="G619" t="s">
        <v>3403</v>
      </c>
      <c r="H619" t="s">
        <v>3404</v>
      </c>
      <c r="I619" t="s">
        <v>3405</v>
      </c>
      <c r="J619" t="s">
        <v>3403</v>
      </c>
      <c r="K619" s="1">
        <v>3</v>
      </c>
      <c r="L619" t="s">
        <v>91</v>
      </c>
      <c r="M619" t="s">
        <v>70</v>
      </c>
      <c r="N619" t="s">
        <v>71</v>
      </c>
      <c r="P619" t="s">
        <v>72</v>
      </c>
      <c r="Q619" t="s">
        <v>110</v>
      </c>
      <c r="R619" t="s">
        <v>74</v>
      </c>
      <c r="S619" t="s">
        <v>3406</v>
      </c>
      <c r="T619" s="2">
        <v>878</v>
      </c>
      <c r="U619" s="3">
        <v>1.58</v>
      </c>
      <c r="V619" s="4">
        <v>1390</v>
      </c>
      <c r="AF619" s="5">
        <v>6.5789</v>
      </c>
      <c r="AI619" s="1">
        <v>3</v>
      </c>
      <c r="AJ619" t="s">
        <v>81</v>
      </c>
      <c r="AK619" t="s">
        <v>82</v>
      </c>
      <c r="AL619" t="s">
        <v>83</v>
      </c>
      <c r="AM619" s="3">
        <v>1.5</v>
      </c>
      <c r="AN619" s="4">
        <v>1432</v>
      </c>
      <c r="AO619" s="1">
        <v>955</v>
      </c>
      <c r="AP619" s="3">
        <v>1.47</v>
      </c>
      <c r="AQ619" s="4">
        <v>1817</v>
      </c>
      <c r="AR619" s="1">
        <v>1234</v>
      </c>
      <c r="AS619" s="3">
        <v>771613.44</v>
      </c>
      <c r="AW619" t="s">
        <v>84</v>
      </c>
      <c r="AY619" s="3">
        <v>1.71</v>
      </c>
      <c r="AZ619" s="4">
        <v>1201</v>
      </c>
      <c r="BA619" s="1">
        <v>703</v>
      </c>
      <c r="BB619" s="1">
        <v>96</v>
      </c>
      <c r="BC619" s="1">
        <v>108</v>
      </c>
      <c r="BD619" s="1">
        <v>24</v>
      </c>
      <c r="BF619" t="s">
        <v>774</v>
      </c>
      <c r="BG619" t="s">
        <v>131</v>
      </c>
    </row>
    <row r="620" spans="1:59" x14ac:dyDescent="0.25">
      <c r="A620" t="s">
        <v>3407</v>
      </c>
      <c r="B620" t="s">
        <v>3408</v>
      </c>
      <c r="C620" s="1">
        <v>135</v>
      </c>
      <c r="D620" s="1">
        <v>1999</v>
      </c>
      <c r="E620" t="s">
        <v>64</v>
      </c>
      <c r="F620" t="s">
        <v>140</v>
      </c>
      <c r="G620" t="s">
        <v>2875</v>
      </c>
      <c r="H620" t="s">
        <v>3409</v>
      </c>
      <c r="I620" t="s">
        <v>3410</v>
      </c>
      <c r="J620" t="s">
        <v>2875</v>
      </c>
      <c r="K620" s="1">
        <v>4</v>
      </c>
      <c r="L620" t="s">
        <v>91</v>
      </c>
      <c r="M620" t="s">
        <v>70</v>
      </c>
      <c r="N620" t="s">
        <v>71</v>
      </c>
      <c r="O620" t="s">
        <v>118</v>
      </c>
      <c r="P620" t="s">
        <v>72</v>
      </c>
      <c r="Q620" t="s">
        <v>140</v>
      </c>
      <c r="R620" t="s">
        <v>74</v>
      </c>
      <c r="S620" t="s">
        <v>165</v>
      </c>
      <c r="T620" s="2">
        <v>824</v>
      </c>
      <c r="U620" s="3">
        <v>1.6</v>
      </c>
      <c r="V620" s="4">
        <v>1318</v>
      </c>
      <c r="AF620" s="5">
        <v>4.4443999999999999</v>
      </c>
      <c r="AI620" s="1">
        <v>3</v>
      </c>
      <c r="AJ620" t="s">
        <v>81</v>
      </c>
      <c r="AK620" t="s">
        <v>82</v>
      </c>
      <c r="AL620" t="s">
        <v>83</v>
      </c>
      <c r="AM620" s="3">
        <v>1.6</v>
      </c>
      <c r="AN620" s="4">
        <v>1523</v>
      </c>
      <c r="AO620" s="1">
        <v>952</v>
      </c>
      <c r="AS620" s="3">
        <v>151477.78</v>
      </c>
      <c r="AW620" t="s">
        <v>84</v>
      </c>
      <c r="AY620" s="3">
        <v>1.59</v>
      </c>
      <c r="AZ620" s="4">
        <v>1037</v>
      </c>
      <c r="BA620" s="1">
        <v>650</v>
      </c>
      <c r="BB620" s="1">
        <v>57</v>
      </c>
      <c r="BC620" s="1">
        <v>78</v>
      </c>
    </row>
    <row r="621" spans="1:59" x14ac:dyDescent="0.25">
      <c r="A621" t="s">
        <v>3411</v>
      </c>
      <c r="B621" t="s">
        <v>3412</v>
      </c>
      <c r="C621" s="1">
        <v>328</v>
      </c>
      <c r="D621" s="1">
        <v>1998</v>
      </c>
      <c r="E621" t="s">
        <v>64</v>
      </c>
      <c r="F621" t="s">
        <v>3413</v>
      </c>
      <c r="G621" t="s">
        <v>1277</v>
      </c>
      <c r="H621" t="s">
        <v>3414</v>
      </c>
      <c r="I621" t="s">
        <v>3415</v>
      </c>
      <c r="J621" t="s">
        <v>1277</v>
      </c>
      <c r="K621" s="1">
        <v>4</v>
      </c>
      <c r="L621" t="s">
        <v>729</v>
      </c>
      <c r="M621" t="s">
        <v>70</v>
      </c>
      <c r="N621" t="s">
        <v>71</v>
      </c>
      <c r="P621" t="s">
        <v>72</v>
      </c>
      <c r="Q621" t="s">
        <v>3413</v>
      </c>
      <c r="R621" t="s">
        <v>74</v>
      </c>
      <c r="S621" t="s">
        <v>3416</v>
      </c>
      <c r="T621" s="2">
        <v>932</v>
      </c>
      <c r="U621" s="3">
        <v>1.67</v>
      </c>
      <c r="V621" s="4">
        <v>1556</v>
      </c>
      <c r="AF621" s="5">
        <v>7.9268000000000001</v>
      </c>
      <c r="AH621" s="1">
        <v>2016</v>
      </c>
      <c r="AI621" s="1">
        <v>3</v>
      </c>
      <c r="AJ621" t="s">
        <v>81</v>
      </c>
      <c r="AK621" t="s">
        <v>82</v>
      </c>
      <c r="AL621" t="s">
        <v>83</v>
      </c>
      <c r="AM621" s="3">
        <v>1.59</v>
      </c>
      <c r="AN621" s="4">
        <v>1667</v>
      </c>
      <c r="AO621" s="1">
        <v>1047</v>
      </c>
      <c r="AP621" s="3">
        <v>1.62</v>
      </c>
      <c r="AQ621" s="4">
        <v>2125</v>
      </c>
      <c r="AR621" s="1">
        <v>1314</v>
      </c>
      <c r="AS621" s="3">
        <v>0</v>
      </c>
      <c r="AW621" t="s">
        <v>84</v>
      </c>
      <c r="AY621" s="3">
        <v>1.79</v>
      </c>
      <c r="AZ621" s="4">
        <v>1326</v>
      </c>
      <c r="BA621" s="1">
        <v>740</v>
      </c>
      <c r="BB621" s="1">
        <v>150</v>
      </c>
      <c r="BC621" s="1">
        <v>146</v>
      </c>
      <c r="BD621" s="1">
        <v>32</v>
      </c>
      <c r="BF621" t="s">
        <v>203</v>
      </c>
      <c r="BG621" t="s">
        <v>104</v>
      </c>
    </row>
    <row r="622" spans="1:59" x14ac:dyDescent="0.25">
      <c r="A622" t="s">
        <v>3417</v>
      </c>
      <c r="B622" t="s">
        <v>3418</v>
      </c>
      <c r="C622" s="1">
        <v>338</v>
      </c>
      <c r="D622" s="1">
        <v>1993</v>
      </c>
      <c r="E622" t="s">
        <v>64</v>
      </c>
      <c r="F622" t="s">
        <v>140</v>
      </c>
      <c r="G622" t="s">
        <v>3419</v>
      </c>
      <c r="H622" t="s">
        <v>3420</v>
      </c>
      <c r="I622" t="s">
        <v>3421</v>
      </c>
      <c r="J622" t="s">
        <v>3419</v>
      </c>
      <c r="K622" s="1">
        <v>4</v>
      </c>
      <c r="L622" t="s">
        <v>91</v>
      </c>
      <c r="M622" t="s">
        <v>70</v>
      </c>
      <c r="N622" t="s">
        <v>71</v>
      </c>
      <c r="P622" t="s">
        <v>72</v>
      </c>
      <c r="Q622" t="s">
        <v>140</v>
      </c>
      <c r="R622" t="s">
        <v>74</v>
      </c>
      <c r="S622" t="s">
        <v>1351</v>
      </c>
      <c r="T622" s="2">
        <v>912</v>
      </c>
      <c r="U622" s="3">
        <v>1.64</v>
      </c>
      <c r="V622" s="4">
        <v>1493</v>
      </c>
      <c r="AF622" s="5">
        <v>7.9882</v>
      </c>
      <c r="AI622" s="1">
        <v>3</v>
      </c>
      <c r="AJ622" t="s">
        <v>81</v>
      </c>
      <c r="AK622" t="s">
        <v>82</v>
      </c>
      <c r="AL622" t="s">
        <v>83</v>
      </c>
      <c r="AM622" s="3">
        <v>1.48</v>
      </c>
      <c r="AN622" s="4">
        <v>1646</v>
      </c>
      <c r="AO622" s="1">
        <v>1110</v>
      </c>
      <c r="AP622" s="3">
        <v>2.08</v>
      </c>
      <c r="AQ622" s="4">
        <v>2743</v>
      </c>
      <c r="AR622" s="1">
        <v>1318</v>
      </c>
      <c r="AS622" s="3">
        <v>725210.36</v>
      </c>
      <c r="AW622" t="s">
        <v>84</v>
      </c>
      <c r="AY622" s="3">
        <v>1.96</v>
      </c>
      <c r="AZ622" s="4">
        <v>1479</v>
      </c>
      <c r="BA622" s="1">
        <v>753</v>
      </c>
      <c r="BB622" s="1">
        <v>194</v>
      </c>
      <c r="BC622" s="1">
        <v>132</v>
      </c>
      <c r="BD622" s="1">
        <v>12</v>
      </c>
    </row>
    <row r="623" spans="1:59" x14ac:dyDescent="0.25">
      <c r="A623" t="s">
        <v>3422</v>
      </c>
      <c r="B623" t="s">
        <v>3423</v>
      </c>
      <c r="C623" s="1">
        <v>260</v>
      </c>
      <c r="D623" s="1">
        <v>1998</v>
      </c>
      <c r="E623" t="s">
        <v>64</v>
      </c>
      <c r="F623" t="s">
        <v>756</v>
      </c>
      <c r="G623" t="s">
        <v>3424</v>
      </c>
      <c r="H623" t="s">
        <v>3425</v>
      </c>
      <c r="I623" t="s">
        <v>3426</v>
      </c>
      <c r="J623" t="s">
        <v>3424</v>
      </c>
      <c r="K623" s="1">
        <v>4</v>
      </c>
      <c r="L623" t="s">
        <v>729</v>
      </c>
      <c r="M623" t="s">
        <v>70</v>
      </c>
      <c r="N623" t="s">
        <v>71</v>
      </c>
      <c r="P623" t="s">
        <v>72</v>
      </c>
      <c r="Q623" t="s">
        <v>73</v>
      </c>
      <c r="R623" t="s">
        <v>74</v>
      </c>
      <c r="S623" t="s">
        <v>3427</v>
      </c>
      <c r="T623" s="2">
        <v>911</v>
      </c>
      <c r="U623" s="3">
        <v>1.62</v>
      </c>
      <c r="V623" s="4">
        <v>1477</v>
      </c>
      <c r="AF623" s="5">
        <v>8.4614999999999991</v>
      </c>
      <c r="AI623" s="1">
        <v>4</v>
      </c>
      <c r="AJ623" t="s">
        <v>81</v>
      </c>
      <c r="AK623" t="s">
        <v>82</v>
      </c>
      <c r="AL623" t="s">
        <v>83</v>
      </c>
      <c r="AM623" s="3">
        <v>1.57</v>
      </c>
      <c r="AN623" s="4">
        <v>1692</v>
      </c>
      <c r="AO623" s="1">
        <v>1078</v>
      </c>
      <c r="AP623" s="3">
        <v>1.51</v>
      </c>
      <c r="AQ623" s="4">
        <v>1968</v>
      </c>
      <c r="AR623" s="1">
        <v>1300</v>
      </c>
      <c r="AS623" s="3">
        <v>1101207.6499999999</v>
      </c>
      <c r="AW623" t="s">
        <v>84</v>
      </c>
      <c r="AY623" s="3">
        <v>1.71</v>
      </c>
      <c r="AZ623" s="4">
        <v>1235</v>
      </c>
      <c r="BA623" s="1">
        <v>721</v>
      </c>
      <c r="BB623" s="1">
        <v>136</v>
      </c>
      <c r="BC623" s="1">
        <v>100</v>
      </c>
      <c r="BD623" s="1">
        <v>24</v>
      </c>
      <c r="BF623" t="s">
        <v>2198</v>
      </c>
      <c r="BG623" t="s">
        <v>131</v>
      </c>
    </row>
    <row r="624" spans="1:59" x14ac:dyDescent="0.25">
      <c r="A624" t="s">
        <v>3428</v>
      </c>
      <c r="B624" t="s">
        <v>3429</v>
      </c>
      <c r="C624" s="1">
        <v>176</v>
      </c>
      <c r="D624" s="1">
        <v>1995</v>
      </c>
      <c r="E624" t="s">
        <v>64</v>
      </c>
      <c r="F624" t="s">
        <v>734</v>
      </c>
      <c r="K624" s="1">
        <v>3</v>
      </c>
      <c r="L624" t="s">
        <v>91</v>
      </c>
      <c r="M624" t="s">
        <v>70</v>
      </c>
      <c r="N624" t="s">
        <v>71</v>
      </c>
      <c r="P624" t="s">
        <v>72</v>
      </c>
      <c r="Q624" t="s">
        <v>73</v>
      </c>
      <c r="R624" t="s">
        <v>74</v>
      </c>
      <c r="S624" t="s">
        <v>730</v>
      </c>
      <c r="AI624" s="1">
        <v>2</v>
      </c>
      <c r="AJ624" t="s">
        <v>81</v>
      </c>
      <c r="AK624" t="s">
        <v>82</v>
      </c>
      <c r="AL624" t="s">
        <v>83</v>
      </c>
      <c r="AS624" s="3">
        <v>67821.75</v>
      </c>
      <c r="AW624" t="s">
        <v>84</v>
      </c>
      <c r="BC624" s="1">
        <v>176</v>
      </c>
    </row>
    <row r="625" spans="1:62" x14ac:dyDescent="0.25">
      <c r="A625" t="s">
        <v>3430</v>
      </c>
      <c r="B625" t="s">
        <v>3431</v>
      </c>
      <c r="C625" s="1">
        <v>211</v>
      </c>
      <c r="D625" s="1">
        <v>1999</v>
      </c>
      <c r="E625" t="s">
        <v>64</v>
      </c>
      <c r="F625" t="s">
        <v>1761</v>
      </c>
      <c r="G625" t="s">
        <v>2231</v>
      </c>
      <c r="H625" t="s">
        <v>3432</v>
      </c>
      <c r="I625" t="s">
        <v>3433</v>
      </c>
      <c r="J625" t="s">
        <v>2231</v>
      </c>
      <c r="K625" s="1">
        <v>4</v>
      </c>
      <c r="L625" t="s">
        <v>91</v>
      </c>
      <c r="M625" t="s">
        <v>3434</v>
      </c>
      <c r="N625" t="s">
        <v>71</v>
      </c>
      <c r="P625" t="s">
        <v>72</v>
      </c>
      <c r="Q625" t="s">
        <v>73</v>
      </c>
      <c r="R625" t="s">
        <v>74</v>
      </c>
      <c r="S625" t="s">
        <v>3435</v>
      </c>
      <c r="T625" s="2">
        <v>1033</v>
      </c>
      <c r="U625" s="3">
        <v>2.3199999999999998</v>
      </c>
      <c r="V625" s="4">
        <v>2395</v>
      </c>
      <c r="AF625" s="5">
        <v>2.8435999999999999</v>
      </c>
      <c r="AI625" s="1">
        <v>5</v>
      </c>
      <c r="AJ625" t="s">
        <v>81</v>
      </c>
      <c r="AK625" t="s">
        <v>82</v>
      </c>
      <c r="AL625" t="s">
        <v>83</v>
      </c>
      <c r="AM625" s="3">
        <v>2.42</v>
      </c>
      <c r="AN625" s="4">
        <v>3860</v>
      </c>
      <c r="AO625" s="1">
        <v>1598</v>
      </c>
      <c r="AS625" s="3">
        <v>1579691.93</v>
      </c>
      <c r="AW625" t="s">
        <v>84</v>
      </c>
      <c r="AY625" s="3">
        <v>2.2999999999999998</v>
      </c>
      <c r="AZ625" s="4">
        <v>2207</v>
      </c>
      <c r="BA625" s="1">
        <v>961</v>
      </c>
      <c r="BB625" s="1">
        <v>187</v>
      </c>
      <c r="BC625" s="1">
        <v>24</v>
      </c>
      <c r="BF625" t="s">
        <v>3436</v>
      </c>
      <c r="BG625" t="s">
        <v>131</v>
      </c>
    </row>
    <row r="626" spans="1:62" x14ac:dyDescent="0.25">
      <c r="A626" t="s">
        <v>3437</v>
      </c>
      <c r="B626" t="s">
        <v>3438</v>
      </c>
      <c r="C626" s="1">
        <v>452</v>
      </c>
      <c r="D626" s="1">
        <v>1998</v>
      </c>
      <c r="E626" t="s">
        <v>64</v>
      </c>
      <c r="F626" t="s">
        <v>1761</v>
      </c>
      <c r="G626" t="s">
        <v>397</v>
      </c>
      <c r="H626" t="s">
        <v>3439</v>
      </c>
      <c r="I626" t="s">
        <v>3440</v>
      </c>
      <c r="J626" t="s">
        <v>397</v>
      </c>
      <c r="K626" s="1">
        <v>5</v>
      </c>
      <c r="L626" t="s">
        <v>729</v>
      </c>
      <c r="M626" t="s">
        <v>70</v>
      </c>
      <c r="N626" t="s">
        <v>71</v>
      </c>
      <c r="P626" t="s">
        <v>72</v>
      </c>
      <c r="Q626" t="s">
        <v>73</v>
      </c>
      <c r="R626" t="s">
        <v>74</v>
      </c>
      <c r="S626" t="s">
        <v>3441</v>
      </c>
      <c r="T626" s="2">
        <v>916</v>
      </c>
      <c r="U626" s="3">
        <v>1.68</v>
      </c>
      <c r="V626" s="4">
        <v>1538</v>
      </c>
      <c r="AF626" s="5">
        <v>14.1593</v>
      </c>
      <c r="AH626" s="1">
        <v>2019</v>
      </c>
      <c r="AI626" s="1">
        <v>4</v>
      </c>
      <c r="AJ626" t="s">
        <v>81</v>
      </c>
      <c r="AK626" t="s">
        <v>82</v>
      </c>
      <c r="AL626" t="s">
        <v>83</v>
      </c>
      <c r="AM626" s="3">
        <v>1.6</v>
      </c>
      <c r="AN626" s="4">
        <v>1841</v>
      </c>
      <c r="AO626" s="1">
        <v>1149</v>
      </c>
      <c r="AP626" s="3">
        <v>1.67</v>
      </c>
      <c r="AQ626" s="4">
        <v>2849</v>
      </c>
      <c r="AR626" s="1">
        <v>1711</v>
      </c>
      <c r="AS626" s="3">
        <v>2219196.14</v>
      </c>
      <c r="AT626" s="3">
        <v>2.37</v>
      </c>
      <c r="AU626" s="4">
        <v>1162</v>
      </c>
      <c r="AV626" s="6">
        <v>491</v>
      </c>
      <c r="AW626" t="s">
        <v>84</v>
      </c>
      <c r="AY626" s="3">
        <v>1.71</v>
      </c>
      <c r="AZ626" s="4">
        <v>1347</v>
      </c>
      <c r="BA626" s="1">
        <v>787</v>
      </c>
      <c r="BB626" s="1">
        <v>268</v>
      </c>
      <c r="BC626" s="1">
        <v>146</v>
      </c>
      <c r="BD626" s="1">
        <v>14</v>
      </c>
      <c r="BF626" t="s">
        <v>679</v>
      </c>
      <c r="BG626" t="s">
        <v>104</v>
      </c>
    </row>
    <row r="627" spans="1:62" x14ac:dyDescent="0.25">
      <c r="A627" t="s">
        <v>3442</v>
      </c>
      <c r="B627" t="s">
        <v>3443</v>
      </c>
      <c r="C627" s="1">
        <v>91</v>
      </c>
      <c r="D627" s="1">
        <v>1993</v>
      </c>
      <c r="E627" t="s">
        <v>64</v>
      </c>
      <c r="F627" t="s">
        <v>156</v>
      </c>
      <c r="G627" t="s">
        <v>866</v>
      </c>
      <c r="H627" t="s">
        <v>3444</v>
      </c>
      <c r="I627" t="s">
        <v>3445</v>
      </c>
      <c r="J627" t="s">
        <v>866</v>
      </c>
      <c r="K627" s="1">
        <v>2</v>
      </c>
      <c r="L627" t="s">
        <v>69</v>
      </c>
      <c r="M627" t="s">
        <v>70</v>
      </c>
      <c r="N627" t="s">
        <v>127</v>
      </c>
      <c r="P627" t="s">
        <v>72</v>
      </c>
      <c r="Q627" t="s">
        <v>862</v>
      </c>
      <c r="R627" t="s">
        <v>74</v>
      </c>
      <c r="S627" t="s">
        <v>869</v>
      </c>
      <c r="AF627" s="5">
        <v>10.989000000000001</v>
      </c>
      <c r="AI627" s="1">
        <v>1</v>
      </c>
      <c r="AJ627" t="s">
        <v>81</v>
      </c>
      <c r="AK627" t="s">
        <v>82</v>
      </c>
      <c r="AL627" t="s">
        <v>83</v>
      </c>
      <c r="AS627" s="3">
        <v>178020.76</v>
      </c>
      <c r="AW627" t="s">
        <v>84</v>
      </c>
      <c r="BG627" t="s">
        <v>131</v>
      </c>
    </row>
    <row r="628" spans="1:62" x14ac:dyDescent="0.25">
      <c r="A628" t="s">
        <v>3446</v>
      </c>
      <c r="B628" t="s">
        <v>3447</v>
      </c>
      <c r="C628" s="1">
        <v>236</v>
      </c>
      <c r="D628" s="1">
        <v>1994</v>
      </c>
      <c r="E628" t="s">
        <v>64</v>
      </c>
      <c r="F628" t="s">
        <v>177</v>
      </c>
      <c r="G628" t="s">
        <v>575</v>
      </c>
      <c r="H628" t="s">
        <v>3448</v>
      </c>
      <c r="I628" t="s">
        <v>3449</v>
      </c>
      <c r="J628" t="s">
        <v>575</v>
      </c>
      <c r="K628" s="1">
        <v>3</v>
      </c>
      <c r="L628" t="s">
        <v>91</v>
      </c>
      <c r="M628" t="s">
        <v>70</v>
      </c>
      <c r="N628" t="s">
        <v>71</v>
      </c>
      <c r="P628" t="s">
        <v>72</v>
      </c>
      <c r="Q628" t="s">
        <v>172</v>
      </c>
      <c r="R628" t="s">
        <v>74</v>
      </c>
      <c r="S628" t="s">
        <v>3450</v>
      </c>
      <c r="T628" s="2">
        <v>945</v>
      </c>
      <c r="U628" s="3">
        <v>1.36</v>
      </c>
      <c r="V628" s="4">
        <v>1289</v>
      </c>
      <c r="AF628" s="5">
        <v>9.3219999999999992</v>
      </c>
      <c r="AI628" s="1">
        <v>2</v>
      </c>
      <c r="AJ628" t="s">
        <v>81</v>
      </c>
      <c r="AK628" t="s">
        <v>82</v>
      </c>
      <c r="AL628" t="s">
        <v>83</v>
      </c>
      <c r="AM628" s="3">
        <v>1.24</v>
      </c>
      <c r="AN628" s="4">
        <v>1372</v>
      </c>
      <c r="AO628" s="1">
        <v>1104</v>
      </c>
      <c r="AP628" s="3">
        <v>1.44</v>
      </c>
      <c r="AQ628" s="4">
        <v>1825</v>
      </c>
      <c r="AR628" s="1">
        <v>1271</v>
      </c>
      <c r="AS628" s="3">
        <v>467686.14</v>
      </c>
      <c r="AW628" t="s">
        <v>84</v>
      </c>
      <c r="AY628" s="3">
        <v>1.48</v>
      </c>
      <c r="AZ628" s="4">
        <v>1025</v>
      </c>
      <c r="BA628" s="1">
        <v>692</v>
      </c>
      <c r="BB628" s="1">
        <v>106</v>
      </c>
      <c r="BC628" s="1">
        <v>92</v>
      </c>
      <c r="BD628" s="1">
        <v>38</v>
      </c>
    </row>
    <row r="629" spans="1:62" x14ac:dyDescent="0.25">
      <c r="A629" t="s">
        <v>3451</v>
      </c>
      <c r="B629" t="s">
        <v>3452</v>
      </c>
      <c r="C629" s="1">
        <v>301</v>
      </c>
      <c r="D629" s="1">
        <v>1997</v>
      </c>
      <c r="E629" t="s">
        <v>64</v>
      </c>
      <c r="F629" t="s">
        <v>3453</v>
      </c>
      <c r="G629" t="s">
        <v>3454</v>
      </c>
      <c r="H629" t="s">
        <v>3455</v>
      </c>
      <c r="I629" t="s">
        <v>3456</v>
      </c>
      <c r="J629" t="s">
        <v>3454</v>
      </c>
      <c r="K629" s="1">
        <v>4</v>
      </c>
      <c r="L629" t="s">
        <v>729</v>
      </c>
      <c r="M629" t="s">
        <v>70</v>
      </c>
      <c r="N629" t="s">
        <v>71</v>
      </c>
      <c r="P629" t="s">
        <v>72</v>
      </c>
      <c r="Q629" t="s">
        <v>73</v>
      </c>
      <c r="R629" t="s">
        <v>74</v>
      </c>
      <c r="S629" t="s">
        <v>2872</v>
      </c>
      <c r="T629" s="2">
        <v>1076</v>
      </c>
      <c r="U629" s="3">
        <v>1.64</v>
      </c>
      <c r="V629" s="4">
        <v>1770</v>
      </c>
      <c r="AF629" s="5">
        <v>13.6213</v>
      </c>
      <c r="AI629" s="1">
        <v>3</v>
      </c>
      <c r="AJ629" t="s">
        <v>81</v>
      </c>
      <c r="AK629" t="s">
        <v>82</v>
      </c>
      <c r="AL629" t="s">
        <v>83</v>
      </c>
      <c r="AM629" s="3">
        <v>1.66</v>
      </c>
      <c r="AN629" s="4">
        <v>2082</v>
      </c>
      <c r="AO629" s="1">
        <v>1253</v>
      </c>
      <c r="AP629" s="3">
        <v>1.57</v>
      </c>
      <c r="AQ629" s="4">
        <v>2432</v>
      </c>
      <c r="AR629" s="1">
        <v>1553</v>
      </c>
      <c r="AS629" s="3">
        <v>1387841.89</v>
      </c>
      <c r="AW629" t="s">
        <v>84</v>
      </c>
      <c r="AY629" s="3">
        <v>1.68</v>
      </c>
      <c r="AZ629" s="4">
        <v>1394</v>
      </c>
      <c r="BA629" s="1">
        <v>829</v>
      </c>
      <c r="BB629" s="1">
        <v>165</v>
      </c>
      <c r="BC629" s="1">
        <v>80</v>
      </c>
      <c r="BD629" s="1">
        <v>56</v>
      </c>
      <c r="BF629" t="s">
        <v>650</v>
      </c>
      <c r="BG629" t="s">
        <v>104</v>
      </c>
    </row>
    <row r="630" spans="1:62" x14ac:dyDescent="0.25">
      <c r="A630" t="s">
        <v>3457</v>
      </c>
      <c r="B630" t="s">
        <v>3458</v>
      </c>
      <c r="C630" s="1">
        <v>662</v>
      </c>
      <c r="D630" s="1">
        <v>1994</v>
      </c>
      <c r="E630" t="s">
        <v>64</v>
      </c>
      <c r="F630" t="s">
        <v>269</v>
      </c>
      <c r="G630" t="s">
        <v>478</v>
      </c>
      <c r="H630" t="s">
        <v>3459</v>
      </c>
      <c r="J630" t="s">
        <v>478</v>
      </c>
      <c r="K630" s="1">
        <v>5</v>
      </c>
      <c r="L630" t="s">
        <v>729</v>
      </c>
      <c r="M630" t="s">
        <v>70</v>
      </c>
      <c r="N630" t="s">
        <v>71</v>
      </c>
      <c r="P630" t="s">
        <v>72</v>
      </c>
      <c r="Q630" t="s">
        <v>73</v>
      </c>
      <c r="R630" t="s">
        <v>74</v>
      </c>
      <c r="S630" t="s">
        <v>1551</v>
      </c>
      <c r="T630" s="2">
        <v>886</v>
      </c>
      <c r="U630" s="3">
        <v>1.62</v>
      </c>
      <c r="V630" s="4">
        <v>1436</v>
      </c>
      <c r="AF630" s="5">
        <v>12.537800000000001</v>
      </c>
      <c r="AI630" s="1">
        <v>3</v>
      </c>
      <c r="AJ630" t="s">
        <v>81</v>
      </c>
      <c r="AK630" t="s">
        <v>82</v>
      </c>
      <c r="AL630" t="s">
        <v>83</v>
      </c>
      <c r="AM630" s="3">
        <v>1.55</v>
      </c>
      <c r="AN630" s="4">
        <v>1653</v>
      </c>
      <c r="AO630" s="1">
        <v>1068</v>
      </c>
      <c r="AP630" s="3">
        <v>1.72</v>
      </c>
      <c r="AQ630" s="4">
        <v>2377</v>
      </c>
      <c r="AR630" s="1">
        <v>1384</v>
      </c>
      <c r="AS630" s="3">
        <v>0</v>
      </c>
      <c r="AW630" t="s">
        <v>84</v>
      </c>
      <c r="AY630" s="3">
        <v>1.7</v>
      </c>
      <c r="AZ630" s="4">
        <v>1201</v>
      </c>
      <c r="BA630" s="1">
        <v>706</v>
      </c>
      <c r="BB630" s="1">
        <v>350</v>
      </c>
      <c r="BC630" s="1">
        <v>292</v>
      </c>
      <c r="BD630" s="1">
        <v>20</v>
      </c>
    </row>
    <row r="631" spans="1:62" x14ac:dyDescent="0.25">
      <c r="A631" t="s">
        <v>3460</v>
      </c>
      <c r="B631" t="s">
        <v>3461</v>
      </c>
      <c r="C631" s="1">
        <v>543</v>
      </c>
      <c r="D631" s="1">
        <v>1995</v>
      </c>
      <c r="E631" t="s">
        <v>64</v>
      </c>
      <c r="F631" t="s">
        <v>269</v>
      </c>
      <c r="G631" t="s">
        <v>3462</v>
      </c>
      <c r="H631" t="s">
        <v>3463</v>
      </c>
      <c r="I631" t="s">
        <v>3464</v>
      </c>
      <c r="J631" t="s">
        <v>3462</v>
      </c>
      <c r="K631" s="1">
        <v>3</v>
      </c>
      <c r="L631" t="s">
        <v>91</v>
      </c>
      <c r="M631" t="s">
        <v>70</v>
      </c>
      <c r="N631" t="s">
        <v>71</v>
      </c>
      <c r="P631" t="s">
        <v>72</v>
      </c>
      <c r="Q631" t="s">
        <v>73</v>
      </c>
      <c r="R631" t="s">
        <v>74</v>
      </c>
      <c r="S631" t="s">
        <v>1551</v>
      </c>
      <c r="T631" s="2">
        <v>928</v>
      </c>
      <c r="U631" s="3">
        <v>1.48</v>
      </c>
      <c r="V631" s="4">
        <v>1374</v>
      </c>
      <c r="AF631" s="5">
        <v>12.338900000000001</v>
      </c>
      <c r="AI631" s="1">
        <v>3</v>
      </c>
      <c r="AJ631" t="s">
        <v>81</v>
      </c>
      <c r="AK631" t="s">
        <v>82</v>
      </c>
      <c r="AL631" t="s">
        <v>83</v>
      </c>
      <c r="AM631" s="3">
        <v>1.35</v>
      </c>
      <c r="AN631" s="4">
        <v>1644</v>
      </c>
      <c r="AO631" s="1">
        <v>1216</v>
      </c>
      <c r="AS631" s="3">
        <v>1653922.2</v>
      </c>
      <c r="AW631" t="s">
        <v>84</v>
      </c>
      <c r="AY631" s="3">
        <v>1.6</v>
      </c>
      <c r="AZ631" s="4">
        <v>1219</v>
      </c>
      <c r="BA631" s="1">
        <v>763</v>
      </c>
      <c r="BB631" s="1">
        <v>345</v>
      </c>
      <c r="BC631" s="1">
        <v>198</v>
      </c>
    </row>
    <row r="632" spans="1:62" x14ac:dyDescent="0.25">
      <c r="A632" t="s">
        <v>3465</v>
      </c>
      <c r="B632" t="s">
        <v>3466</v>
      </c>
      <c r="C632" s="1">
        <v>224</v>
      </c>
      <c r="D632" s="1">
        <v>1996</v>
      </c>
      <c r="E632" t="s">
        <v>64</v>
      </c>
      <c r="F632" t="s">
        <v>800</v>
      </c>
      <c r="G632" t="s">
        <v>3467</v>
      </c>
      <c r="H632" t="s">
        <v>3468</v>
      </c>
      <c r="I632" t="s">
        <v>3469</v>
      </c>
      <c r="J632" t="s">
        <v>3467</v>
      </c>
      <c r="K632" s="1">
        <v>2</v>
      </c>
      <c r="L632" t="s">
        <v>69</v>
      </c>
      <c r="M632" t="s">
        <v>70</v>
      </c>
      <c r="N632" t="s">
        <v>71</v>
      </c>
      <c r="O632" t="s">
        <v>118</v>
      </c>
      <c r="P632" t="s">
        <v>72</v>
      </c>
      <c r="Q632" t="s">
        <v>800</v>
      </c>
      <c r="R632" t="s">
        <v>74</v>
      </c>
      <c r="S632" t="s">
        <v>803</v>
      </c>
      <c r="T632" s="2">
        <v>903</v>
      </c>
      <c r="U632" s="3">
        <v>1.78</v>
      </c>
      <c r="V632" s="4">
        <v>1606</v>
      </c>
      <c r="AF632" s="5">
        <v>12.5</v>
      </c>
      <c r="AI632" s="1">
        <v>2</v>
      </c>
      <c r="AJ632" t="s">
        <v>81</v>
      </c>
      <c r="AK632" t="s">
        <v>82</v>
      </c>
      <c r="AL632" t="s">
        <v>83</v>
      </c>
      <c r="AM632" s="3">
        <v>1.72</v>
      </c>
      <c r="AN632" s="4">
        <v>1550</v>
      </c>
      <c r="AO632" s="1">
        <v>900</v>
      </c>
      <c r="AP632" s="3">
        <v>1.77</v>
      </c>
      <c r="AQ632" s="4">
        <v>1769</v>
      </c>
      <c r="AR632" s="1">
        <v>1000</v>
      </c>
      <c r="AS632" s="3">
        <v>220401.96</v>
      </c>
      <c r="AW632" t="s">
        <v>84</v>
      </c>
      <c r="AY632" s="3">
        <v>1.92</v>
      </c>
      <c r="AZ632" s="4">
        <v>1444</v>
      </c>
      <c r="BA632" s="1">
        <v>751</v>
      </c>
      <c r="BB632" s="1">
        <v>48</v>
      </c>
      <c r="BC632" s="1">
        <v>96</v>
      </c>
      <c r="BD632" s="1">
        <v>80</v>
      </c>
      <c r="BF632" t="s">
        <v>3470</v>
      </c>
      <c r="BG632" t="s">
        <v>131</v>
      </c>
    </row>
    <row r="633" spans="1:62" x14ac:dyDescent="0.25">
      <c r="A633" t="s">
        <v>3471</v>
      </c>
      <c r="B633" t="s">
        <v>3472</v>
      </c>
      <c r="C633" s="1">
        <v>444</v>
      </c>
      <c r="D633" s="1">
        <v>1998</v>
      </c>
      <c r="E633" t="s">
        <v>64</v>
      </c>
      <c r="F633" t="s">
        <v>110</v>
      </c>
      <c r="G633" t="s">
        <v>3473</v>
      </c>
      <c r="H633" t="s">
        <v>3474</v>
      </c>
      <c r="I633" t="s">
        <v>3475</v>
      </c>
      <c r="J633" t="s">
        <v>3473</v>
      </c>
      <c r="K633" s="1">
        <v>4</v>
      </c>
      <c r="L633" t="s">
        <v>729</v>
      </c>
      <c r="M633" t="s">
        <v>70</v>
      </c>
      <c r="N633" t="s">
        <v>71</v>
      </c>
      <c r="P633" t="s">
        <v>72</v>
      </c>
      <c r="Q633" t="s">
        <v>110</v>
      </c>
      <c r="R633" t="s">
        <v>74</v>
      </c>
      <c r="S633" t="s">
        <v>3476</v>
      </c>
      <c r="T633" s="2">
        <v>1018</v>
      </c>
      <c r="U633" s="3">
        <v>1.51</v>
      </c>
      <c r="V633" s="4">
        <v>1541</v>
      </c>
      <c r="AF633" s="5">
        <v>10.1351</v>
      </c>
      <c r="AG633" s="1">
        <v>1</v>
      </c>
      <c r="AH633" s="1">
        <v>2022</v>
      </c>
      <c r="AI633" s="1">
        <v>3</v>
      </c>
      <c r="AJ633" t="s">
        <v>81</v>
      </c>
      <c r="AK633" t="s">
        <v>82</v>
      </c>
      <c r="AL633" t="s">
        <v>83</v>
      </c>
      <c r="AM633" s="3">
        <v>1.4</v>
      </c>
      <c r="AN633" s="4">
        <v>1361</v>
      </c>
      <c r="AO633" s="1">
        <v>972</v>
      </c>
      <c r="AP633" s="3">
        <v>1.53</v>
      </c>
      <c r="AQ633" s="4">
        <v>1924</v>
      </c>
      <c r="AR633" s="1">
        <v>1261</v>
      </c>
      <c r="AS633" s="3">
        <v>1602030.14</v>
      </c>
      <c r="AW633" t="s">
        <v>84</v>
      </c>
      <c r="AY633" s="3">
        <v>1.6</v>
      </c>
      <c r="AZ633" s="4">
        <v>1090</v>
      </c>
      <c r="BA633" s="1">
        <v>683</v>
      </c>
      <c r="BB633" s="1">
        <v>132</v>
      </c>
      <c r="BC633" s="1">
        <v>132</v>
      </c>
      <c r="BD633" s="1">
        <v>140</v>
      </c>
      <c r="BE633" s="1">
        <v>40</v>
      </c>
      <c r="BF633" t="s">
        <v>919</v>
      </c>
      <c r="BG633" t="s">
        <v>131</v>
      </c>
      <c r="BH633" s="3">
        <v>1.59</v>
      </c>
      <c r="BI633" s="4">
        <v>2276</v>
      </c>
      <c r="BJ633" s="1">
        <v>1433</v>
      </c>
    </row>
    <row r="634" spans="1:62" x14ac:dyDescent="0.25">
      <c r="A634" t="s">
        <v>3477</v>
      </c>
      <c r="C634" s="1">
        <v>200</v>
      </c>
      <c r="D634" s="1">
        <v>2000</v>
      </c>
      <c r="E634" t="s">
        <v>64</v>
      </c>
      <c r="F634" t="s">
        <v>228</v>
      </c>
      <c r="K634" s="1">
        <v>2</v>
      </c>
      <c r="L634" t="s">
        <v>69</v>
      </c>
      <c r="M634" t="s">
        <v>70</v>
      </c>
      <c r="N634" t="s">
        <v>71</v>
      </c>
      <c r="P634" t="s">
        <v>72</v>
      </c>
      <c r="Q634" t="s">
        <v>1862</v>
      </c>
      <c r="R634" t="s">
        <v>74</v>
      </c>
      <c r="S634" t="s">
        <v>3478</v>
      </c>
      <c r="AI634" s="1">
        <v>1</v>
      </c>
      <c r="AJ634" t="s">
        <v>81</v>
      </c>
      <c r="AK634" t="s">
        <v>82</v>
      </c>
      <c r="AL634" t="s">
        <v>83</v>
      </c>
      <c r="AW634" t="s">
        <v>84</v>
      </c>
    </row>
    <row r="635" spans="1:62" x14ac:dyDescent="0.25">
      <c r="A635" t="s">
        <v>3479</v>
      </c>
      <c r="B635" t="s">
        <v>3480</v>
      </c>
      <c r="C635" s="1">
        <v>273</v>
      </c>
      <c r="D635" s="1">
        <v>1999</v>
      </c>
      <c r="E635" t="s">
        <v>64</v>
      </c>
      <c r="F635" t="s">
        <v>3453</v>
      </c>
      <c r="G635" t="s">
        <v>3481</v>
      </c>
      <c r="H635" t="s">
        <v>3482</v>
      </c>
      <c r="I635" t="s">
        <v>3483</v>
      </c>
      <c r="J635" t="s">
        <v>3481</v>
      </c>
      <c r="K635" s="1">
        <v>4</v>
      </c>
      <c r="L635" t="s">
        <v>91</v>
      </c>
      <c r="M635" t="s">
        <v>70</v>
      </c>
      <c r="N635" t="s">
        <v>71</v>
      </c>
      <c r="P635" t="s">
        <v>72</v>
      </c>
      <c r="Q635" t="s">
        <v>73</v>
      </c>
      <c r="R635" t="s">
        <v>74</v>
      </c>
      <c r="S635" t="s">
        <v>2872</v>
      </c>
      <c r="T635" s="2">
        <v>1275</v>
      </c>
      <c r="U635" s="3">
        <v>1.96</v>
      </c>
      <c r="V635" s="4">
        <v>2503</v>
      </c>
      <c r="AF635" s="5">
        <v>6.2271000000000001</v>
      </c>
      <c r="AI635" s="1">
        <v>16</v>
      </c>
      <c r="AJ635" t="s">
        <v>81</v>
      </c>
      <c r="AK635" t="s">
        <v>82</v>
      </c>
      <c r="AL635" t="s">
        <v>83</v>
      </c>
      <c r="AM635" s="3">
        <v>1.98</v>
      </c>
      <c r="AN635" s="4">
        <v>2971</v>
      </c>
      <c r="AO635" s="1">
        <v>1500</v>
      </c>
      <c r="AP635" s="3">
        <v>2.04</v>
      </c>
      <c r="AQ635" s="4">
        <v>3769</v>
      </c>
      <c r="AR635" s="1">
        <v>1848</v>
      </c>
      <c r="AS635" s="3">
        <v>1486294.96</v>
      </c>
      <c r="AW635" t="s">
        <v>84</v>
      </c>
      <c r="AY635" s="3">
        <v>1.89</v>
      </c>
      <c r="AZ635" s="4">
        <v>1706</v>
      </c>
      <c r="BA635" s="1">
        <v>904</v>
      </c>
      <c r="BB635" s="1">
        <v>125</v>
      </c>
      <c r="BC635" s="1">
        <v>110</v>
      </c>
      <c r="BD635" s="1">
        <v>38</v>
      </c>
      <c r="BF635" t="s">
        <v>3484</v>
      </c>
      <c r="BG635" t="s">
        <v>104</v>
      </c>
    </row>
    <row r="636" spans="1:62" x14ac:dyDescent="0.25">
      <c r="A636" t="s">
        <v>3485</v>
      </c>
      <c r="B636" t="s">
        <v>3486</v>
      </c>
      <c r="C636" s="1">
        <v>321</v>
      </c>
      <c r="D636" s="1">
        <v>1999</v>
      </c>
      <c r="E636" t="s">
        <v>64</v>
      </c>
      <c r="F636" t="s">
        <v>269</v>
      </c>
      <c r="G636" t="s">
        <v>3487</v>
      </c>
      <c r="H636" t="s">
        <v>3488</v>
      </c>
      <c r="I636" t="s">
        <v>3489</v>
      </c>
      <c r="J636" t="s">
        <v>3487</v>
      </c>
      <c r="K636" s="1">
        <v>4</v>
      </c>
      <c r="L636" t="s">
        <v>729</v>
      </c>
      <c r="M636" t="s">
        <v>70</v>
      </c>
      <c r="N636" t="s">
        <v>71</v>
      </c>
      <c r="P636" t="s">
        <v>72</v>
      </c>
      <c r="Q636" t="s">
        <v>73</v>
      </c>
      <c r="R636" t="s">
        <v>74</v>
      </c>
      <c r="S636" t="s">
        <v>1551</v>
      </c>
      <c r="T636" s="2">
        <v>899</v>
      </c>
      <c r="U636" s="3">
        <v>1.6</v>
      </c>
      <c r="V636" s="4">
        <v>1438</v>
      </c>
      <c r="AF636" s="5">
        <v>14.018700000000001</v>
      </c>
      <c r="AG636" s="1">
        <v>1</v>
      </c>
      <c r="AI636" s="1">
        <v>3</v>
      </c>
      <c r="AJ636" t="s">
        <v>81</v>
      </c>
      <c r="AK636" t="s">
        <v>82</v>
      </c>
      <c r="AL636" t="s">
        <v>83</v>
      </c>
      <c r="AM636" s="3">
        <v>1.48</v>
      </c>
      <c r="AN636" s="4">
        <v>1689</v>
      </c>
      <c r="AO636" s="1">
        <v>1144</v>
      </c>
      <c r="AS636" s="3">
        <v>951776.79</v>
      </c>
      <c r="AW636" t="s">
        <v>84</v>
      </c>
      <c r="AY636" s="3">
        <v>1.74</v>
      </c>
      <c r="AZ636" s="4">
        <v>1254</v>
      </c>
      <c r="BA636" s="1">
        <v>719</v>
      </c>
      <c r="BB636" s="1">
        <v>185</v>
      </c>
      <c r="BC636" s="1">
        <v>136</v>
      </c>
      <c r="BF636" t="s">
        <v>225</v>
      </c>
      <c r="BG636" t="s">
        <v>104</v>
      </c>
    </row>
    <row r="637" spans="1:62" x14ac:dyDescent="0.25">
      <c r="A637" t="s">
        <v>3490</v>
      </c>
      <c r="B637" t="s">
        <v>3491</v>
      </c>
      <c r="C637" s="1">
        <v>94</v>
      </c>
      <c r="D637" s="1">
        <v>1999</v>
      </c>
      <c r="E637" t="s">
        <v>64</v>
      </c>
      <c r="F637" t="s">
        <v>409</v>
      </c>
      <c r="G637" t="s">
        <v>3492</v>
      </c>
      <c r="J637" t="s">
        <v>3492</v>
      </c>
      <c r="K637" s="1">
        <v>2</v>
      </c>
      <c r="L637" t="s">
        <v>69</v>
      </c>
      <c r="M637" t="s">
        <v>70</v>
      </c>
      <c r="N637" t="s">
        <v>127</v>
      </c>
      <c r="P637" t="s">
        <v>72</v>
      </c>
      <c r="Q637" t="s">
        <v>3493</v>
      </c>
      <c r="R637" t="s">
        <v>74</v>
      </c>
      <c r="S637" t="s">
        <v>3494</v>
      </c>
      <c r="AF637" s="5">
        <v>10.638299999999999</v>
      </c>
      <c r="AI637" s="1">
        <v>1</v>
      </c>
      <c r="AJ637" t="s">
        <v>81</v>
      </c>
      <c r="AK637" t="s">
        <v>82</v>
      </c>
      <c r="AL637" t="s">
        <v>83</v>
      </c>
      <c r="AS637" s="3">
        <v>566.78</v>
      </c>
      <c r="AW637" t="s">
        <v>84</v>
      </c>
    </row>
    <row r="638" spans="1:62" x14ac:dyDescent="0.25">
      <c r="A638" t="s">
        <v>3495</v>
      </c>
      <c r="B638" t="s">
        <v>3496</v>
      </c>
      <c r="C638" s="1">
        <v>360</v>
      </c>
      <c r="D638" s="1">
        <v>1998</v>
      </c>
      <c r="E638" t="s">
        <v>64</v>
      </c>
      <c r="F638" t="s">
        <v>256</v>
      </c>
      <c r="G638" t="s">
        <v>3497</v>
      </c>
      <c r="H638" t="s">
        <v>3498</v>
      </c>
      <c r="I638" t="s">
        <v>3499</v>
      </c>
      <c r="J638" t="s">
        <v>3497</v>
      </c>
      <c r="K638" s="1">
        <v>4</v>
      </c>
      <c r="L638" t="s">
        <v>729</v>
      </c>
      <c r="M638" t="s">
        <v>70</v>
      </c>
      <c r="N638" t="s">
        <v>71</v>
      </c>
      <c r="P638" t="s">
        <v>72</v>
      </c>
      <c r="Q638" t="s">
        <v>152</v>
      </c>
      <c r="R638" t="s">
        <v>74</v>
      </c>
      <c r="S638" t="s">
        <v>260</v>
      </c>
      <c r="T638" s="2">
        <v>951</v>
      </c>
      <c r="U638" s="3">
        <v>1.7</v>
      </c>
      <c r="V638" s="4">
        <v>1614</v>
      </c>
      <c r="AF638" s="5">
        <v>11.3889</v>
      </c>
      <c r="AH638" s="1">
        <v>2018</v>
      </c>
      <c r="AI638" s="1">
        <v>3</v>
      </c>
      <c r="AJ638" t="s">
        <v>81</v>
      </c>
      <c r="AK638" t="s">
        <v>82</v>
      </c>
      <c r="AL638" t="s">
        <v>83</v>
      </c>
      <c r="AM638" s="3">
        <v>1.52</v>
      </c>
      <c r="AN638" s="4">
        <v>1608</v>
      </c>
      <c r="AO638" s="1">
        <v>1060</v>
      </c>
      <c r="AP638" s="3">
        <v>1.69</v>
      </c>
      <c r="AQ638" s="4">
        <v>2240</v>
      </c>
      <c r="AR638" s="1">
        <v>1328</v>
      </c>
      <c r="AS638" s="3">
        <v>1653739.76</v>
      </c>
      <c r="AW638" t="s">
        <v>84</v>
      </c>
      <c r="AY638" s="3">
        <v>1.83</v>
      </c>
      <c r="AZ638" s="4">
        <v>1234</v>
      </c>
      <c r="BA638" s="1">
        <v>675</v>
      </c>
      <c r="BB638" s="1">
        <v>168</v>
      </c>
      <c r="BC638" s="1">
        <v>114</v>
      </c>
      <c r="BD638" s="1">
        <v>57</v>
      </c>
      <c r="BE638" s="1">
        <v>21</v>
      </c>
      <c r="BF638" t="s">
        <v>2368</v>
      </c>
      <c r="BG638" t="s">
        <v>104</v>
      </c>
      <c r="BH638" s="3">
        <v>1.91</v>
      </c>
      <c r="BI638" s="4">
        <v>2980</v>
      </c>
      <c r="BJ638" s="1">
        <v>1560</v>
      </c>
    </row>
    <row r="639" spans="1:62" x14ac:dyDescent="0.25">
      <c r="A639" t="s">
        <v>3500</v>
      </c>
      <c r="B639" t="s">
        <v>3501</v>
      </c>
      <c r="C639" s="1">
        <v>70</v>
      </c>
      <c r="D639" s="1">
        <v>1997</v>
      </c>
      <c r="E639" t="s">
        <v>64</v>
      </c>
      <c r="F639" t="s">
        <v>65</v>
      </c>
      <c r="G639" t="s">
        <v>2923</v>
      </c>
      <c r="H639" t="s">
        <v>3502</v>
      </c>
      <c r="I639" t="s">
        <v>2925</v>
      </c>
      <c r="J639" t="s">
        <v>2923</v>
      </c>
      <c r="K639" s="1">
        <v>4</v>
      </c>
      <c r="L639" t="s">
        <v>91</v>
      </c>
      <c r="M639" t="s">
        <v>70</v>
      </c>
      <c r="N639" t="s">
        <v>71</v>
      </c>
      <c r="O639" t="s">
        <v>118</v>
      </c>
      <c r="P639" t="s">
        <v>72</v>
      </c>
      <c r="Q639" t="s">
        <v>73</v>
      </c>
      <c r="R639" t="s">
        <v>74</v>
      </c>
      <c r="S639" t="s">
        <v>3503</v>
      </c>
      <c r="T639" s="2">
        <v>840</v>
      </c>
      <c r="U639" s="3">
        <v>1.5</v>
      </c>
      <c r="V639" s="4">
        <v>1261</v>
      </c>
      <c r="AF639" s="5">
        <v>2.8571</v>
      </c>
      <c r="AI639" s="1">
        <v>3</v>
      </c>
      <c r="AJ639" t="s">
        <v>81</v>
      </c>
      <c r="AK639" t="s">
        <v>82</v>
      </c>
      <c r="AL639" t="s">
        <v>83</v>
      </c>
      <c r="AM639" s="3">
        <v>1.36</v>
      </c>
      <c r="AN639" s="4">
        <v>1221</v>
      </c>
      <c r="AO639" s="1">
        <v>899</v>
      </c>
      <c r="AP639" s="3">
        <v>1.08</v>
      </c>
      <c r="AQ639" s="4">
        <v>1303</v>
      </c>
      <c r="AR639" s="1">
        <v>1207</v>
      </c>
      <c r="AS639" s="3">
        <v>114356.83</v>
      </c>
      <c r="AW639" t="s">
        <v>84</v>
      </c>
      <c r="AY639" s="3">
        <v>1.99</v>
      </c>
      <c r="AZ639" s="4">
        <v>1257</v>
      </c>
      <c r="BA639" s="1">
        <v>632</v>
      </c>
      <c r="BB639" s="1">
        <v>36</v>
      </c>
      <c r="BC639" s="1">
        <v>16</v>
      </c>
      <c r="BD639" s="1">
        <v>18</v>
      </c>
    </row>
    <row r="640" spans="1:62" x14ac:dyDescent="0.25">
      <c r="A640" t="s">
        <v>3504</v>
      </c>
      <c r="B640" t="s">
        <v>3505</v>
      </c>
      <c r="C640" s="1">
        <v>167</v>
      </c>
      <c r="D640" s="1">
        <v>1995</v>
      </c>
      <c r="E640" t="s">
        <v>64</v>
      </c>
      <c r="F640" t="s">
        <v>140</v>
      </c>
      <c r="G640" t="s">
        <v>3506</v>
      </c>
      <c r="H640" t="s">
        <v>3507</v>
      </c>
      <c r="I640" t="s">
        <v>3508</v>
      </c>
      <c r="J640" t="s">
        <v>3506</v>
      </c>
      <c r="K640" s="1">
        <v>4</v>
      </c>
      <c r="L640" t="s">
        <v>91</v>
      </c>
      <c r="M640" t="s">
        <v>70</v>
      </c>
      <c r="N640" t="s">
        <v>71</v>
      </c>
      <c r="P640" t="s">
        <v>72</v>
      </c>
      <c r="Q640" t="s">
        <v>140</v>
      </c>
      <c r="R640" t="s">
        <v>74</v>
      </c>
      <c r="S640" t="s">
        <v>1351</v>
      </c>
      <c r="T640" s="2">
        <v>877</v>
      </c>
      <c r="U640" s="3">
        <v>1.89</v>
      </c>
      <c r="V640" s="4">
        <v>1658</v>
      </c>
      <c r="AF640" s="5">
        <v>4.7904</v>
      </c>
      <c r="AI640" s="1">
        <v>2</v>
      </c>
      <c r="AJ640" t="s">
        <v>81</v>
      </c>
      <c r="AK640" t="s">
        <v>82</v>
      </c>
      <c r="AL640" t="s">
        <v>83</v>
      </c>
      <c r="AM640" s="3">
        <v>1.73</v>
      </c>
      <c r="AN640" s="4">
        <v>1917</v>
      </c>
      <c r="AO640" s="1">
        <v>1105</v>
      </c>
      <c r="AP640" s="3">
        <v>2.0099999999999998</v>
      </c>
      <c r="AQ640" s="4">
        <v>2409</v>
      </c>
      <c r="AR640" s="1">
        <v>1200</v>
      </c>
      <c r="AS640" s="3">
        <v>490113.63</v>
      </c>
      <c r="AW640" t="s">
        <v>84</v>
      </c>
      <c r="AY640" s="3">
        <v>2.0299999999999998</v>
      </c>
      <c r="AZ640" s="4">
        <v>1470</v>
      </c>
      <c r="BA640" s="1">
        <v>724</v>
      </c>
      <c r="BB640" s="1">
        <v>101</v>
      </c>
      <c r="BC640" s="1">
        <v>62</v>
      </c>
      <c r="BD640" s="1">
        <v>4</v>
      </c>
    </row>
    <row r="641" spans="1:59" x14ac:dyDescent="0.25">
      <c r="A641" t="s">
        <v>3509</v>
      </c>
      <c r="B641" t="s">
        <v>3510</v>
      </c>
      <c r="C641" s="1">
        <v>462</v>
      </c>
      <c r="D641" s="1">
        <v>1991</v>
      </c>
      <c r="E641" t="s">
        <v>64</v>
      </c>
      <c r="F641" t="s">
        <v>140</v>
      </c>
      <c r="G641" t="s">
        <v>575</v>
      </c>
      <c r="H641" t="s">
        <v>3511</v>
      </c>
      <c r="I641" t="s">
        <v>3512</v>
      </c>
      <c r="J641" t="s">
        <v>575</v>
      </c>
      <c r="K641" s="1">
        <v>3</v>
      </c>
      <c r="L641" t="s">
        <v>91</v>
      </c>
      <c r="M641" t="s">
        <v>70</v>
      </c>
      <c r="N641" t="s">
        <v>71</v>
      </c>
      <c r="P641" t="s">
        <v>72</v>
      </c>
      <c r="Q641" t="s">
        <v>140</v>
      </c>
      <c r="R641" t="s">
        <v>74</v>
      </c>
      <c r="S641" t="s">
        <v>1535</v>
      </c>
      <c r="T641" s="2">
        <v>803</v>
      </c>
      <c r="U641" s="3">
        <v>1.79</v>
      </c>
      <c r="V641" s="4">
        <v>1437</v>
      </c>
      <c r="AF641" s="5">
        <v>5.8441999999999998</v>
      </c>
      <c r="AH641" s="1">
        <v>2016</v>
      </c>
      <c r="AI641" s="1">
        <v>2</v>
      </c>
      <c r="AJ641" t="s">
        <v>81</v>
      </c>
      <c r="AK641" t="s">
        <v>82</v>
      </c>
      <c r="AL641" t="s">
        <v>83</v>
      </c>
      <c r="AM641" s="3">
        <v>1.68</v>
      </c>
      <c r="AN641" s="4">
        <v>1641</v>
      </c>
      <c r="AO641" s="1">
        <v>974</v>
      </c>
      <c r="AS641" s="3">
        <v>571422.89</v>
      </c>
      <c r="AW641" t="s">
        <v>84</v>
      </c>
      <c r="AY641" s="3">
        <v>1.89</v>
      </c>
      <c r="AZ641" s="4">
        <v>1292</v>
      </c>
      <c r="BA641" s="1">
        <v>682</v>
      </c>
      <c r="BB641" s="1">
        <v>270</v>
      </c>
      <c r="BC641" s="1">
        <v>192</v>
      </c>
      <c r="BF641" t="s">
        <v>1130</v>
      </c>
      <c r="BG641" t="s">
        <v>104</v>
      </c>
    </row>
    <row r="642" spans="1:59" x14ac:dyDescent="0.25">
      <c r="A642" t="s">
        <v>3513</v>
      </c>
      <c r="B642" t="s">
        <v>3514</v>
      </c>
      <c r="C642" s="1">
        <v>240</v>
      </c>
      <c r="D642" s="1">
        <v>1995</v>
      </c>
      <c r="E642" t="s">
        <v>64</v>
      </c>
      <c r="F642" t="s">
        <v>140</v>
      </c>
      <c r="G642" t="s">
        <v>2395</v>
      </c>
      <c r="H642" t="s">
        <v>3515</v>
      </c>
      <c r="I642" t="s">
        <v>3516</v>
      </c>
      <c r="J642" t="s">
        <v>2395</v>
      </c>
      <c r="K642" s="1">
        <v>3</v>
      </c>
      <c r="L642" t="s">
        <v>91</v>
      </c>
      <c r="M642" t="s">
        <v>70</v>
      </c>
      <c r="N642" t="s">
        <v>71</v>
      </c>
      <c r="P642" t="s">
        <v>72</v>
      </c>
      <c r="Q642" t="s">
        <v>140</v>
      </c>
      <c r="R642" t="s">
        <v>74</v>
      </c>
      <c r="S642" t="s">
        <v>1535</v>
      </c>
      <c r="T642" s="2">
        <v>822</v>
      </c>
      <c r="U642" s="3">
        <v>1.99</v>
      </c>
      <c r="V642" s="4">
        <v>1632</v>
      </c>
      <c r="AF642" s="5">
        <v>5</v>
      </c>
      <c r="AI642" s="1">
        <v>2</v>
      </c>
      <c r="AJ642" t="s">
        <v>81</v>
      </c>
      <c r="AK642" t="s">
        <v>82</v>
      </c>
      <c r="AL642" t="s">
        <v>83</v>
      </c>
      <c r="AM642" s="3">
        <v>1.84</v>
      </c>
      <c r="AN642" s="4">
        <v>1870</v>
      </c>
      <c r="AO642" s="1">
        <v>1014</v>
      </c>
      <c r="AS642" s="3">
        <v>655831.11</v>
      </c>
      <c r="AW642" t="s">
        <v>84</v>
      </c>
      <c r="AY642" s="3">
        <v>2.11</v>
      </c>
      <c r="AZ642" s="4">
        <v>1490</v>
      </c>
      <c r="BA642" s="1">
        <v>707</v>
      </c>
      <c r="BB642" s="1">
        <v>150</v>
      </c>
      <c r="BC642" s="1">
        <v>90</v>
      </c>
    </row>
    <row r="643" spans="1:59" x14ac:dyDescent="0.25">
      <c r="A643" t="s">
        <v>3517</v>
      </c>
      <c r="B643" t="s">
        <v>3518</v>
      </c>
      <c r="C643" s="1">
        <v>434</v>
      </c>
      <c r="D643" s="1">
        <v>1999</v>
      </c>
      <c r="E643" t="s">
        <v>64</v>
      </c>
      <c r="F643" t="s">
        <v>140</v>
      </c>
      <c r="G643" t="s">
        <v>3519</v>
      </c>
      <c r="H643" t="s">
        <v>3520</v>
      </c>
      <c r="I643" t="s">
        <v>3521</v>
      </c>
      <c r="J643" t="s">
        <v>3519</v>
      </c>
      <c r="K643" s="1">
        <v>4</v>
      </c>
      <c r="L643" t="s">
        <v>91</v>
      </c>
      <c r="M643" t="s">
        <v>70</v>
      </c>
      <c r="N643" t="s">
        <v>71</v>
      </c>
      <c r="P643" t="s">
        <v>72</v>
      </c>
      <c r="Q643" t="s">
        <v>140</v>
      </c>
      <c r="R643" t="s">
        <v>74</v>
      </c>
      <c r="S643" t="s">
        <v>1535</v>
      </c>
      <c r="T643" s="2">
        <v>964</v>
      </c>
      <c r="U643" s="3">
        <v>1.65</v>
      </c>
      <c r="V643" s="4">
        <v>1588</v>
      </c>
      <c r="AF643" s="5">
        <v>7.6036999999999999</v>
      </c>
      <c r="AI643" s="1">
        <v>3</v>
      </c>
      <c r="AJ643" t="s">
        <v>81</v>
      </c>
      <c r="AK643" t="s">
        <v>82</v>
      </c>
      <c r="AL643" t="s">
        <v>83</v>
      </c>
      <c r="AM643" s="3">
        <v>1.63</v>
      </c>
      <c r="AN643" s="4">
        <v>1774</v>
      </c>
      <c r="AO643" s="1">
        <v>1089</v>
      </c>
      <c r="AP643" s="3">
        <v>1.57</v>
      </c>
      <c r="AQ643" s="4">
        <v>2234</v>
      </c>
      <c r="AR643" s="1">
        <v>1426</v>
      </c>
      <c r="AS643" s="3">
        <v>1259742.3</v>
      </c>
      <c r="AW643" t="s">
        <v>84</v>
      </c>
      <c r="AY643" s="3">
        <v>1.69</v>
      </c>
      <c r="AZ643" s="4">
        <v>1310</v>
      </c>
      <c r="BA643" s="1">
        <v>777</v>
      </c>
      <c r="BB643" s="1">
        <v>216</v>
      </c>
      <c r="BC643" s="1">
        <v>178</v>
      </c>
      <c r="BD643" s="1">
        <v>40</v>
      </c>
      <c r="BG643" t="s">
        <v>131</v>
      </c>
    </row>
    <row r="644" spans="1:59" x14ac:dyDescent="0.25">
      <c r="A644" t="s">
        <v>3522</v>
      </c>
      <c r="B644" t="s">
        <v>3523</v>
      </c>
      <c r="C644" s="1">
        <v>138</v>
      </c>
      <c r="D644" s="1">
        <v>1992</v>
      </c>
      <c r="E644" t="s">
        <v>64</v>
      </c>
      <c r="F644" t="s">
        <v>501</v>
      </c>
      <c r="G644" t="s">
        <v>3524</v>
      </c>
      <c r="H644" t="s">
        <v>3524</v>
      </c>
      <c r="I644" t="s">
        <v>3525</v>
      </c>
      <c r="J644" t="s">
        <v>3524</v>
      </c>
      <c r="K644" s="1">
        <v>3</v>
      </c>
      <c r="L644" t="s">
        <v>69</v>
      </c>
      <c r="M644" t="s">
        <v>70</v>
      </c>
      <c r="N644" t="s">
        <v>127</v>
      </c>
      <c r="P644" t="s">
        <v>72</v>
      </c>
      <c r="Q644" t="s">
        <v>152</v>
      </c>
      <c r="R644" t="s">
        <v>74</v>
      </c>
      <c r="S644" t="s">
        <v>3526</v>
      </c>
      <c r="AF644" s="5">
        <v>9.4202999999999992</v>
      </c>
      <c r="AI644" s="1">
        <v>1</v>
      </c>
      <c r="AJ644" t="s">
        <v>81</v>
      </c>
      <c r="AK644" t="s">
        <v>82</v>
      </c>
      <c r="AL644" t="s">
        <v>83</v>
      </c>
      <c r="AW644" t="s">
        <v>84</v>
      </c>
    </row>
    <row r="645" spans="1:59" x14ac:dyDescent="0.25">
      <c r="A645" t="s">
        <v>3527</v>
      </c>
      <c r="B645" t="s">
        <v>3528</v>
      </c>
      <c r="C645" s="1">
        <v>125</v>
      </c>
      <c r="D645" s="1">
        <v>1998</v>
      </c>
      <c r="E645" t="s">
        <v>64</v>
      </c>
      <c r="F645" t="s">
        <v>551</v>
      </c>
      <c r="G645" t="s">
        <v>3529</v>
      </c>
      <c r="H645" t="s">
        <v>3530</v>
      </c>
      <c r="I645" t="s">
        <v>3531</v>
      </c>
      <c r="J645" t="s">
        <v>3529</v>
      </c>
      <c r="K645" s="1">
        <v>3</v>
      </c>
      <c r="L645" t="s">
        <v>91</v>
      </c>
      <c r="M645" t="s">
        <v>70</v>
      </c>
      <c r="N645" t="s">
        <v>71</v>
      </c>
      <c r="P645" t="s">
        <v>72</v>
      </c>
      <c r="Q645" t="s">
        <v>551</v>
      </c>
      <c r="R645" t="s">
        <v>74</v>
      </c>
      <c r="S645" t="s">
        <v>3532</v>
      </c>
      <c r="T645" s="2">
        <v>464</v>
      </c>
      <c r="U645" s="3">
        <v>4.17</v>
      </c>
      <c r="V645" s="4">
        <v>1938</v>
      </c>
      <c r="AF645" s="5">
        <v>0.8</v>
      </c>
      <c r="AI645" s="1">
        <v>2</v>
      </c>
      <c r="AJ645" t="s">
        <v>81</v>
      </c>
      <c r="AK645" t="s">
        <v>82</v>
      </c>
      <c r="AL645" t="s">
        <v>83</v>
      </c>
      <c r="AM645" s="3">
        <v>3.58</v>
      </c>
      <c r="AN645" s="4">
        <v>2328</v>
      </c>
      <c r="AO645" s="1">
        <v>650</v>
      </c>
      <c r="AS645" s="3">
        <v>133824.64000000001</v>
      </c>
      <c r="AT645" s="3">
        <v>5.21</v>
      </c>
      <c r="AU645" s="4">
        <v>1746</v>
      </c>
      <c r="AV645" s="6">
        <v>335</v>
      </c>
      <c r="AW645" t="s">
        <v>84</v>
      </c>
      <c r="AY645" s="3">
        <v>4.0599999999999996</v>
      </c>
      <c r="AZ645" s="4">
        <v>1825</v>
      </c>
      <c r="BA645" s="1">
        <v>450</v>
      </c>
      <c r="BB645" s="1">
        <v>45</v>
      </c>
      <c r="BC645" s="1">
        <v>35</v>
      </c>
      <c r="BG645" t="s">
        <v>94</v>
      </c>
    </row>
    <row r="646" spans="1:59" x14ac:dyDescent="0.25">
      <c r="A646" t="s">
        <v>3533</v>
      </c>
      <c r="B646" t="s">
        <v>3534</v>
      </c>
      <c r="C646" s="1">
        <v>250</v>
      </c>
      <c r="D646" s="1">
        <v>1999</v>
      </c>
      <c r="E646" t="s">
        <v>64</v>
      </c>
      <c r="F646" t="s">
        <v>97</v>
      </c>
      <c r="G646" t="s">
        <v>777</v>
      </c>
      <c r="H646" t="s">
        <v>3535</v>
      </c>
      <c r="J646" t="s">
        <v>777</v>
      </c>
      <c r="K646" s="1">
        <v>3</v>
      </c>
      <c r="L646" t="s">
        <v>91</v>
      </c>
      <c r="M646" t="s">
        <v>70</v>
      </c>
      <c r="N646" t="s">
        <v>71</v>
      </c>
      <c r="P646" t="s">
        <v>72</v>
      </c>
      <c r="Q646" t="s">
        <v>73</v>
      </c>
      <c r="R646" t="s">
        <v>74</v>
      </c>
      <c r="S646" t="s">
        <v>3536</v>
      </c>
      <c r="T646" s="2">
        <v>1200</v>
      </c>
      <c r="U646" s="3">
        <v>1.29</v>
      </c>
      <c r="V646" s="4">
        <v>1548</v>
      </c>
      <c r="AF646" s="5">
        <v>14.4</v>
      </c>
      <c r="AH646" s="1">
        <v>2019</v>
      </c>
      <c r="AI646" s="1">
        <v>2</v>
      </c>
      <c r="AJ646" t="s">
        <v>81</v>
      </c>
      <c r="AK646" t="s">
        <v>82</v>
      </c>
      <c r="AL646" t="s">
        <v>83</v>
      </c>
      <c r="AM646" s="3">
        <v>1.35</v>
      </c>
      <c r="AN646" s="4">
        <v>1364</v>
      </c>
      <c r="AO646" s="1">
        <v>1011</v>
      </c>
      <c r="AP646" s="3">
        <v>1.29</v>
      </c>
      <c r="AQ646" s="4">
        <v>1560</v>
      </c>
      <c r="AR646" s="1">
        <v>1213</v>
      </c>
      <c r="AS646" s="3">
        <v>0</v>
      </c>
      <c r="AW646" t="s">
        <v>84</v>
      </c>
      <c r="BC646" s="1">
        <v>16</v>
      </c>
      <c r="BD646" s="1">
        <v>234</v>
      </c>
      <c r="BF646" t="s">
        <v>1403</v>
      </c>
      <c r="BG646" t="s">
        <v>104</v>
      </c>
    </row>
    <row r="647" spans="1:59" x14ac:dyDescent="0.25">
      <c r="A647" t="s">
        <v>3537</v>
      </c>
      <c r="B647" t="s">
        <v>3538</v>
      </c>
      <c r="C647" s="1">
        <v>224</v>
      </c>
      <c r="D647" s="1">
        <v>1991</v>
      </c>
      <c r="E647" t="s">
        <v>64</v>
      </c>
      <c r="F647" t="s">
        <v>140</v>
      </c>
      <c r="G647" t="s">
        <v>3539</v>
      </c>
      <c r="H647" t="s">
        <v>3540</v>
      </c>
      <c r="I647" t="s">
        <v>3541</v>
      </c>
      <c r="J647" t="s">
        <v>3539</v>
      </c>
      <c r="K647" s="1">
        <v>3</v>
      </c>
      <c r="L647" t="s">
        <v>91</v>
      </c>
      <c r="M647" t="s">
        <v>70</v>
      </c>
      <c r="N647" t="s">
        <v>71</v>
      </c>
      <c r="P647" t="s">
        <v>72</v>
      </c>
      <c r="Q647" t="s">
        <v>140</v>
      </c>
      <c r="R647" t="s">
        <v>74</v>
      </c>
      <c r="S647" t="s">
        <v>1351</v>
      </c>
      <c r="T647" s="2">
        <v>947</v>
      </c>
      <c r="U647" s="3">
        <v>2.6</v>
      </c>
      <c r="V647" s="4">
        <v>2462</v>
      </c>
      <c r="AF647" s="5">
        <v>17.410699999999999</v>
      </c>
      <c r="AH647" s="1">
        <v>2015</v>
      </c>
      <c r="AI647" s="1">
        <v>2</v>
      </c>
      <c r="AJ647" t="s">
        <v>81</v>
      </c>
      <c r="AK647" t="s">
        <v>82</v>
      </c>
      <c r="AL647" t="s">
        <v>83</v>
      </c>
      <c r="AM647" s="3">
        <v>2.41</v>
      </c>
      <c r="AN647" s="4">
        <v>3028</v>
      </c>
      <c r="AO647" s="1">
        <v>1258</v>
      </c>
      <c r="AS647" s="3">
        <v>338127.17</v>
      </c>
      <c r="AW647" t="s">
        <v>84</v>
      </c>
      <c r="AY647" s="3">
        <v>2.82</v>
      </c>
      <c r="AZ647" s="4">
        <v>2082</v>
      </c>
      <c r="BA647" s="1">
        <v>739</v>
      </c>
      <c r="BB647" s="1">
        <v>134</v>
      </c>
      <c r="BC647" s="1">
        <v>90</v>
      </c>
      <c r="BF647" t="s">
        <v>1130</v>
      </c>
      <c r="BG647" t="s">
        <v>104</v>
      </c>
    </row>
    <row r="648" spans="1:59" x14ac:dyDescent="0.25">
      <c r="A648" t="s">
        <v>3542</v>
      </c>
      <c r="B648" t="s">
        <v>3543</v>
      </c>
      <c r="C648" s="1">
        <v>192</v>
      </c>
      <c r="D648" s="1">
        <v>2000</v>
      </c>
      <c r="E648" t="s">
        <v>64</v>
      </c>
      <c r="F648" t="s">
        <v>110</v>
      </c>
      <c r="G648" t="s">
        <v>3544</v>
      </c>
      <c r="H648" t="s">
        <v>3545</v>
      </c>
      <c r="I648" t="s">
        <v>3546</v>
      </c>
      <c r="J648" t="s">
        <v>3544</v>
      </c>
      <c r="K648" s="1">
        <v>4</v>
      </c>
      <c r="L648" t="s">
        <v>91</v>
      </c>
      <c r="M648" t="s">
        <v>70</v>
      </c>
      <c r="N648" t="s">
        <v>71</v>
      </c>
      <c r="P648" t="s">
        <v>72</v>
      </c>
      <c r="Q648" t="s">
        <v>531</v>
      </c>
      <c r="R648" t="s">
        <v>74</v>
      </c>
      <c r="S648" t="s">
        <v>3547</v>
      </c>
      <c r="T648" s="2">
        <v>999</v>
      </c>
      <c r="U648" s="3">
        <v>1.53</v>
      </c>
      <c r="V648" s="4">
        <v>1525</v>
      </c>
      <c r="AF648" s="5">
        <v>18.229199999999999</v>
      </c>
      <c r="AI648" s="1">
        <v>3</v>
      </c>
      <c r="AJ648" t="s">
        <v>81</v>
      </c>
      <c r="AK648" t="s">
        <v>82</v>
      </c>
      <c r="AL648" t="s">
        <v>83</v>
      </c>
      <c r="AM648" s="3">
        <v>1.47</v>
      </c>
      <c r="AN648" s="4">
        <v>1602</v>
      </c>
      <c r="AO648" s="1">
        <v>1091</v>
      </c>
      <c r="AP648" s="3">
        <v>1.65</v>
      </c>
      <c r="AQ648" s="4">
        <v>2082</v>
      </c>
      <c r="AR648" s="1">
        <v>1258</v>
      </c>
      <c r="AS648" s="3">
        <v>0</v>
      </c>
      <c r="AW648" t="s">
        <v>84</v>
      </c>
      <c r="AY648" s="3">
        <v>1.6</v>
      </c>
      <c r="AZ648" s="4">
        <v>1247</v>
      </c>
      <c r="BA648" s="1">
        <v>779</v>
      </c>
      <c r="BB648" s="1">
        <v>66</v>
      </c>
      <c r="BC648" s="1">
        <v>108</v>
      </c>
      <c r="BD648" s="1">
        <v>18</v>
      </c>
      <c r="BF648" t="s">
        <v>3548</v>
      </c>
      <c r="BG648" t="s">
        <v>104</v>
      </c>
    </row>
    <row r="649" spans="1:59" x14ac:dyDescent="0.25">
      <c r="A649" t="s">
        <v>3549</v>
      </c>
      <c r="B649" t="s">
        <v>3550</v>
      </c>
      <c r="C649" s="1">
        <v>93</v>
      </c>
      <c r="D649" s="1">
        <v>1995</v>
      </c>
      <c r="E649" t="s">
        <v>64</v>
      </c>
      <c r="F649" t="s">
        <v>514</v>
      </c>
      <c r="G649" t="s">
        <v>3551</v>
      </c>
      <c r="H649" t="s">
        <v>3552</v>
      </c>
      <c r="I649" t="s">
        <v>3553</v>
      </c>
      <c r="J649" t="s">
        <v>3551</v>
      </c>
      <c r="K649" s="1">
        <v>3</v>
      </c>
      <c r="L649" t="s">
        <v>91</v>
      </c>
      <c r="M649" t="s">
        <v>70</v>
      </c>
      <c r="N649" t="s">
        <v>71</v>
      </c>
      <c r="O649" t="s">
        <v>118</v>
      </c>
      <c r="P649" t="s">
        <v>72</v>
      </c>
      <c r="Q649" t="s">
        <v>264</v>
      </c>
      <c r="R649" t="s">
        <v>74</v>
      </c>
      <c r="S649" t="s">
        <v>3554</v>
      </c>
      <c r="T649" s="2">
        <v>1192</v>
      </c>
      <c r="U649" s="3">
        <v>1.21</v>
      </c>
      <c r="V649" s="4">
        <v>1444</v>
      </c>
      <c r="AF649" s="5">
        <v>18.279599999999999</v>
      </c>
      <c r="AG649" s="1">
        <v>12</v>
      </c>
      <c r="AI649" s="1">
        <v>3</v>
      </c>
      <c r="AJ649" t="s">
        <v>81</v>
      </c>
      <c r="AK649" t="s">
        <v>82</v>
      </c>
      <c r="AL649" t="s">
        <v>83</v>
      </c>
      <c r="AM649" s="3">
        <v>1.33</v>
      </c>
      <c r="AN649" s="4">
        <v>1395</v>
      </c>
      <c r="AO649" s="1">
        <v>1046</v>
      </c>
      <c r="AP649" s="3">
        <v>1.1499999999999999</v>
      </c>
      <c r="AQ649" s="4">
        <v>1475</v>
      </c>
      <c r="AR649" s="1">
        <v>1285</v>
      </c>
      <c r="AS649" s="3">
        <v>156797.5</v>
      </c>
      <c r="AW649" t="s">
        <v>84</v>
      </c>
      <c r="BC649" s="1">
        <v>36</v>
      </c>
      <c r="BD649" s="1">
        <v>57</v>
      </c>
      <c r="BF649" t="s">
        <v>731</v>
      </c>
      <c r="BG649" t="s">
        <v>104</v>
      </c>
    </row>
    <row r="650" spans="1:59" x14ac:dyDescent="0.25">
      <c r="A650" t="s">
        <v>3555</v>
      </c>
      <c r="B650" t="s">
        <v>3556</v>
      </c>
      <c r="C650" s="1">
        <v>368</v>
      </c>
      <c r="D650" s="1">
        <v>1996</v>
      </c>
      <c r="E650" t="s">
        <v>64</v>
      </c>
      <c r="F650" t="s">
        <v>140</v>
      </c>
      <c r="G650" t="s">
        <v>3557</v>
      </c>
      <c r="H650" t="s">
        <v>3558</v>
      </c>
      <c r="I650" t="s">
        <v>3559</v>
      </c>
      <c r="J650" t="s">
        <v>3557</v>
      </c>
      <c r="K650" s="1">
        <v>3</v>
      </c>
      <c r="L650" t="s">
        <v>91</v>
      </c>
      <c r="M650" t="s">
        <v>70</v>
      </c>
      <c r="N650" t="s">
        <v>71</v>
      </c>
      <c r="P650" t="s">
        <v>72</v>
      </c>
      <c r="Q650" t="s">
        <v>140</v>
      </c>
      <c r="R650" t="s">
        <v>74</v>
      </c>
      <c r="S650" t="s">
        <v>1050</v>
      </c>
      <c r="T650" s="2">
        <v>728</v>
      </c>
      <c r="U650" s="3">
        <v>1.71</v>
      </c>
      <c r="V650" s="4">
        <v>1246</v>
      </c>
      <c r="AF650" s="5">
        <v>3.8043</v>
      </c>
      <c r="AH650" s="1">
        <v>2012</v>
      </c>
      <c r="AI650" s="1">
        <v>2</v>
      </c>
      <c r="AJ650" t="s">
        <v>81</v>
      </c>
      <c r="AK650" t="s">
        <v>82</v>
      </c>
      <c r="AL650" t="s">
        <v>83</v>
      </c>
      <c r="AM650" s="3">
        <v>1.73</v>
      </c>
      <c r="AN650" s="4">
        <v>1338</v>
      </c>
      <c r="AO650" s="1">
        <v>775</v>
      </c>
      <c r="AP650" s="3">
        <v>1.53</v>
      </c>
      <c r="AQ650" s="4">
        <v>1558</v>
      </c>
      <c r="AR650" s="1">
        <v>1019</v>
      </c>
      <c r="AS650" s="3">
        <v>795053.27</v>
      </c>
      <c r="AW650" t="s">
        <v>84</v>
      </c>
      <c r="AY650" s="3">
        <v>1.77</v>
      </c>
      <c r="AZ650" s="4">
        <v>1076</v>
      </c>
      <c r="BA650" s="1">
        <v>608</v>
      </c>
      <c r="BB650" s="1">
        <v>163</v>
      </c>
      <c r="BC650" s="1">
        <v>164</v>
      </c>
      <c r="BD650" s="1">
        <v>41</v>
      </c>
      <c r="BG650" t="s">
        <v>744</v>
      </c>
    </row>
    <row r="651" spans="1:59" x14ac:dyDescent="0.25">
      <c r="A651" t="s">
        <v>3560</v>
      </c>
      <c r="B651" t="s">
        <v>3561</v>
      </c>
      <c r="C651" s="1">
        <v>73</v>
      </c>
      <c r="D651" s="1">
        <v>1997</v>
      </c>
      <c r="E651" t="s">
        <v>64</v>
      </c>
      <c r="F651" t="s">
        <v>140</v>
      </c>
      <c r="G651" t="s">
        <v>3562</v>
      </c>
      <c r="H651" t="s">
        <v>3563</v>
      </c>
      <c r="I651" t="s">
        <v>3564</v>
      </c>
      <c r="J651" t="s">
        <v>3562</v>
      </c>
      <c r="K651" s="1">
        <v>3</v>
      </c>
      <c r="L651" t="s">
        <v>91</v>
      </c>
      <c r="M651" t="s">
        <v>70</v>
      </c>
      <c r="N651" t="s">
        <v>71</v>
      </c>
      <c r="P651" t="s">
        <v>72</v>
      </c>
      <c r="Q651" t="s">
        <v>140</v>
      </c>
      <c r="R651" t="s">
        <v>74</v>
      </c>
      <c r="S651" t="s">
        <v>1050</v>
      </c>
      <c r="T651" s="2">
        <v>1639</v>
      </c>
      <c r="U651" s="3">
        <v>1.31</v>
      </c>
      <c r="V651" s="4">
        <v>2147</v>
      </c>
      <c r="AF651" s="5">
        <v>8.2192000000000007</v>
      </c>
      <c r="AI651" s="1">
        <v>2</v>
      </c>
      <c r="AJ651" t="s">
        <v>81</v>
      </c>
      <c r="AK651" t="s">
        <v>82</v>
      </c>
      <c r="AL651" t="s">
        <v>83</v>
      </c>
      <c r="AM651" s="3">
        <v>1.34</v>
      </c>
      <c r="AN651" s="4">
        <v>1923</v>
      </c>
      <c r="AO651" s="1">
        <v>1431</v>
      </c>
      <c r="AP651" s="3">
        <v>1.29</v>
      </c>
      <c r="AQ651" s="4">
        <v>2295</v>
      </c>
      <c r="AR651" s="1">
        <v>1777</v>
      </c>
      <c r="AS651" s="3">
        <v>18230.79</v>
      </c>
      <c r="AW651" t="s">
        <v>84</v>
      </c>
      <c r="BC651" s="1">
        <v>29</v>
      </c>
      <c r="BD651" s="1">
        <v>44</v>
      </c>
      <c r="BG651" t="s">
        <v>131</v>
      </c>
    </row>
    <row r="652" spans="1:59" x14ac:dyDescent="0.25">
      <c r="A652" t="s">
        <v>1424</v>
      </c>
      <c r="B652" t="s">
        <v>1425</v>
      </c>
      <c r="C652" s="1">
        <v>56</v>
      </c>
      <c r="D652" s="1">
        <v>1990</v>
      </c>
      <c r="E652" t="s">
        <v>64</v>
      </c>
      <c r="F652" t="s">
        <v>140</v>
      </c>
      <c r="G652" t="s">
        <v>1426</v>
      </c>
      <c r="I652" t="s">
        <v>1426</v>
      </c>
      <c r="K652" s="1">
        <v>3</v>
      </c>
      <c r="L652" t="s">
        <v>91</v>
      </c>
      <c r="M652" t="s">
        <v>70</v>
      </c>
      <c r="N652" t="s">
        <v>71</v>
      </c>
      <c r="P652" t="s">
        <v>72</v>
      </c>
      <c r="Q652" t="s">
        <v>140</v>
      </c>
      <c r="R652" t="s">
        <v>74</v>
      </c>
      <c r="S652" t="s">
        <v>1427</v>
      </c>
      <c r="AI652" s="1">
        <v>2</v>
      </c>
      <c r="AJ652" t="s">
        <v>81</v>
      </c>
      <c r="AK652" t="s">
        <v>82</v>
      </c>
      <c r="AL652" t="s">
        <v>83</v>
      </c>
      <c r="AS652" s="3">
        <v>5435.55</v>
      </c>
      <c r="AW652" t="s">
        <v>84</v>
      </c>
    </row>
    <row r="653" spans="1:59" x14ac:dyDescent="0.25">
      <c r="A653" t="s">
        <v>3565</v>
      </c>
      <c r="B653" t="s">
        <v>3566</v>
      </c>
      <c r="C653" s="1">
        <v>208</v>
      </c>
      <c r="D653" s="1">
        <v>1998</v>
      </c>
      <c r="E653" t="s">
        <v>64</v>
      </c>
      <c r="F653" t="s">
        <v>660</v>
      </c>
      <c r="G653" t="s">
        <v>3567</v>
      </c>
      <c r="H653" t="s">
        <v>3568</v>
      </c>
      <c r="I653" t="s">
        <v>3569</v>
      </c>
      <c r="J653" t="s">
        <v>3567</v>
      </c>
      <c r="K653" s="1">
        <v>4</v>
      </c>
      <c r="L653" t="s">
        <v>91</v>
      </c>
      <c r="M653" t="s">
        <v>70</v>
      </c>
      <c r="N653" t="s">
        <v>71</v>
      </c>
      <c r="P653" t="s">
        <v>72</v>
      </c>
      <c r="Q653" t="s">
        <v>664</v>
      </c>
      <c r="R653" t="s">
        <v>74</v>
      </c>
      <c r="S653" t="s">
        <v>3570</v>
      </c>
      <c r="T653" s="2">
        <v>945</v>
      </c>
      <c r="U653" s="3">
        <v>1.49</v>
      </c>
      <c r="V653" s="4">
        <v>1407</v>
      </c>
      <c r="AF653" s="5">
        <v>5.7691999999999997</v>
      </c>
      <c r="AI653" s="1">
        <v>2</v>
      </c>
      <c r="AJ653" t="s">
        <v>81</v>
      </c>
      <c r="AK653" t="s">
        <v>82</v>
      </c>
      <c r="AL653" t="s">
        <v>83</v>
      </c>
      <c r="AM653" s="3">
        <v>1.35</v>
      </c>
      <c r="AN653" s="4">
        <v>1534</v>
      </c>
      <c r="AO653" s="1">
        <v>1138</v>
      </c>
      <c r="AP653" s="3">
        <v>1.46</v>
      </c>
      <c r="AQ653" s="4">
        <v>2001</v>
      </c>
      <c r="AR653" s="1">
        <v>1370</v>
      </c>
      <c r="AS653" s="3">
        <v>501431.19</v>
      </c>
      <c r="AW653" t="s">
        <v>84</v>
      </c>
      <c r="AY653" s="3">
        <v>1.73</v>
      </c>
      <c r="AZ653" s="4">
        <v>1182</v>
      </c>
      <c r="BA653" s="1">
        <v>684</v>
      </c>
      <c r="BB653" s="1">
        <v>96</v>
      </c>
      <c r="BC653" s="1">
        <v>96</v>
      </c>
      <c r="BD653" s="1">
        <v>16</v>
      </c>
      <c r="BF653" t="s">
        <v>1299</v>
      </c>
      <c r="BG653" t="s">
        <v>104</v>
      </c>
    </row>
    <row r="654" spans="1:59" x14ac:dyDescent="0.25">
      <c r="A654" t="s">
        <v>3571</v>
      </c>
      <c r="B654" t="s">
        <v>3572</v>
      </c>
      <c r="C654" s="1">
        <v>120</v>
      </c>
      <c r="D654" s="1">
        <v>2000</v>
      </c>
      <c r="E654" t="s">
        <v>64</v>
      </c>
      <c r="F654" t="s">
        <v>3573</v>
      </c>
      <c r="G654" t="s">
        <v>3574</v>
      </c>
      <c r="H654" t="s">
        <v>3575</v>
      </c>
      <c r="I654" t="s">
        <v>3576</v>
      </c>
      <c r="J654" t="s">
        <v>3574</v>
      </c>
      <c r="K654" s="1">
        <v>3</v>
      </c>
      <c r="L654" t="s">
        <v>91</v>
      </c>
      <c r="M654" t="s">
        <v>70</v>
      </c>
      <c r="N654" t="s">
        <v>71</v>
      </c>
      <c r="P654" t="s">
        <v>72</v>
      </c>
      <c r="Q654" t="s">
        <v>3577</v>
      </c>
      <c r="R654" t="s">
        <v>74</v>
      </c>
      <c r="S654" t="s">
        <v>1934</v>
      </c>
      <c r="T654" s="2">
        <v>566</v>
      </c>
      <c r="U654" s="3">
        <v>4.67</v>
      </c>
      <c r="V654" s="4">
        <v>2648</v>
      </c>
      <c r="AF654" s="5">
        <v>15</v>
      </c>
      <c r="AI654" s="1">
        <v>2</v>
      </c>
      <c r="AJ654" t="s">
        <v>81</v>
      </c>
      <c r="AK654" t="s">
        <v>82</v>
      </c>
      <c r="AL654" t="s">
        <v>83</v>
      </c>
      <c r="AM654" s="3">
        <v>3.75</v>
      </c>
      <c r="AN654" s="4">
        <v>3516</v>
      </c>
      <c r="AO654" s="1">
        <v>938</v>
      </c>
      <c r="AS654" s="3">
        <v>296419.75</v>
      </c>
      <c r="AT654" s="3">
        <v>5.42</v>
      </c>
      <c r="AU654" s="4">
        <v>2092</v>
      </c>
      <c r="AV654" s="6">
        <v>386</v>
      </c>
      <c r="AW654" t="s">
        <v>84</v>
      </c>
      <c r="AY654" s="3">
        <v>5.25</v>
      </c>
      <c r="AZ654" s="4">
        <v>2624</v>
      </c>
      <c r="BA654" s="1">
        <v>500</v>
      </c>
      <c r="BB654" s="1">
        <v>45</v>
      </c>
      <c r="BC654" s="1">
        <v>30</v>
      </c>
    </row>
    <row r="655" spans="1:59" x14ac:dyDescent="0.25">
      <c r="A655" t="s">
        <v>3578</v>
      </c>
      <c r="B655" t="s">
        <v>3579</v>
      </c>
      <c r="C655" s="1">
        <v>368</v>
      </c>
      <c r="D655" s="1">
        <v>1996</v>
      </c>
      <c r="E655" t="s">
        <v>64</v>
      </c>
      <c r="F655" t="s">
        <v>140</v>
      </c>
      <c r="G655" t="s">
        <v>2786</v>
      </c>
      <c r="H655" t="s">
        <v>3580</v>
      </c>
      <c r="I655" t="s">
        <v>2786</v>
      </c>
      <c r="J655" t="s">
        <v>2786</v>
      </c>
      <c r="K655" s="1">
        <v>3</v>
      </c>
      <c r="L655" t="s">
        <v>91</v>
      </c>
      <c r="M655" t="s">
        <v>70</v>
      </c>
      <c r="N655" t="s">
        <v>71</v>
      </c>
      <c r="P655" t="s">
        <v>72</v>
      </c>
      <c r="Q655" t="s">
        <v>140</v>
      </c>
      <c r="R655" t="s">
        <v>74</v>
      </c>
      <c r="S655" t="s">
        <v>3581</v>
      </c>
      <c r="T655" s="2">
        <v>917</v>
      </c>
      <c r="U655" s="3">
        <v>1.49</v>
      </c>
      <c r="V655" s="4">
        <v>1363</v>
      </c>
      <c r="AF655" s="5">
        <v>1.9021999999999999</v>
      </c>
      <c r="AI655" s="1">
        <v>2</v>
      </c>
      <c r="AJ655" t="s">
        <v>81</v>
      </c>
      <c r="AK655" t="s">
        <v>82</v>
      </c>
      <c r="AL655" t="s">
        <v>83</v>
      </c>
      <c r="AM655" s="3">
        <v>1.44</v>
      </c>
      <c r="AN655" s="4">
        <v>1518</v>
      </c>
      <c r="AO655" s="1">
        <v>1055</v>
      </c>
      <c r="AP655" s="3">
        <v>1.63</v>
      </c>
      <c r="AQ655" s="4">
        <v>2042</v>
      </c>
      <c r="AR655" s="1">
        <v>1254</v>
      </c>
      <c r="AS655" s="3">
        <v>901174.41</v>
      </c>
      <c r="AW655" t="s">
        <v>84</v>
      </c>
      <c r="AY655" s="3">
        <v>1.52</v>
      </c>
      <c r="AZ655" s="4">
        <v>1099</v>
      </c>
      <c r="BA655" s="1">
        <v>722</v>
      </c>
      <c r="BB655" s="1">
        <v>166</v>
      </c>
      <c r="BC655" s="1">
        <v>178</v>
      </c>
      <c r="BD655" s="1">
        <v>24</v>
      </c>
    </row>
    <row r="656" spans="1:59" x14ac:dyDescent="0.25">
      <c r="A656" t="s">
        <v>3582</v>
      </c>
      <c r="B656" t="s">
        <v>3583</v>
      </c>
      <c r="C656" s="1">
        <v>330</v>
      </c>
      <c r="D656" s="1">
        <v>1998</v>
      </c>
      <c r="E656" t="s">
        <v>64</v>
      </c>
      <c r="F656" t="s">
        <v>551</v>
      </c>
      <c r="G656" t="s">
        <v>1277</v>
      </c>
      <c r="H656" t="s">
        <v>3584</v>
      </c>
      <c r="I656" t="s">
        <v>3585</v>
      </c>
      <c r="J656" t="s">
        <v>1277</v>
      </c>
      <c r="K656" s="1">
        <v>4</v>
      </c>
      <c r="L656" t="s">
        <v>729</v>
      </c>
      <c r="M656" t="s">
        <v>70</v>
      </c>
      <c r="N656" t="s">
        <v>71</v>
      </c>
      <c r="P656" t="s">
        <v>72</v>
      </c>
      <c r="Q656" t="s">
        <v>140</v>
      </c>
      <c r="R656" t="s">
        <v>74</v>
      </c>
      <c r="S656" t="s">
        <v>3586</v>
      </c>
      <c r="T656" s="2">
        <v>939</v>
      </c>
      <c r="U656" s="3">
        <v>1.84</v>
      </c>
      <c r="V656" s="4">
        <v>1732</v>
      </c>
      <c r="AF656" s="5">
        <v>6.0606</v>
      </c>
      <c r="AI656" s="1">
        <v>3</v>
      </c>
      <c r="AJ656" t="s">
        <v>81</v>
      </c>
      <c r="AK656" t="s">
        <v>82</v>
      </c>
      <c r="AL656" t="s">
        <v>83</v>
      </c>
      <c r="AM656" s="3">
        <v>1.79</v>
      </c>
      <c r="AN656" s="4">
        <v>1932</v>
      </c>
      <c r="AO656" s="1">
        <v>1078</v>
      </c>
      <c r="AP656" s="3">
        <v>1.66</v>
      </c>
      <c r="AQ656" s="4">
        <v>2313</v>
      </c>
      <c r="AR656" s="1">
        <v>1391</v>
      </c>
      <c r="AW656" t="s">
        <v>84</v>
      </c>
      <c r="AY656" s="3">
        <v>1.92</v>
      </c>
      <c r="AZ656" s="4">
        <v>1540</v>
      </c>
      <c r="BA656" s="1">
        <v>802</v>
      </c>
      <c r="BB656" s="1">
        <v>188</v>
      </c>
      <c r="BC656" s="1">
        <v>122</v>
      </c>
      <c r="BD656" s="1">
        <v>20</v>
      </c>
      <c r="BF656" t="s">
        <v>3587</v>
      </c>
    </row>
    <row r="657" spans="1:62" x14ac:dyDescent="0.25">
      <c r="A657" t="s">
        <v>3588</v>
      </c>
      <c r="B657" t="s">
        <v>3589</v>
      </c>
      <c r="C657" s="1">
        <v>301</v>
      </c>
      <c r="D657" s="1">
        <v>1996</v>
      </c>
      <c r="E657" t="s">
        <v>64</v>
      </c>
      <c r="F657" t="s">
        <v>501</v>
      </c>
      <c r="G657" t="s">
        <v>3590</v>
      </c>
      <c r="H657" t="s">
        <v>3524</v>
      </c>
      <c r="I657" t="s">
        <v>3590</v>
      </c>
      <c r="J657" t="s">
        <v>3590</v>
      </c>
      <c r="K657" s="1">
        <v>3</v>
      </c>
      <c r="L657" t="s">
        <v>69</v>
      </c>
      <c r="M657" t="s">
        <v>70</v>
      </c>
      <c r="N657" t="s">
        <v>127</v>
      </c>
      <c r="P657" t="s">
        <v>72</v>
      </c>
      <c r="Q657" t="s">
        <v>152</v>
      </c>
      <c r="R657" t="s">
        <v>74</v>
      </c>
      <c r="S657" t="s">
        <v>3591</v>
      </c>
      <c r="AF657" s="5">
        <v>9.6346000000000007</v>
      </c>
      <c r="AI657" s="1">
        <v>1</v>
      </c>
      <c r="AJ657" t="s">
        <v>81</v>
      </c>
      <c r="AK657" t="s">
        <v>82</v>
      </c>
      <c r="AL657" t="s">
        <v>83</v>
      </c>
      <c r="AS657" s="3">
        <v>407.27</v>
      </c>
      <c r="AW657" t="s">
        <v>84</v>
      </c>
      <c r="BB657" s="1">
        <v>301</v>
      </c>
    </row>
    <row r="658" spans="1:62" x14ac:dyDescent="0.25">
      <c r="A658" t="s">
        <v>3592</v>
      </c>
      <c r="B658" t="s">
        <v>3593</v>
      </c>
      <c r="C658" s="1">
        <v>227</v>
      </c>
      <c r="D658" s="1">
        <v>1998</v>
      </c>
      <c r="E658" t="s">
        <v>64</v>
      </c>
      <c r="F658" t="s">
        <v>501</v>
      </c>
      <c r="G658" t="s">
        <v>3524</v>
      </c>
      <c r="H658" t="s">
        <v>3524</v>
      </c>
      <c r="I658" t="s">
        <v>3594</v>
      </c>
      <c r="J658" t="s">
        <v>3524</v>
      </c>
      <c r="K658" s="1">
        <v>3</v>
      </c>
      <c r="L658" t="s">
        <v>69</v>
      </c>
      <c r="M658" t="s">
        <v>70</v>
      </c>
      <c r="N658" t="s">
        <v>127</v>
      </c>
      <c r="P658" t="s">
        <v>72</v>
      </c>
      <c r="Q658" t="s">
        <v>152</v>
      </c>
      <c r="R658" t="s">
        <v>74</v>
      </c>
      <c r="S658" t="s">
        <v>504</v>
      </c>
      <c r="V658" s="4">
        <v>1040</v>
      </c>
      <c r="AF658" s="5">
        <v>9.6915999999999993</v>
      </c>
      <c r="AI658" s="1">
        <v>1</v>
      </c>
      <c r="AJ658" t="s">
        <v>81</v>
      </c>
      <c r="AK658" t="s">
        <v>82</v>
      </c>
      <c r="AL658" t="s">
        <v>83</v>
      </c>
      <c r="AW658" t="s">
        <v>84</v>
      </c>
    </row>
    <row r="659" spans="1:62" x14ac:dyDescent="0.25">
      <c r="A659" t="s">
        <v>3595</v>
      </c>
      <c r="B659" t="s">
        <v>3596</v>
      </c>
      <c r="C659" s="1">
        <v>207</v>
      </c>
      <c r="D659" s="1">
        <v>1998</v>
      </c>
      <c r="E659" t="s">
        <v>64</v>
      </c>
      <c r="F659" t="s">
        <v>3597</v>
      </c>
      <c r="G659" t="s">
        <v>1038</v>
      </c>
      <c r="H659" t="s">
        <v>3598</v>
      </c>
      <c r="I659" t="s">
        <v>1038</v>
      </c>
      <c r="J659" t="s">
        <v>1038</v>
      </c>
      <c r="K659" s="1">
        <v>4</v>
      </c>
      <c r="L659" t="s">
        <v>91</v>
      </c>
      <c r="M659" t="s">
        <v>70</v>
      </c>
      <c r="N659" t="s">
        <v>71</v>
      </c>
      <c r="P659" t="s">
        <v>72</v>
      </c>
      <c r="Q659" t="s">
        <v>3597</v>
      </c>
      <c r="R659" t="s">
        <v>74</v>
      </c>
      <c r="S659" t="s">
        <v>3599</v>
      </c>
      <c r="T659" s="2">
        <v>1295</v>
      </c>
      <c r="U659" s="3">
        <v>1.61</v>
      </c>
      <c r="V659" s="4">
        <v>2083</v>
      </c>
      <c r="AF659" s="5">
        <v>11.594200000000001</v>
      </c>
      <c r="AI659" s="1">
        <v>3</v>
      </c>
      <c r="AJ659" t="s">
        <v>81</v>
      </c>
      <c r="AK659" t="s">
        <v>82</v>
      </c>
      <c r="AL659" t="s">
        <v>83</v>
      </c>
      <c r="AM659" s="3">
        <v>1.57</v>
      </c>
      <c r="AN659" s="4">
        <v>2242</v>
      </c>
      <c r="AO659" s="1">
        <v>1424</v>
      </c>
      <c r="AS659" s="3">
        <v>906485.8</v>
      </c>
      <c r="AW659" t="s">
        <v>84</v>
      </c>
      <c r="AY659" s="3">
        <v>1.73</v>
      </c>
      <c r="AZ659" s="4">
        <v>1684</v>
      </c>
      <c r="BA659" s="1">
        <v>974</v>
      </c>
      <c r="BB659" s="1">
        <v>59</v>
      </c>
      <c r="BC659" s="1">
        <v>148</v>
      </c>
      <c r="BF659" t="s">
        <v>3600</v>
      </c>
    </row>
    <row r="660" spans="1:62" x14ac:dyDescent="0.25">
      <c r="A660" t="s">
        <v>3601</v>
      </c>
      <c r="B660" t="s">
        <v>3602</v>
      </c>
      <c r="C660" s="1">
        <v>194</v>
      </c>
      <c r="D660" s="1">
        <v>1991</v>
      </c>
      <c r="E660" t="s">
        <v>64</v>
      </c>
      <c r="F660" t="s">
        <v>140</v>
      </c>
      <c r="G660" t="s">
        <v>3603</v>
      </c>
      <c r="H660" t="s">
        <v>3604</v>
      </c>
      <c r="I660" t="s">
        <v>3605</v>
      </c>
      <c r="J660" t="s">
        <v>3603</v>
      </c>
      <c r="K660" s="1">
        <v>3</v>
      </c>
      <c r="L660" t="s">
        <v>91</v>
      </c>
      <c r="M660" t="s">
        <v>70</v>
      </c>
      <c r="N660" t="s">
        <v>71</v>
      </c>
      <c r="P660" t="s">
        <v>72</v>
      </c>
      <c r="Q660" t="s">
        <v>140</v>
      </c>
      <c r="R660" t="s">
        <v>74</v>
      </c>
      <c r="S660" t="s">
        <v>3606</v>
      </c>
      <c r="T660" s="2">
        <v>908</v>
      </c>
      <c r="U660" s="3">
        <v>1.7</v>
      </c>
      <c r="V660" s="4">
        <v>1545</v>
      </c>
      <c r="AF660" s="5">
        <v>8.7629000000000001</v>
      </c>
      <c r="AI660" s="1">
        <v>3</v>
      </c>
      <c r="AJ660" t="s">
        <v>81</v>
      </c>
      <c r="AK660" t="s">
        <v>82</v>
      </c>
      <c r="AL660" t="s">
        <v>83</v>
      </c>
      <c r="AM660" s="3">
        <v>1.64</v>
      </c>
      <c r="AN660" s="4">
        <v>1533</v>
      </c>
      <c r="AO660" s="1">
        <v>932</v>
      </c>
      <c r="AP660" s="3">
        <v>1.77</v>
      </c>
      <c r="AQ660" s="4">
        <v>1941</v>
      </c>
      <c r="AR660" s="1">
        <v>1098</v>
      </c>
      <c r="AS660" s="3">
        <v>495985.31</v>
      </c>
      <c r="AW660" t="s">
        <v>84</v>
      </c>
      <c r="AY660" s="3">
        <v>1.86</v>
      </c>
      <c r="AZ660" s="4">
        <v>1225</v>
      </c>
      <c r="BA660" s="1">
        <v>658</v>
      </c>
      <c r="BB660" s="1">
        <v>36</v>
      </c>
      <c r="BC660" s="1">
        <v>126</v>
      </c>
      <c r="BD660" s="1">
        <v>32</v>
      </c>
      <c r="BG660" t="s">
        <v>131</v>
      </c>
    </row>
    <row r="661" spans="1:62" x14ac:dyDescent="0.25">
      <c r="A661" t="s">
        <v>3607</v>
      </c>
      <c r="B661" t="s">
        <v>3608</v>
      </c>
      <c r="C661" s="1">
        <v>260</v>
      </c>
      <c r="D661" s="1">
        <v>1992</v>
      </c>
      <c r="E661" t="s">
        <v>64</v>
      </c>
      <c r="F661" t="s">
        <v>734</v>
      </c>
      <c r="G661" t="s">
        <v>2786</v>
      </c>
      <c r="H661" t="s">
        <v>3609</v>
      </c>
      <c r="I661" t="s">
        <v>3610</v>
      </c>
      <c r="J661" t="s">
        <v>2786</v>
      </c>
      <c r="K661" s="1">
        <v>3</v>
      </c>
      <c r="L661" t="s">
        <v>91</v>
      </c>
      <c r="M661" t="s">
        <v>70</v>
      </c>
      <c r="N661" t="s">
        <v>71</v>
      </c>
      <c r="P661" t="s">
        <v>72</v>
      </c>
      <c r="Q661" t="s">
        <v>73</v>
      </c>
      <c r="R661" t="s">
        <v>74</v>
      </c>
      <c r="S661" t="s">
        <v>3611</v>
      </c>
      <c r="T661" s="2">
        <v>726</v>
      </c>
      <c r="U661" s="3">
        <v>1.36</v>
      </c>
      <c r="V661" s="4">
        <v>986</v>
      </c>
      <c r="AF661" s="5">
        <v>4.2308000000000003</v>
      </c>
      <c r="AI661" s="1">
        <v>3</v>
      </c>
      <c r="AJ661" t="s">
        <v>81</v>
      </c>
      <c r="AK661" t="s">
        <v>82</v>
      </c>
      <c r="AL661" t="s">
        <v>83</v>
      </c>
      <c r="AM661" s="3">
        <v>1.44</v>
      </c>
      <c r="AN661" s="4">
        <v>1336</v>
      </c>
      <c r="AO661" s="1">
        <v>927</v>
      </c>
      <c r="AS661" s="3">
        <v>492228.25</v>
      </c>
      <c r="AW661" t="s">
        <v>84</v>
      </c>
      <c r="AY661" s="3">
        <v>1.3</v>
      </c>
      <c r="AZ661" s="4">
        <v>817</v>
      </c>
      <c r="BA661" s="1">
        <v>629</v>
      </c>
      <c r="BB661" s="1">
        <v>175</v>
      </c>
      <c r="BC661" s="1">
        <v>85</v>
      </c>
    </row>
    <row r="662" spans="1:62" x14ac:dyDescent="0.25">
      <c r="A662" t="s">
        <v>3612</v>
      </c>
      <c r="B662" t="s">
        <v>3613</v>
      </c>
      <c r="C662" s="1">
        <v>208</v>
      </c>
      <c r="D662" s="1">
        <v>1999</v>
      </c>
      <c r="E662" t="s">
        <v>64</v>
      </c>
      <c r="F662" t="s">
        <v>140</v>
      </c>
      <c r="G662" t="s">
        <v>2057</v>
      </c>
      <c r="H662" t="s">
        <v>3614</v>
      </c>
      <c r="I662" t="s">
        <v>3615</v>
      </c>
      <c r="J662" t="s">
        <v>2057</v>
      </c>
      <c r="K662" s="1">
        <v>4</v>
      </c>
      <c r="L662" t="s">
        <v>91</v>
      </c>
      <c r="M662" t="s">
        <v>70</v>
      </c>
      <c r="N662" t="s">
        <v>71</v>
      </c>
      <c r="P662" t="s">
        <v>72</v>
      </c>
      <c r="Q662" t="s">
        <v>140</v>
      </c>
      <c r="R662" t="s">
        <v>74</v>
      </c>
      <c r="S662" t="s">
        <v>3616</v>
      </c>
      <c r="T662" s="2">
        <v>955</v>
      </c>
      <c r="U662" s="3">
        <v>1.67</v>
      </c>
      <c r="V662" s="4">
        <v>1596</v>
      </c>
      <c r="AF662" s="5">
        <v>6.25</v>
      </c>
      <c r="AH662" s="1">
        <v>2022</v>
      </c>
      <c r="AI662" s="1">
        <v>2</v>
      </c>
      <c r="AJ662" t="s">
        <v>81</v>
      </c>
      <c r="AK662" t="s">
        <v>82</v>
      </c>
      <c r="AL662" t="s">
        <v>83</v>
      </c>
      <c r="AM662" s="3">
        <v>1.74</v>
      </c>
      <c r="AN662" s="4">
        <v>1903</v>
      </c>
      <c r="AO662" s="1">
        <v>1093</v>
      </c>
      <c r="AP662" s="3">
        <v>1.56</v>
      </c>
      <c r="AQ662" s="4">
        <v>2115</v>
      </c>
      <c r="AR662" s="1">
        <v>1355</v>
      </c>
      <c r="AS662" s="3">
        <v>600060.65</v>
      </c>
      <c r="AW662" t="s">
        <v>84</v>
      </c>
      <c r="AY662" s="3">
        <v>1.73</v>
      </c>
      <c r="AZ662" s="4">
        <v>1227</v>
      </c>
      <c r="BA662" s="1">
        <v>707</v>
      </c>
      <c r="BB662" s="1">
        <v>112</v>
      </c>
      <c r="BC662" s="1">
        <v>40</v>
      </c>
      <c r="BD662" s="1">
        <v>56</v>
      </c>
      <c r="BF662" t="s">
        <v>3617</v>
      </c>
      <c r="BG662" t="s">
        <v>104</v>
      </c>
    </row>
    <row r="663" spans="1:62" x14ac:dyDescent="0.25">
      <c r="A663" t="s">
        <v>3618</v>
      </c>
      <c r="B663" t="s">
        <v>3619</v>
      </c>
      <c r="C663" s="1">
        <v>152</v>
      </c>
      <c r="D663" s="1">
        <v>1998</v>
      </c>
      <c r="E663" t="s">
        <v>64</v>
      </c>
      <c r="F663" t="s">
        <v>3081</v>
      </c>
      <c r="G663" t="s">
        <v>403</v>
      </c>
      <c r="H663" t="s">
        <v>3620</v>
      </c>
      <c r="I663" t="s">
        <v>3621</v>
      </c>
      <c r="J663" t="s">
        <v>403</v>
      </c>
      <c r="K663" s="1">
        <v>3</v>
      </c>
      <c r="L663" t="s">
        <v>91</v>
      </c>
      <c r="M663" t="s">
        <v>70</v>
      </c>
      <c r="N663" t="s">
        <v>71</v>
      </c>
      <c r="O663" t="s">
        <v>118</v>
      </c>
      <c r="P663" t="s">
        <v>72</v>
      </c>
      <c r="Q663" t="s">
        <v>152</v>
      </c>
      <c r="R663" t="s">
        <v>74</v>
      </c>
      <c r="S663" t="s">
        <v>3622</v>
      </c>
      <c r="T663" s="2">
        <v>850</v>
      </c>
      <c r="U663" s="3">
        <v>1.1399999999999999</v>
      </c>
      <c r="V663" s="4">
        <v>965</v>
      </c>
      <c r="AF663" s="5">
        <v>20.3947</v>
      </c>
      <c r="AI663" s="1">
        <v>3</v>
      </c>
      <c r="AJ663" t="s">
        <v>81</v>
      </c>
      <c r="AK663" t="s">
        <v>82</v>
      </c>
      <c r="AL663" t="s">
        <v>83</v>
      </c>
      <c r="AM663" s="3">
        <v>1.05</v>
      </c>
      <c r="AN663" s="4">
        <v>1023</v>
      </c>
      <c r="AO663" s="1">
        <v>974</v>
      </c>
      <c r="AP663" s="3">
        <v>0.93</v>
      </c>
      <c r="AQ663" s="4">
        <v>1075</v>
      </c>
      <c r="AR663" s="1">
        <v>1155</v>
      </c>
      <c r="AW663" t="s">
        <v>84</v>
      </c>
      <c r="AY663" s="3">
        <v>1.56</v>
      </c>
      <c r="AZ663" s="4">
        <v>846</v>
      </c>
      <c r="BA663" s="1">
        <v>544</v>
      </c>
      <c r="BB663" s="1">
        <v>64</v>
      </c>
      <c r="BC663" s="1">
        <v>40</v>
      </c>
      <c r="BD663" s="1">
        <v>48</v>
      </c>
      <c r="BF663" t="s">
        <v>3623</v>
      </c>
      <c r="BG663" t="s">
        <v>131</v>
      </c>
    </row>
    <row r="664" spans="1:62" x14ac:dyDescent="0.25">
      <c r="A664" t="s">
        <v>3624</v>
      </c>
      <c r="B664" t="s">
        <v>3625</v>
      </c>
      <c r="C664" s="1">
        <v>250</v>
      </c>
      <c r="D664" s="1">
        <v>1999</v>
      </c>
      <c r="E664" t="s">
        <v>64</v>
      </c>
      <c r="F664" t="s">
        <v>409</v>
      </c>
      <c r="G664" t="s">
        <v>3626</v>
      </c>
      <c r="H664" t="s">
        <v>3627</v>
      </c>
      <c r="I664" t="s">
        <v>3628</v>
      </c>
      <c r="J664" t="s">
        <v>3626</v>
      </c>
      <c r="K664" s="1">
        <v>3</v>
      </c>
      <c r="L664" t="s">
        <v>69</v>
      </c>
      <c r="M664" t="s">
        <v>70</v>
      </c>
      <c r="N664" t="s">
        <v>71</v>
      </c>
      <c r="O664" t="s">
        <v>118</v>
      </c>
      <c r="P664" t="s">
        <v>72</v>
      </c>
      <c r="Q664" t="s">
        <v>110</v>
      </c>
      <c r="R664" t="s">
        <v>74</v>
      </c>
      <c r="S664" t="s">
        <v>412</v>
      </c>
      <c r="T664" s="2">
        <v>1162</v>
      </c>
      <c r="U664" s="3">
        <v>1.23</v>
      </c>
      <c r="V664" s="4">
        <v>1427</v>
      </c>
      <c r="AF664" s="5">
        <v>7.2</v>
      </c>
      <c r="AI664" s="1">
        <v>2</v>
      </c>
      <c r="AJ664" t="s">
        <v>81</v>
      </c>
      <c r="AK664" t="s">
        <v>82</v>
      </c>
      <c r="AL664" t="s">
        <v>83</v>
      </c>
      <c r="AM664" s="3">
        <v>1.3</v>
      </c>
      <c r="AN664" s="4">
        <v>1367</v>
      </c>
      <c r="AO664" s="1">
        <v>1047</v>
      </c>
      <c r="AP664" s="3">
        <v>1.19</v>
      </c>
      <c r="AQ664" s="4">
        <v>1502</v>
      </c>
      <c r="AR664" s="1">
        <v>1263</v>
      </c>
      <c r="AS664" s="3">
        <v>468085.8</v>
      </c>
      <c r="AW664" t="s">
        <v>84</v>
      </c>
      <c r="BC664" s="1">
        <v>122</v>
      </c>
      <c r="BD664" s="1">
        <v>112</v>
      </c>
      <c r="BE664" s="1">
        <v>16</v>
      </c>
      <c r="BG664" t="s">
        <v>131</v>
      </c>
      <c r="BH664" s="3">
        <v>1.03</v>
      </c>
      <c r="BI664" s="4">
        <v>1367</v>
      </c>
      <c r="BJ664" s="1">
        <v>1330</v>
      </c>
    </row>
    <row r="665" spans="1:62" x14ac:dyDescent="0.25">
      <c r="A665" t="s">
        <v>3629</v>
      </c>
      <c r="B665" t="s">
        <v>3630</v>
      </c>
      <c r="C665" s="1">
        <v>215</v>
      </c>
      <c r="D665" s="1">
        <v>2000</v>
      </c>
      <c r="E665" t="s">
        <v>64</v>
      </c>
      <c r="F665" t="s">
        <v>477</v>
      </c>
      <c r="G665" t="s">
        <v>3221</v>
      </c>
      <c r="H665" t="s">
        <v>3631</v>
      </c>
      <c r="I665" t="s">
        <v>3632</v>
      </c>
      <c r="J665" t="s">
        <v>3221</v>
      </c>
      <c r="K665" s="1">
        <v>4</v>
      </c>
      <c r="L665" t="s">
        <v>91</v>
      </c>
      <c r="M665" t="s">
        <v>70</v>
      </c>
      <c r="N665" t="s">
        <v>71</v>
      </c>
      <c r="P665" t="s">
        <v>72</v>
      </c>
      <c r="Q665" t="s">
        <v>110</v>
      </c>
      <c r="R665" t="s">
        <v>74</v>
      </c>
      <c r="S665" t="s">
        <v>3633</v>
      </c>
      <c r="T665" s="2">
        <v>714</v>
      </c>
      <c r="U665" s="3">
        <v>3.79</v>
      </c>
      <c r="V665" s="4">
        <v>2704</v>
      </c>
      <c r="AF665" s="5">
        <v>13.9535</v>
      </c>
      <c r="AI665" s="1">
        <v>3</v>
      </c>
      <c r="AJ665" t="s">
        <v>81</v>
      </c>
      <c r="AK665" t="s">
        <v>82</v>
      </c>
      <c r="AL665" t="s">
        <v>83</v>
      </c>
      <c r="AM665" s="3">
        <v>3.08</v>
      </c>
      <c r="AN665" s="4">
        <v>2901</v>
      </c>
      <c r="AO665" s="1">
        <v>943</v>
      </c>
      <c r="AS665" s="3">
        <v>415260.2</v>
      </c>
      <c r="AT665" s="3">
        <v>5.01</v>
      </c>
      <c r="AU665" s="4">
        <v>2231</v>
      </c>
      <c r="AV665" s="6">
        <v>445</v>
      </c>
      <c r="AW665" t="s">
        <v>84</v>
      </c>
      <c r="AY665" s="3">
        <v>4.37</v>
      </c>
      <c r="AZ665" s="4">
        <v>2677</v>
      </c>
      <c r="BA665" s="1">
        <v>613</v>
      </c>
      <c r="BB665" s="1">
        <v>108</v>
      </c>
      <c r="BC665" s="1">
        <v>80</v>
      </c>
    </row>
    <row r="666" spans="1:62" x14ac:dyDescent="0.25">
      <c r="A666" t="s">
        <v>3634</v>
      </c>
      <c r="B666" t="s">
        <v>3635</v>
      </c>
      <c r="C666" s="1">
        <v>272</v>
      </c>
      <c r="D666" s="1">
        <v>1996</v>
      </c>
      <c r="E666" t="s">
        <v>64</v>
      </c>
      <c r="F666" t="s">
        <v>140</v>
      </c>
      <c r="G666" t="s">
        <v>2557</v>
      </c>
      <c r="H666" t="s">
        <v>3636</v>
      </c>
      <c r="I666" t="s">
        <v>3637</v>
      </c>
      <c r="J666" t="s">
        <v>2557</v>
      </c>
      <c r="K666" s="1">
        <v>3</v>
      </c>
      <c r="L666" t="s">
        <v>91</v>
      </c>
      <c r="M666" t="s">
        <v>70</v>
      </c>
      <c r="N666" t="s">
        <v>71</v>
      </c>
      <c r="P666" t="s">
        <v>72</v>
      </c>
      <c r="Q666" t="s">
        <v>140</v>
      </c>
      <c r="R666" t="s">
        <v>74</v>
      </c>
      <c r="S666" t="s">
        <v>1351</v>
      </c>
      <c r="T666" s="2">
        <v>902</v>
      </c>
      <c r="U666" s="3">
        <v>1.79</v>
      </c>
      <c r="V666" s="4">
        <v>1617</v>
      </c>
      <c r="AF666" s="5">
        <v>5.5147000000000004</v>
      </c>
      <c r="AG666" s="1">
        <v>1</v>
      </c>
      <c r="AI666" s="1">
        <v>2</v>
      </c>
      <c r="AJ666" t="s">
        <v>81</v>
      </c>
      <c r="AK666" t="s">
        <v>82</v>
      </c>
      <c r="AL666" t="s">
        <v>83</v>
      </c>
      <c r="AM666" s="3">
        <v>1.74</v>
      </c>
      <c r="AN666" s="4">
        <v>1841</v>
      </c>
      <c r="AO666" s="1">
        <v>1060</v>
      </c>
      <c r="AP666" s="3">
        <v>1.57</v>
      </c>
      <c r="AQ666" s="4">
        <v>2179</v>
      </c>
      <c r="AR666" s="1">
        <v>1384</v>
      </c>
      <c r="AS666" s="3">
        <v>657469.51</v>
      </c>
      <c r="AW666" t="s">
        <v>84</v>
      </c>
      <c r="AY666" s="3">
        <v>1.87</v>
      </c>
      <c r="AZ666" s="4">
        <v>1436</v>
      </c>
      <c r="BA666" s="1">
        <v>767</v>
      </c>
      <c r="BB666" s="1">
        <v>164</v>
      </c>
      <c r="BC666" s="1">
        <v>92</v>
      </c>
      <c r="BD666" s="1">
        <v>16</v>
      </c>
      <c r="BF666" t="s">
        <v>980</v>
      </c>
      <c r="BG666" t="s">
        <v>131</v>
      </c>
    </row>
    <row r="667" spans="1:62" x14ac:dyDescent="0.25">
      <c r="A667" t="s">
        <v>3638</v>
      </c>
      <c r="B667" t="s">
        <v>3639</v>
      </c>
      <c r="C667" s="1">
        <v>498</v>
      </c>
      <c r="D667" s="1">
        <v>2000</v>
      </c>
      <c r="E667" t="s">
        <v>64</v>
      </c>
      <c r="F667" t="s">
        <v>97</v>
      </c>
      <c r="G667" t="s">
        <v>866</v>
      </c>
      <c r="H667" t="s">
        <v>3640</v>
      </c>
      <c r="I667" t="s">
        <v>3641</v>
      </c>
      <c r="J667" t="s">
        <v>866</v>
      </c>
      <c r="K667" s="1">
        <v>3</v>
      </c>
      <c r="L667" t="s">
        <v>91</v>
      </c>
      <c r="M667" t="s">
        <v>70</v>
      </c>
      <c r="N667" t="s">
        <v>127</v>
      </c>
      <c r="P667" t="s">
        <v>72</v>
      </c>
      <c r="Q667" t="s">
        <v>101</v>
      </c>
      <c r="R667" t="s">
        <v>74</v>
      </c>
      <c r="S667" t="s">
        <v>3642</v>
      </c>
      <c r="T667" s="2">
        <v>1152</v>
      </c>
      <c r="U667" s="3">
        <v>0.81</v>
      </c>
      <c r="V667" s="4">
        <v>930</v>
      </c>
      <c r="AF667" s="5">
        <v>9.0360999999999994</v>
      </c>
      <c r="AI667" s="1">
        <v>1</v>
      </c>
      <c r="AJ667" t="s">
        <v>81</v>
      </c>
      <c r="AK667" t="s">
        <v>82</v>
      </c>
      <c r="AL667" t="s">
        <v>83</v>
      </c>
      <c r="AP667" s="3">
        <v>0.81</v>
      </c>
      <c r="AQ667" s="4">
        <v>930</v>
      </c>
      <c r="AR667" s="1">
        <v>1152</v>
      </c>
      <c r="AS667" s="3">
        <v>685044.38</v>
      </c>
      <c r="AW667" t="s">
        <v>84</v>
      </c>
      <c r="BD667" s="1">
        <v>498</v>
      </c>
    </row>
    <row r="668" spans="1:62" x14ac:dyDescent="0.25">
      <c r="A668" t="s">
        <v>3643</v>
      </c>
      <c r="B668" t="s">
        <v>3644</v>
      </c>
      <c r="C668" s="1">
        <v>321</v>
      </c>
      <c r="D668" s="1">
        <v>2000</v>
      </c>
      <c r="E668" t="s">
        <v>64</v>
      </c>
      <c r="F668" t="s">
        <v>168</v>
      </c>
      <c r="G668" t="s">
        <v>1626</v>
      </c>
      <c r="H668" t="s">
        <v>3645</v>
      </c>
      <c r="I668" t="s">
        <v>3646</v>
      </c>
      <c r="J668" t="s">
        <v>1626</v>
      </c>
      <c r="K668" s="1">
        <v>3</v>
      </c>
      <c r="L668" t="s">
        <v>91</v>
      </c>
      <c r="M668" t="s">
        <v>70</v>
      </c>
      <c r="N668" t="s">
        <v>71</v>
      </c>
      <c r="P668" t="s">
        <v>72</v>
      </c>
      <c r="Q668" t="s">
        <v>172</v>
      </c>
      <c r="R668" t="s">
        <v>74</v>
      </c>
      <c r="S668" t="s">
        <v>3647</v>
      </c>
      <c r="T668" s="2">
        <v>952</v>
      </c>
      <c r="U668" s="3">
        <v>1.65</v>
      </c>
      <c r="V668" s="4">
        <v>1573</v>
      </c>
      <c r="AF668" s="5">
        <v>16.822399999999998</v>
      </c>
      <c r="AH668" s="1">
        <v>2015</v>
      </c>
      <c r="AI668" s="1">
        <v>3</v>
      </c>
      <c r="AJ668" t="s">
        <v>81</v>
      </c>
      <c r="AK668" t="s">
        <v>82</v>
      </c>
      <c r="AL668" t="s">
        <v>83</v>
      </c>
      <c r="AM668" s="3">
        <v>1.64</v>
      </c>
      <c r="AN668" s="4">
        <v>1611</v>
      </c>
      <c r="AO668" s="1">
        <v>985</v>
      </c>
      <c r="AP668" s="3">
        <v>1.62</v>
      </c>
      <c r="AQ668" s="4">
        <v>1977</v>
      </c>
      <c r="AR668" s="1">
        <v>1217</v>
      </c>
      <c r="AS668" s="3">
        <v>1210663.94</v>
      </c>
      <c r="AW668" t="s">
        <v>84</v>
      </c>
      <c r="AY668" s="3">
        <v>1.71</v>
      </c>
      <c r="AZ668" s="4">
        <v>1303</v>
      </c>
      <c r="BA668" s="1">
        <v>764</v>
      </c>
      <c r="BB668" s="1">
        <v>96</v>
      </c>
      <c r="BC668" s="1">
        <v>178</v>
      </c>
      <c r="BD668" s="1">
        <v>47</v>
      </c>
      <c r="BG668" t="s">
        <v>94</v>
      </c>
    </row>
    <row r="669" spans="1:62" x14ac:dyDescent="0.25">
      <c r="A669" t="s">
        <v>3648</v>
      </c>
      <c r="B669" t="s">
        <v>3649</v>
      </c>
      <c r="C669" s="1">
        <v>200</v>
      </c>
      <c r="D669" s="1">
        <v>1997</v>
      </c>
      <c r="E669" t="s">
        <v>64</v>
      </c>
      <c r="F669" t="s">
        <v>156</v>
      </c>
      <c r="G669" t="s">
        <v>229</v>
      </c>
      <c r="H669" t="s">
        <v>3650</v>
      </c>
      <c r="I669" t="s">
        <v>3651</v>
      </c>
      <c r="J669" t="s">
        <v>229</v>
      </c>
      <c r="K669" s="1">
        <v>4</v>
      </c>
      <c r="L669" t="s">
        <v>91</v>
      </c>
      <c r="M669" t="s">
        <v>70</v>
      </c>
      <c r="N669" t="s">
        <v>71</v>
      </c>
      <c r="P669" t="s">
        <v>72</v>
      </c>
      <c r="Q669" t="s">
        <v>427</v>
      </c>
      <c r="R669" t="s">
        <v>74</v>
      </c>
      <c r="S669" t="s">
        <v>3652</v>
      </c>
      <c r="T669" s="2">
        <v>878</v>
      </c>
      <c r="U669" s="3">
        <v>1.38</v>
      </c>
      <c r="V669" s="4">
        <v>1212</v>
      </c>
      <c r="AF669" s="5">
        <v>10</v>
      </c>
      <c r="AI669" s="1">
        <v>3</v>
      </c>
      <c r="AJ669" t="s">
        <v>81</v>
      </c>
      <c r="AK669" t="s">
        <v>82</v>
      </c>
      <c r="AL669" t="s">
        <v>83</v>
      </c>
      <c r="AM669" s="3">
        <v>1.3</v>
      </c>
      <c r="AN669" s="4">
        <v>1215</v>
      </c>
      <c r="AO669" s="1">
        <v>931</v>
      </c>
      <c r="AP669" s="3">
        <v>1.42</v>
      </c>
      <c r="AQ669" s="4">
        <v>1671</v>
      </c>
      <c r="AR669" s="1">
        <v>1180</v>
      </c>
      <c r="AS669" s="3">
        <v>597282.72</v>
      </c>
      <c r="AW669" t="s">
        <v>84</v>
      </c>
      <c r="AY669" s="3">
        <v>1.47</v>
      </c>
      <c r="AZ669" s="4">
        <v>1070</v>
      </c>
      <c r="BA669" s="1">
        <v>726</v>
      </c>
      <c r="BB669" s="1">
        <v>80</v>
      </c>
      <c r="BC669" s="1">
        <v>96</v>
      </c>
      <c r="BD669" s="1">
        <v>24</v>
      </c>
    </row>
    <row r="670" spans="1:62" x14ac:dyDescent="0.25">
      <c r="A670" t="s">
        <v>1518</v>
      </c>
      <c r="B670" t="s">
        <v>1519</v>
      </c>
      <c r="C670" s="1">
        <v>244</v>
      </c>
      <c r="D670" s="1">
        <v>1990</v>
      </c>
      <c r="E670" t="s">
        <v>64</v>
      </c>
      <c r="F670" t="s">
        <v>140</v>
      </c>
      <c r="G670" t="s">
        <v>1520</v>
      </c>
      <c r="H670" t="s">
        <v>1521</v>
      </c>
      <c r="I670" t="s">
        <v>1522</v>
      </c>
      <c r="J670" t="s">
        <v>1520</v>
      </c>
      <c r="K670" s="1">
        <v>4</v>
      </c>
      <c r="L670" t="s">
        <v>91</v>
      </c>
      <c r="M670" t="s">
        <v>70</v>
      </c>
      <c r="N670" t="s">
        <v>71</v>
      </c>
      <c r="P670" t="s">
        <v>72</v>
      </c>
      <c r="Q670" t="s">
        <v>140</v>
      </c>
      <c r="R670" t="s">
        <v>74</v>
      </c>
      <c r="S670" t="s">
        <v>1523</v>
      </c>
      <c r="T670" s="2">
        <v>739</v>
      </c>
      <c r="U670" s="3">
        <v>1.77</v>
      </c>
      <c r="V670" s="4">
        <v>1309</v>
      </c>
      <c r="AF670" s="5">
        <v>9.4261999999999997</v>
      </c>
      <c r="AH670" s="1">
        <v>2016</v>
      </c>
      <c r="AI670" s="1">
        <v>2</v>
      </c>
      <c r="AJ670" t="s">
        <v>81</v>
      </c>
      <c r="AK670" t="s">
        <v>82</v>
      </c>
      <c r="AL670" t="s">
        <v>83</v>
      </c>
      <c r="AM670" s="3">
        <v>1.89</v>
      </c>
      <c r="AN670" s="4">
        <v>1812</v>
      </c>
      <c r="AO670" s="1">
        <v>960</v>
      </c>
      <c r="AS670" s="3">
        <v>543605.22</v>
      </c>
      <c r="AW670" t="s">
        <v>84</v>
      </c>
      <c r="AY670" s="3">
        <v>1.73</v>
      </c>
      <c r="AZ670" s="4">
        <v>1173</v>
      </c>
      <c r="BA670" s="1">
        <v>679</v>
      </c>
      <c r="BB670" s="1">
        <v>192</v>
      </c>
      <c r="BC670" s="1">
        <v>52</v>
      </c>
    </row>
    <row r="671" spans="1:62" x14ac:dyDescent="0.25">
      <c r="A671" t="s">
        <v>3653</v>
      </c>
      <c r="B671" t="s">
        <v>3654</v>
      </c>
      <c r="C671" s="1">
        <v>126</v>
      </c>
      <c r="D671" s="1">
        <v>1994</v>
      </c>
      <c r="E671" t="s">
        <v>64</v>
      </c>
      <c r="F671" t="s">
        <v>140</v>
      </c>
      <c r="G671" t="s">
        <v>3655</v>
      </c>
      <c r="H671" t="s">
        <v>3654</v>
      </c>
      <c r="I671" t="s">
        <v>3655</v>
      </c>
      <c r="K671" s="1">
        <v>3</v>
      </c>
      <c r="L671" t="s">
        <v>91</v>
      </c>
      <c r="M671" t="s">
        <v>70</v>
      </c>
      <c r="N671" t="s">
        <v>71</v>
      </c>
      <c r="P671" t="s">
        <v>72</v>
      </c>
      <c r="Q671" t="s">
        <v>140</v>
      </c>
      <c r="R671" t="s">
        <v>74</v>
      </c>
      <c r="S671" t="s">
        <v>1351</v>
      </c>
      <c r="AI671" s="1">
        <v>2</v>
      </c>
      <c r="AJ671" t="s">
        <v>81</v>
      </c>
      <c r="AK671" t="s">
        <v>82</v>
      </c>
      <c r="AL671" t="s">
        <v>83</v>
      </c>
      <c r="AS671" s="3">
        <v>36152.800000000003</v>
      </c>
      <c r="AW671" t="s">
        <v>84</v>
      </c>
    </row>
    <row r="672" spans="1:62" x14ac:dyDescent="0.25">
      <c r="A672" t="s">
        <v>1524</v>
      </c>
      <c r="B672" t="s">
        <v>1525</v>
      </c>
      <c r="C672" s="1">
        <v>268</v>
      </c>
      <c r="D672" s="1">
        <v>1990</v>
      </c>
      <c r="E672" t="s">
        <v>64</v>
      </c>
      <c r="F672" t="s">
        <v>140</v>
      </c>
      <c r="G672" t="s">
        <v>1526</v>
      </c>
      <c r="H672" t="s">
        <v>1527</v>
      </c>
      <c r="I672" t="s">
        <v>1528</v>
      </c>
      <c r="J672" t="s">
        <v>1526</v>
      </c>
      <c r="K672" s="1">
        <v>3</v>
      </c>
      <c r="L672" t="s">
        <v>91</v>
      </c>
      <c r="M672" t="s">
        <v>70</v>
      </c>
      <c r="N672" t="s">
        <v>71</v>
      </c>
      <c r="P672" t="s">
        <v>72</v>
      </c>
      <c r="Q672" t="s">
        <v>140</v>
      </c>
      <c r="R672" t="s">
        <v>74</v>
      </c>
      <c r="S672" t="s">
        <v>1529</v>
      </c>
      <c r="T672" s="2">
        <v>713</v>
      </c>
      <c r="U672" s="3">
        <v>1.8</v>
      </c>
      <c r="V672" s="4">
        <v>1282</v>
      </c>
      <c r="AF672" s="5">
        <v>5.5970000000000004</v>
      </c>
      <c r="AI672" s="1">
        <v>2</v>
      </c>
      <c r="AJ672" t="s">
        <v>81</v>
      </c>
      <c r="AK672" t="s">
        <v>82</v>
      </c>
      <c r="AL672" t="s">
        <v>83</v>
      </c>
      <c r="AM672" s="3">
        <v>1.81</v>
      </c>
      <c r="AN672" s="4">
        <v>1658</v>
      </c>
      <c r="AO672" s="1">
        <v>917</v>
      </c>
      <c r="AS672" s="3">
        <v>469621.07</v>
      </c>
      <c r="AW672" t="s">
        <v>84</v>
      </c>
      <c r="AY672" s="3">
        <v>1.79</v>
      </c>
      <c r="AZ672" s="4">
        <v>1123</v>
      </c>
      <c r="BA672" s="1">
        <v>627</v>
      </c>
      <c r="BB672" s="1">
        <v>188</v>
      </c>
      <c r="BC672" s="1">
        <v>80</v>
      </c>
      <c r="BF672" t="s">
        <v>980</v>
      </c>
      <c r="BG672" t="s">
        <v>131</v>
      </c>
    </row>
    <row r="673" spans="1:62" x14ac:dyDescent="0.25">
      <c r="A673" t="s">
        <v>3656</v>
      </c>
      <c r="B673" t="s">
        <v>3657</v>
      </c>
      <c r="C673" s="1">
        <v>78</v>
      </c>
      <c r="D673" s="1">
        <v>1995</v>
      </c>
      <c r="E673" t="s">
        <v>64</v>
      </c>
      <c r="F673" t="s">
        <v>140</v>
      </c>
      <c r="G673" t="s">
        <v>3658</v>
      </c>
      <c r="H673" t="s">
        <v>3659</v>
      </c>
      <c r="I673" t="s">
        <v>3658</v>
      </c>
      <c r="K673" s="1">
        <v>3</v>
      </c>
      <c r="L673" t="s">
        <v>91</v>
      </c>
      <c r="M673" t="s">
        <v>70</v>
      </c>
      <c r="N673" t="s">
        <v>71</v>
      </c>
      <c r="P673" t="s">
        <v>72</v>
      </c>
      <c r="Q673" t="s">
        <v>140</v>
      </c>
      <c r="R673" t="s">
        <v>74</v>
      </c>
      <c r="S673" t="s">
        <v>1351</v>
      </c>
      <c r="T673" s="2">
        <v>1086</v>
      </c>
      <c r="AI673" s="1">
        <v>2</v>
      </c>
      <c r="AJ673" t="s">
        <v>81</v>
      </c>
      <c r="AK673" t="s">
        <v>82</v>
      </c>
      <c r="AL673" t="s">
        <v>83</v>
      </c>
      <c r="AO673" s="1">
        <v>1322</v>
      </c>
      <c r="AS673" s="3">
        <v>25334.15</v>
      </c>
      <c r="AW673" t="s">
        <v>84</v>
      </c>
      <c r="BA673" s="1">
        <v>874</v>
      </c>
      <c r="BB673" s="1">
        <v>41</v>
      </c>
      <c r="BC673" s="1">
        <v>37</v>
      </c>
      <c r="BF673" t="s">
        <v>3660</v>
      </c>
    </row>
    <row r="674" spans="1:62" x14ac:dyDescent="0.25">
      <c r="A674" t="s">
        <v>3661</v>
      </c>
      <c r="B674" t="s">
        <v>3662</v>
      </c>
      <c r="C674" s="1">
        <v>302</v>
      </c>
      <c r="D674" s="1">
        <v>1992</v>
      </c>
      <c r="E674" t="s">
        <v>64</v>
      </c>
      <c r="F674" t="s">
        <v>140</v>
      </c>
      <c r="G674" t="s">
        <v>3663</v>
      </c>
      <c r="H674" t="s">
        <v>3664</v>
      </c>
      <c r="I674" t="s">
        <v>3665</v>
      </c>
      <c r="J674" t="s">
        <v>3663</v>
      </c>
      <c r="K674" s="1">
        <v>3</v>
      </c>
      <c r="L674" t="s">
        <v>91</v>
      </c>
      <c r="M674" t="s">
        <v>70</v>
      </c>
      <c r="N674" t="s">
        <v>71</v>
      </c>
      <c r="P674" t="s">
        <v>72</v>
      </c>
      <c r="Q674" t="s">
        <v>140</v>
      </c>
      <c r="R674" t="s">
        <v>74</v>
      </c>
      <c r="S674" t="s">
        <v>1351</v>
      </c>
      <c r="T674" s="2">
        <v>810</v>
      </c>
      <c r="U674" s="3">
        <v>1.73</v>
      </c>
      <c r="V674" s="4">
        <v>1399</v>
      </c>
      <c r="AF674" s="5">
        <v>8.6092999999999993</v>
      </c>
      <c r="AH674" s="1">
        <v>2011</v>
      </c>
      <c r="AI674" s="1">
        <v>3</v>
      </c>
      <c r="AJ674" t="s">
        <v>81</v>
      </c>
      <c r="AK674" t="s">
        <v>82</v>
      </c>
      <c r="AL674" t="s">
        <v>83</v>
      </c>
      <c r="AM674" s="3">
        <v>1.53</v>
      </c>
      <c r="AN674" s="4">
        <v>1695</v>
      </c>
      <c r="AO674" s="1">
        <v>1110</v>
      </c>
      <c r="AS674" s="3">
        <v>819143.2</v>
      </c>
      <c r="AW674" t="s">
        <v>84</v>
      </c>
      <c r="AY674" s="3">
        <v>1.79</v>
      </c>
      <c r="AZ674" s="4">
        <v>1340</v>
      </c>
      <c r="BA674" s="1">
        <v>751</v>
      </c>
      <c r="BB674" s="1">
        <v>252</v>
      </c>
      <c r="BC674" s="1">
        <v>50</v>
      </c>
      <c r="BF674" t="s">
        <v>261</v>
      </c>
      <c r="BG674" t="s">
        <v>104</v>
      </c>
    </row>
    <row r="675" spans="1:62" x14ac:dyDescent="0.25">
      <c r="A675" t="s">
        <v>1530</v>
      </c>
      <c r="B675" t="s">
        <v>1531</v>
      </c>
      <c r="C675" s="1">
        <v>268</v>
      </c>
      <c r="D675" s="1">
        <v>1990</v>
      </c>
      <c r="E675" t="s">
        <v>64</v>
      </c>
      <c r="F675" t="s">
        <v>140</v>
      </c>
      <c r="G675" t="s">
        <v>1532</v>
      </c>
      <c r="H675" t="s">
        <v>1533</v>
      </c>
      <c r="I675" t="s">
        <v>1534</v>
      </c>
      <c r="J675" t="s">
        <v>1532</v>
      </c>
      <c r="K675" s="1">
        <v>3</v>
      </c>
      <c r="L675" t="s">
        <v>91</v>
      </c>
      <c r="M675" t="s">
        <v>70</v>
      </c>
      <c r="N675" t="s">
        <v>71</v>
      </c>
      <c r="P675" t="s">
        <v>72</v>
      </c>
      <c r="Q675" t="s">
        <v>140</v>
      </c>
      <c r="R675" t="s">
        <v>74</v>
      </c>
      <c r="S675" t="s">
        <v>1535</v>
      </c>
      <c r="T675" s="2">
        <v>797</v>
      </c>
      <c r="U675" s="3">
        <v>1.74</v>
      </c>
      <c r="V675" s="4">
        <v>1384</v>
      </c>
      <c r="AF675" s="5">
        <v>8.2089999999999996</v>
      </c>
      <c r="AI675" s="1">
        <v>3</v>
      </c>
      <c r="AJ675" t="s">
        <v>81</v>
      </c>
      <c r="AK675" t="s">
        <v>82</v>
      </c>
      <c r="AL675" t="s">
        <v>83</v>
      </c>
      <c r="AM675" s="3">
        <v>1.66</v>
      </c>
      <c r="AN675" s="4">
        <v>1782</v>
      </c>
      <c r="AO675" s="1">
        <v>1072</v>
      </c>
      <c r="AS675" s="3">
        <v>686973.37</v>
      </c>
      <c r="AW675" t="s">
        <v>84</v>
      </c>
      <c r="AY675" s="3">
        <v>1.78</v>
      </c>
      <c r="AZ675" s="4">
        <v>1238</v>
      </c>
      <c r="BA675" s="1">
        <v>696</v>
      </c>
      <c r="BB675" s="1">
        <v>196</v>
      </c>
      <c r="BC675" s="1">
        <v>72</v>
      </c>
    </row>
    <row r="676" spans="1:62" x14ac:dyDescent="0.25">
      <c r="A676" t="s">
        <v>3666</v>
      </c>
      <c r="B676" t="s">
        <v>3667</v>
      </c>
      <c r="C676" s="1">
        <v>408</v>
      </c>
      <c r="D676" s="1">
        <v>1992</v>
      </c>
      <c r="E676" t="s">
        <v>64</v>
      </c>
      <c r="F676" t="s">
        <v>140</v>
      </c>
      <c r="G676" t="s">
        <v>1038</v>
      </c>
      <c r="H676" t="s">
        <v>3668</v>
      </c>
      <c r="I676" t="s">
        <v>1038</v>
      </c>
      <c r="J676" t="s">
        <v>1038</v>
      </c>
      <c r="K676" s="1">
        <v>4</v>
      </c>
      <c r="L676" t="s">
        <v>91</v>
      </c>
      <c r="M676" t="s">
        <v>70</v>
      </c>
      <c r="N676" t="s">
        <v>71</v>
      </c>
      <c r="P676" t="s">
        <v>72</v>
      </c>
      <c r="Q676" t="s">
        <v>140</v>
      </c>
      <c r="R676" t="s">
        <v>74</v>
      </c>
      <c r="S676" t="s">
        <v>1535</v>
      </c>
      <c r="T676" s="2">
        <v>906</v>
      </c>
      <c r="U676" s="3">
        <v>1.89</v>
      </c>
      <c r="V676" s="4">
        <v>1712</v>
      </c>
      <c r="AF676" s="5">
        <v>4.6569000000000003</v>
      </c>
      <c r="AI676" s="1">
        <v>2</v>
      </c>
      <c r="AJ676" t="s">
        <v>81</v>
      </c>
      <c r="AK676" t="s">
        <v>82</v>
      </c>
      <c r="AL676" t="s">
        <v>83</v>
      </c>
      <c r="AM676" s="3">
        <v>1.88</v>
      </c>
      <c r="AN676" s="4">
        <v>2057</v>
      </c>
      <c r="AO676" s="1">
        <v>1095</v>
      </c>
      <c r="AS676" s="3">
        <v>987801.05</v>
      </c>
      <c r="AW676" t="s">
        <v>84</v>
      </c>
      <c r="AY676" s="3">
        <v>1.9</v>
      </c>
      <c r="AZ676" s="4">
        <v>1471</v>
      </c>
      <c r="BA676" s="1">
        <v>775</v>
      </c>
      <c r="BB676" s="1">
        <v>240</v>
      </c>
      <c r="BC676" s="1">
        <v>168</v>
      </c>
      <c r="BG676" t="s">
        <v>131</v>
      </c>
    </row>
    <row r="677" spans="1:62" x14ac:dyDescent="0.25">
      <c r="A677" t="s">
        <v>3669</v>
      </c>
      <c r="B677" t="s">
        <v>3670</v>
      </c>
      <c r="C677" s="1">
        <v>342</v>
      </c>
      <c r="D677" s="1">
        <v>1996</v>
      </c>
      <c r="E677" t="s">
        <v>64</v>
      </c>
      <c r="F677" t="s">
        <v>140</v>
      </c>
      <c r="G677" t="s">
        <v>1532</v>
      </c>
      <c r="H677" t="s">
        <v>3671</v>
      </c>
      <c r="I677" t="s">
        <v>3672</v>
      </c>
      <c r="J677" t="s">
        <v>1532</v>
      </c>
      <c r="K677" s="1">
        <v>4</v>
      </c>
      <c r="L677" t="s">
        <v>729</v>
      </c>
      <c r="M677" t="s">
        <v>70</v>
      </c>
      <c r="N677" t="s">
        <v>71</v>
      </c>
      <c r="P677" t="s">
        <v>72</v>
      </c>
      <c r="Q677" t="s">
        <v>140</v>
      </c>
      <c r="R677" t="s">
        <v>74</v>
      </c>
      <c r="S677" t="s">
        <v>1535</v>
      </c>
      <c r="T677" s="2">
        <v>930</v>
      </c>
      <c r="U677" s="3">
        <v>1.67</v>
      </c>
      <c r="V677" s="4">
        <v>1552</v>
      </c>
      <c r="AF677" s="5">
        <v>12.5731</v>
      </c>
      <c r="AI677" s="1">
        <v>2</v>
      </c>
      <c r="AJ677" t="s">
        <v>81</v>
      </c>
      <c r="AK677" t="s">
        <v>82</v>
      </c>
      <c r="AL677" t="s">
        <v>83</v>
      </c>
      <c r="AM677" s="3">
        <v>1.65</v>
      </c>
      <c r="AN677" s="4">
        <v>1704</v>
      </c>
      <c r="AO677" s="1">
        <v>1032</v>
      </c>
      <c r="AP677" s="3">
        <v>1.63</v>
      </c>
      <c r="AQ677" s="4">
        <v>2198</v>
      </c>
      <c r="AR677" s="1">
        <v>1345</v>
      </c>
      <c r="AS677" s="3">
        <v>983678.62</v>
      </c>
      <c r="AW677" t="s">
        <v>84</v>
      </c>
      <c r="AY677" s="3">
        <v>1.66</v>
      </c>
      <c r="AZ677" s="4">
        <v>1332</v>
      </c>
      <c r="BA677" s="1">
        <v>802</v>
      </c>
      <c r="BB677" s="1">
        <v>194</v>
      </c>
      <c r="BC677" s="1">
        <v>116</v>
      </c>
      <c r="BD677" s="1">
        <v>32</v>
      </c>
      <c r="BG677" t="s">
        <v>131</v>
      </c>
    </row>
    <row r="678" spans="1:62" x14ac:dyDescent="0.25">
      <c r="A678" t="s">
        <v>3673</v>
      </c>
      <c r="B678" t="s">
        <v>3674</v>
      </c>
      <c r="C678" s="1">
        <v>96</v>
      </c>
      <c r="D678" s="1">
        <v>1995</v>
      </c>
      <c r="E678" t="s">
        <v>64</v>
      </c>
      <c r="F678" t="s">
        <v>269</v>
      </c>
      <c r="G678" t="s">
        <v>3146</v>
      </c>
      <c r="H678" t="s">
        <v>3675</v>
      </c>
      <c r="I678" t="s">
        <v>3676</v>
      </c>
      <c r="J678" t="s">
        <v>3146</v>
      </c>
      <c r="K678" s="1">
        <v>3</v>
      </c>
      <c r="L678" t="s">
        <v>91</v>
      </c>
      <c r="M678" t="s">
        <v>70</v>
      </c>
      <c r="N678" t="s">
        <v>71</v>
      </c>
      <c r="P678" t="s">
        <v>72</v>
      </c>
      <c r="Q678" t="s">
        <v>73</v>
      </c>
      <c r="R678" t="s">
        <v>74</v>
      </c>
      <c r="S678" t="s">
        <v>1551</v>
      </c>
      <c r="T678" s="2">
        <v>1049</v>
      </c>
      <c r="U678" s="3">
        <v>1.5</v>
      </c>
      <c r="V678" s="4">
        <v>1569</v>
      </c>
      <c r="AF678" s="5">
        <v>11.458299999999999</v>
      </c>
      <c r="AI678" s="1">
        <v>2</v>
      </c>
      <c r="AJ678" t="s">
        <v>81</v>
      </c>
      <c r="AK678" t="s">
        <v>82</v>
      </c>
      <c r="AL678" t="s">
        <v>83</v>
      </c>
      <c r="AM678" s="3">
        <v>1.37</v>
      </c>
      <c r="AN678" s="4">
        <v>1775</v>
      </c>
      <c r="AO678" s="1">
        <v>1297</v>
      </c>
      <c r="AS678" s="3">
        <v>371350.25</v>
      </c>
      <c r="AW678" t="s">
        <v>84</v>
      </c>
      <c r="AY678" s="3">
        <v>1.7</v>
      </c>
      <c r="AZ678" s="4">
        <v>1364</v>
      </c>
      <c r="BA678" s="1">
        <v>802</v>
      </c>
      <c r="BB678" s="1">
        <v>48</v>
      </c>
      <c r="BC678" s="1">
        <v>48</v>
      </c>
    </row>
    <row r="679" spans="1:62" x14ac:dyDescent="0.25">
      <c r="A679" t="s">
        <v>3677</v>
      </c>
      <c r="B679" t="s">
        <v>3678</v>
      </c>
      <c r="C679" s="1">
        <v>208</v>
      </c>
      <c r="D679" s="1">
        <v>1995</v>
      </c>
      <c r="E679" t="s">
        <v>64</v>
      </c>
      <c r="F679" t="s">
        <v>269</v>
      </c>
      <c r="G679" t="s">
        <v>3679</v>
      </c>
      <c r="H679" t="s">
        <v>3680</v>
      </c>
      <c r="I679" t="s">
        <v>3681</v>
      </c>
      <c r="J679" t="s">
        <v>3679</v>
      </c>
      <c r="K679" s="1">
        <v>4</v>
      </c>
      <c r="L679" t="s">
        <v>91</v>
      </c>
      <c r="M679" t="s">
        <v>70</v>
      </c>
      <c r="N679" t="s">
        <v>71</v>
      </c>
      <c r="P679" t="s">
        <v>72</v>
      </c>
      <c r="Q679" t="s">
        <v>73</v>
      </c>
      <c r="R679" t="s">
        <v>74</v>
      </c>
      <c r="S679" t="s">
        <v>1551</v>
      </c>
      <c r="T679" s="2">
        <v>1027</v>
      </c>
      <c r="U679" s="3">
        <v>1.99</v>
      </c>
      <c r="V679" s="4">
        <v>2044</v>
      </c>
      <c r="AF679" s="5">
        <v>8.1730999999999998</v>
      </c>
      <c r="AI679" s="1">
        <v>3</v>
      </c>
      <c r="AJ679" t="s">
        <v>81</v>
      </c>
      <c r="AK679" t="s">
        <v>82</v>
      </c>
      <c r="AL679" t="s">
        <v>83</v>
      </c>
      <c r="AM679" s="3">
        <v>1.93</v>
      </c>
      <c r="AN679" s="4">
        <v>2159</v>
      </c>
      <c r="AO679" s="1">
        <v>1119</v>
      </c>
      <c r="AS679" s="3">
        <v>1045547.03</v>
      </c>
      <c r="AW679" t="s">
        <v>84</v>
      </c>
      <c r="AY679" s="3">
        <v>2.1800000000000002</v>
      </c>
      <c r="AZ679" s="4">
        <v>1788</v>
      </c>
      <c r="BA679" s="1">
        <v>822</v>
      </c>
      <c r="BB679" s="1">
        <v>64</v>
      </c>
      <c r="BC679" s="1">
        <v>144</v>
      </c>
      <c r="BF679" t="s">
        <v>3682</v>
      </c>
    </row>
    <row r="680" spans="1:62" x14ac:dyDescent="0.25">
      <c r="A680" t="s">
        <v>3683</v>
      </c>
      <c r="B680" t="s">
        <v>3684</v>
      </c>
      <c r="C680" s="1">
        <v>120</v>
      </c>
      <c r="D680" s="1">
        <v>1994</v>
      </c>
      <c r="E680" t="s">
        <v>64</v>
      </c>
      <c r="F680" t="s">
        <v>734</v>
      </c>
      <c r="G680" t="s">
        <v>735</v>
      </c>
      <c r="H680" t="s">
        <v>3685</v>
      </c>
      <c r="J680" t="s">
        <v>735</v>
      </c>
      <c r="K680" s="1">
        <v>2</v>
      </c>
      <c r="L680" t="s">
        <v>69</v>
      </c>
      <c r="M680" t="s">
        <v>70</v>
      </c>
      <c r="N680" t="s">
        <v>71</v>
      </c>
      <c r="P680" t="s">
        <v>72</v>
      </c>
      <c r="Q680" t="s">
        <v>73</v>
      </c>
      <c r="R680" t="s">
        <v>74</v>
      </c>
      <c r="S680" t="s">
        <v>738</v>
      </c>
      <c r="T680" s="2">
        <v>850</v>
      </c>
      <c r="U680" s="3">
        <v>1.4</v>
      </c>
      <c r="V680" s="4">
        <v>1187</v>
      </c>
      <c r="AF680" s="5">
        <v>17.5</v>
      </c>
      <c r="AI680" s="1">
        <v>2</v>
      </c>
      <c r="AJ680" t="s">
        <v>81</v>
      </c>
      <c r="AK680" t="s">
        <v>82</v>
      </c>
      <c r="AL680" t="s">
        <v>83</v>
      </c>
      <c r="AM680" s="3">
        <v>1.21</v>
      </c>
      <c r="AN680" s="4">
        <v>1498</v>
      </c>
      <c r="AO680" s="1">
        <v>1235</v>
      </c>
      <c r="AS680" s="3">
        <v>206976.39</v>
      </c>
      <c r="AW680" t="s">
        <v>84</v>
      </c>
      <c r="AY680" s="3">
        <v>1.42</v>
      </c>
      <c r="AZ680" s="4">
        <v>1159</v>
      </c>
      <c r="BA680" s="1">
        <v>816</v>
      </c>
      <c r="BB680" s="1">
        <v>110</v>
      </c>
      <c r="BC680" s="1">
        <v>10</v>
      </c>
    </row>
    <row r="681" spans="1:62" x14ac:dyDescent="0.25">
      <c r="A681" t="s">
        <v>3686</v>
      </c>
      <c r="B681" t="s">
        <v>3687</v>
      </c>
      <c r="C681" s="1">
        <v>350</v>
      </c>
      <c r="D681" s="1">
        <v>1997</v>
      </c>
      <c r="E681" t="s">
        <v>64</v>
      </c>
      <c r="F681" t="s">
        <v>269</v>
      </c>
      <c r="G681" t="s">
        <v>2786</v>
      </c>
      <c r="H681" t="s">
        <v>3688</v>
      </c>
      <c r="I681" t="s">
        <v>3689</v>
      </c>
      <c r="J681" t="s">
        <v>2786</v>
      </c>
      <c r="K681" s="1">
        <v>3</v>
      </c>
      <c r="L681" t="s">
        <v>91</v>
      </c>
      <c r="M681" t="s">
        <v>70</v>
      </c>
      <c r="N681" t="s">
        <v>71</v>
      </c>
      <c r="P681" t="s">
        <v>72</v>
      </c>
      <c r="Q681" t="s">
        <v>73</v>
      </c>
      <c r="R681" t="s">
        <v>74</v>
      </c>
      <c r="S681" t="s">
        <v>1551</v>
      </c>
      <c r="T681" s="2">
        <v>922</v>
      </c>
      <c r="U681" s="3">
        <v>1.39</v>
      </c>
      <c r="V681" s="4">
        <v>1281</v>
      </c>
      <c r="AF681" s="5">
        <v>2.8571</v>
      </c>
      <c r="AI681" s="1">
        <v>3</v>
      </c>
      <c r="AJ681" t="s">
        <v>81</v>
      </c>
      <c r="AK681" t="s">
        <v>82</v>
      </c>
      <c r="AL681" t="s">
        <v>83</v>
      </c>
      <c r="AM681" s="3">
        <v>1.32</v>
      </c>
      <c r="AN681" s="4">
        <v>1462</v>
      </c>
      <c r="AO681" s="1">
        <v>1105</v>
      </c>
      <c r="AS681" s="3">
        <v>1117515</v>
      </c>
      <c r="AW681" t="s">
        <v>84</v>
      </c>
      <c r="AY681" s="3">
        <v>1.47</v>
      </c>
      <c r="AZ681" s="4">
        <v>1122</v>
      </c>
      <c r="BA681" s="1">
        <v>762</v>
      </c>
      <c r="BB681" s="1">
        <v>186</v>
      </c>
      <c r="BC681" s="1">
        <v>164</v>
      </c>
    </row>
    <row r="682" spans="1:62" x14ac:dyDescent="0.25">
      <c r="A682" t="s">
        <v>3690</v>
      </c>
      <c r="B682" t="s">
        <v>3691</v>
      </c>
      <c r="C682" s="1">
        <v>266</v>
      </c>
      <c r="D682" s="1">
        <v>1997</v>
      </c>
      <c r="E682" t="s">
        <v>64</v>
      </c>
      <c r="F682" t="s">
        <v>140</v>
      </c>
      <c r="G682" t="s">
        <v>478</v>
      </c>
      <c r="H682" t="s">
        <v>3692</v>
      </c>
      <c r="I682" t="s">
        <v>3693</v>
      </c>
      <c r="J682" t="s">
        <v>478</v>
      </c>
      <c r="K682" s="1">
        <v>3</v>
      </c>
      <c r="L682" t="s">
        <v>91</v>
      </c>
      <c r="M682" t="s">
        <v>70</v>
      </c>
      <c r="N682" t="s">
        <v>71</v>
      </c>
      <c r="P682" t="s">
        <v>72</v>
      </c>
      <c r="Q682" t="s">
        <v>140</v>
      </c>
      <c r="R682" t="s">
        <v>74</v>
      </c>
      <c r="S682" t="s">
        <v>1351</v>
      </c>
      <c r="T682" s="2">
        <v>1098</v>
      </c>
      <c r="U682" s="3">
        <v>1.72</v>
      </c>
      <c r="V682" s="4">
        <v>1888</v>
      </c>
      <c r="AF682" s="5">
        <v>6.7668999999999997</v>
      </c>
      <c r="AI682" s="1">
        <v>2</v>
      </c>
      <c r="AJ682" t="s">
        <v>81</v>
      </c>
      <c r="AK682" t="s">
        <v>82</v>
      </c>
      <c r="AL682" t="s">
        <v>83</v>
      </c>
      <c r="AM682" s="3">
        <v>1.63</v>
      </c>
      <c r="AN682" s="4">
        <v>2084</v>
      </c>
      <c r="AO682" s="1">
        <v>1283</v>
      </c>
      <c r="AS682" s="3">
        <v>870933.63</v>
      </c>
      <c r="AW682" t="s">
        <v>84</v>
      </c>
      <c r="AY682" s="3">
        <v>1.88</v>
      </c>
      <c r="AZ682" s="4">
        <v>1653</v>
      </c>
      <c r="BA682" s="1">
        <v>878</v>
      </c>
      <c r="BB682" s="1">
        <v>121</v>
      </c>
      <c r="BC682" s="1">
        <v>145</v>
      </c>
    </row>
    <row r="683" spans="1:62" x14ac:dyDescent="0.25">
      <c r="A683" t="s">
        <v>3694</v>
      </c>
      <c r="B683" t="s">
        <v>3695</v>
      </c>
      <c r="C683" s="1">
        <v>276</v>
      </c>
      <c r="D683" s="1">
        <v>1996</v>
      </c>
      <c r="E683" t="s">
        <v>64</v>
      </c>
      <c r="F683" t="s">
        <v>140</v>
      </c>
      <c r="G683" t="s">
        <v>2395</v>
      </c>
      <c r="H683" t="s">
        <v>3696</v>
      </c>
      <c r="I683" t="s">
        <v>3697</v>
      </c>
      <c r="J683" t="s">
        <v>2395</v>
      </c>
      <c r="K683" s="1">
        <v>3</v>
      </c>
      <c r="L683" t="s">
        <v>91</v>
      </c>
      <c r="M683" t="s">
        <v>70</v>
      </c>
      <c r="N683" t="s">
        <v>71</v>
      </c>
      <c r="P683" t="s">
        <v>72</v>
      </c>
      <c r="Q683" t="s">
        <v>140</v>
      </c>
      <c r="R683" t="s">
        <v>74</v>
      </c>
      <c r="S683" t="s">
        <v>1535</v>
      </c>
      <c r="T683" s="2">
        <v>863</v>
      </c>
      <c r="U683" s="3">
        <v>2.0499999999999998</v>
      </c>
      <c r="V683" s="4">
        <v>1769</v>
      </c>
      <c r="AF683" s="5">
        <v>5.4348000000000001</v>
      </c>
      <c r="AI683" s="1">
        <v>2</v>
      </c>
      <c r="AJ683" t="s">
        <v>81</v>
      </c>
      <c r="AK683" t="s">
        <v>82</v>
      </c>
      <c r="AL683" t="s">
        <v>83</v>
      </c>
      <c r="AM683" s="3">
        <v>1.97</v>
      </c>
      <c r="AN683" s="4">
        <v>1987</v>
      </c>
      <c r="AO683" s="1">
        <v>1008</v>
      </c>
      <c r="AP683" s="3">
        <v>1.86</v>
      </c>
      <c r="AQ683" s="4">
        <v>2546</v>
      </c>
      <c r="AR683" s="1">
        <v>1372</v>
      </c>
      <c r="AS683" s="3">
        <v>811762.7</v>
      </c>
      <c r="AW683" t="s">
        <v>84</v>
      </c>
      <c r="AY683" s="3">
        <v>2.14</v>
      </c>
      <c r="AZ683" s="4">
        <v>1581</v>
      </c>
      <c r="BA683" s="1">
        <v>738</v>
      </c>
      <c r="BB683" s="1">
        <v>162</v>
      </c>
      <c r="BC683" s="1">
        <v>104</v>
      </c>
      <c r="BD683" s="1">
        <v>10</v>
      </c>
    </row>
    <row r="684" spans="1:62" x14ac:dyDescent="0.25">
      <c r="A684" t="s">
        <v>3698</v>
      </c>
      <c r="B684" t="s">
        <v>3699</v>
      </c>
      <c r="C684" s="1">
        <v>187</v>
      </c>
      <c r="D684" s="1">
        <v>1993</v>
      </c>
      <c r="E684" t="s">
        <v>64</v>
      </c>
      <c r="F684" t="s">
        <v>269</v>
      </c>
      <c r="G684" t="s">
        <v>2786</v>
      </c>
      <c r="H684" t="s">
        <v>3700</v>
      </c>
      <c r="I684" t="s">
        <v>2786</v>
      </c>
      <c r="J684" t="s">
        <v>2786</v>
      </c>
      <c r="K684" s="1">
        <v>3</v>
      </c>
      <c r="L684" t="s">
        <v>91</v>
      </c>
      <c r="M684" t="s">
        <v>70</v>
      </c>
      <c r="N684" t="s">
        <v>71</v>
      </c>
      <c r="P684" t="s">
        <v>72</v>
      </c>
      <c r="Q684" t="s">
        <v>73</v>
      </c>
      <c r="R684" t="s">
        <v>74</v>
      </c>
      <c r="S684" t="s">
        <v>272</v>
      </c>
      <c r="T684" s="2">
        <v>1064</v>
      </c>
      <c r="U684" s="3">
        <v>1.57</v>
      </c>
      <c r="V684" s="4">
        <v>1672</v>
      </c>
      <c r="AF684" s="5">
        <v>0.53480000000000005</v>
      </c>
      <c r="AI684" s="1">
        <v>3</v>
      </c>
      <c r="AJ684" t="s">
        <v>81</v>
      </c>
      <c r="AK684" t="s">
        <v>82</v>
      </c>
      <c r="AL684" t="s">
        <v>83</v>
      </c>
      <c r="AM684" s="3">
        <v>1.49</v>
      </c>
      <c r="AN684" s="4">
        <v>1843</v>
      </c>
      <c r="AO684" s="1">
        <v>1240</v>
      </c>
      <c r="AP684" s="3">
        <v>1.63</v>
      </c>
      <c r="AQ684" s="4">
        <v>2275</v>
      </c>
      <c r="AR684" s="1">
        <v>1395</v>
      </c>
      <c r="AS684" s="3">
        <v>698446.88</v>
      </c>
      <c r="AW684" t="s">
        <v>84</v>
      </c>
      <c r="AY684" s="3">
        <v>1.68</v>
      </c>
      <c r="AZ684" s="4">
        <v>1483</v>
      </c>
      <c r="BA684" s="1">
        <v>883</v>
      </c>
      <c r="BB684" s="1">
        <v>94</v>
      </c>
      <c r="BC684" s="1">
        <v>89</v>
      </c>
      <c r="BD684" s="1">
        <v>4</v>
      </c>
      <c r="BG684" t="s">
        <v>131</v>
      </c>
    </row>
    <row r="685" spans="1:62" x14ac:dyDescent="0.25">
      <c r="A685" t="s">
        <v>3701</v>
      </c>
      <c r="B685" t="s">
        <v>3702</v>
      </c>
      <c r="C685" s="1">
        <v>220</v>
      </c>
      <c r="D685" s="1">
        <v>2000</v>
      </c>
      <c r="E685" t="s">
        <v>64</v>
      </c>
      <c r="F685" t="s">
        <v>531</v>
      </c>
      <c r="G685" t="s">
        <v>2732</v>
      </c>
      <c r="I685" t="s">
        <v>3703</v>
      </c>
      <c r="J685" t="s">
        <v>2732</v>
      </c>
      <c r="K685" s="1">
        <v>2</v>
      </c>
      <c r="L685" t="s">
        <v>69</v>
      </c>
      <c r="M685" t="s">
        <v>70</v>
      </c>
      <c r="N685" t="s">
        <v>127</v>
      </c>
      <c r="P685" t="s">
        <v>72</v>
      </c>
      <c r="Q685" t="s">
        <v>531</v>
      </c>
      <c r="R685" t="s">
        <v>74</v>
      </c>
      <c r="S685" t="s">
        <v>3704</v>
      </c>
      <c r="AF685" s="5">
        <v>1.3635999999999999</v>
      </c>
      <c r="AI685" s="1">
        <v>1</v>
      </c>
      <c r="AJ685" t="s">
        <v>81</v>
      </c>
      <c r="AK685" t="s">
        <v>82</v>
      </c>
      <c r="AL685" t="s">
        <v>83</v>
      </c>
      <c r="AS685" s="3">
        <v>534857.09</v>
      </c>
      <c r="AW685" t="s">
        <v>84</v>
      </c>
    </row>
    <row r="686" spans="1:62" x14ac:dyDescent="0.25">
      <c r="A686" t="s">
        <v>3705</v>
      </c>
      <c r="B686" t="s">
        <v>3706</v>
      </c>
      <c r="C686" s="1">
        <v>357</v>
      </c>
      <c r="D686" s="1">
        <v>2000</v>
      </c>
      <c r="E686" t="s">
        <v>64</v>
      </c>
      <c r="F686" t="s">
        <v>1133</v>
      </c>
      <c r="G686" t="s">
        <v>784</v>
      </c>
      <c r="H686" t="s">
        <v>3707</v>
      </c>
      <c r="I686" t="s">
        <v>3708</v>
      </c>
      <c r="J686" t="s">
        <v>784</v>
      </c>
      <c r="K686" s="1">
        <v>4</v>
      </c>
      <c r="L686" t="s">
        <v>91</v>
      </c>
      <c r="M686" t="s">
        <v>70</v>
      </c>
      <c r="N686" t="s">
        <v>71</v>
      </c>
      <c r="P686" t="s">
        <v>72</v>
      </c>
      <c r="Q686" t="s">
        <v>264</v>
      </c>
      <c r="R686" t="s">
        <v>74</v>
      </c>
      <c r="S686" t="s">
        <v>1594</v>
      </c>
      <c r="T686" s="2">
        <v>982</v>
      </c>
      <c r="U686" s="3">
        <v>1.69</v>
      </c>
      <c r="V686" s="4">
        <v>1665</v>
      </c>
      <c r="AF686" s="5">
        <v>12.605</v>
      </c>
      <c r="AI686" s="1">
        <v>3</v>
      </c>
      <c r="AJ686" t="s">
        <v>81</v>
      </c>
      <c r="AK686" t="s">
        <v>82</v>
      </c>
      <c r="AL686" t="s">
        <v>83</v>
      </c>
      <c r="AM686" s="3">
        <v>1.65</v>
      </c>
      <c r="AN686" s="4">
        <v>1844</v>
      </c>
      <c r="AO686" s="1">
        <v>1121</v>
      </c>
      <c r="AP686" s="3">
        <v>1.62</v>
      </c>
      <c r="AQ686" s="4">
        <v>2197</v>
      </c>
      <c r="AR686" s="1">
        <v>1357</v>
      </c>
      <c r="AS686" s="3">
        <v>1418545.28</v>
      </c>
      <c r="AW686" t="s">
        <v>84</v>
      </c>
      <c r="AY686" s="3">
        <v>1.76</v>
      </c>
      <c r="AZ686" s="4">
        <v>1435</v>
      </c>
      <c r="BA686" s="1">
        <v>814</v>
      </c>
      <c r="BB686" s="1">
        <v>181</v>
      </c>
      <c r="BC686" s="1">
        <v>147</v>
      </c>
      <c r="BD686" s="1">
        <v>29</v>
      </c>
      <c r="BG686" t="s">
        <v>365</v>
      </c>
    </row>
    <row r="687" spans="1:62" x14ac:dyDescent="0.25">
      <c r="A687" t="s">
        <v>3709</v>
      </c>
      <c r="B687" t="s">
        <v>3710</v>
      </c>
      <c r="C687" s="1">
        <v>120</v>
      </c>
      <c r="D687" s="1">
        <v>2000</v>
      </c>
      <c r="E687" t="s">
        <v>64</v>
      </c>
      <c r="F687" t="s">
        <v>439</v>
      </c>
      <c r="G687" t="s">
        <v>3711</v>
      </c>
      <c r="H687" t="s">
        <v>3712</v>
      </c>
      <c r="I687" t="s">
        <v>3713</v>
      </c>
      <c r="J687" t="s">
        <v>3711</v>
      </c>
      <c r="K687" s="1">
        <v>3</v>
      </c>
      <c r="L687" t="s">
        <v>69</v>
      </c>
      <c r="M687" t="s">
        <v>70</v>
      </c>
      <c r="N687" t="s">
        <v>71</v>
      </c>
      <c r="O687" t="s">
        <v>118</v>
      </c>
      <c r="P687" t="s">
        <v>72</v>
      </c>
      <c r="Q687" t="s">
        <v>885</v>
      </c>
      <c r="R687" t="s">
        <v>74</v>
      </c>
      <c r="S687" t="s">
        <v>886</v>
      </c>
      <c r="T687" s="2">
        <v>1294</v>
      </c>
      <c r="U687" s="3">
        <v>0.79</v>
      </c>
      <c r="V687" s="4">
        <v>1020</v>
      </c>
      <c r="AI687" s="1">
        <v>2</v>
      </c>
      <c r="AJ687" t="s">
        <v>81</v>
      </c>
      <c r="AK687" t="s">
        <v>82</v>
      </c>
      <c r="AL687" t="s">
        <v>83</v>
      </c>
      <c r="AM687" s="3">
        <v>0.78</v>
      </c>
      <c r="AN687" s="4">
        <v>937</v>
      </c>
      <c r="AO687" s="1">
        <v>1200</v>
      </c>
      <c r="AP687" s="3">
        <v>0.78</v>
      </c>
      <c r="AQ687" s="4">
        <v>1090</v>
      </c>
      <c r="AR687" s="1">
        <v>1394</v>
      </c>
      <c r="AS687" s="3">
        <v>88936.5</v>
      </c>
      <c r="AW687" t="s">
        <v>84</v>
      </c>
      <c r="BC687" s="1">
        <v>64</v>
      </c>
      <c r="BD687" s="1">
        <v>44</v>
      </c>
      <c r="BE687" s="1">
        <v>12</v>
      </c>
      <c r="BH687" s="3">
        <v>0.85</v>
      </c>
      <c r="BI687" s="4">
        <v>1212</v>
      </c>
      <c r="BJ687" s="1">
        <v>1428</v>
      </c>
    </row>
    <row r="688" spans="1:62" x14ac:dyDescent="0.25">
      <c r="A688" t="s">
        <v>3714</v>
      </c>
      <c r="B688" t="s">
        <v>3715</v>
      </c>
      <c r="C688" s="1">
        <v>131</v>
      </c>
      <c r="D688" s="1">
        <v>1999</v>
      </c>
      <c r="E688" t="s">
        <v>64</v>
      </c>
      <c r="F688" t="s">
        <v>3716</v>
      </c>
      <c r="G688" t="s">
        <v>3717</v>
      </c>
      <c r="H688" t="s">
        <v>3718</v>
      </c>
      <c r="I688" t="s">
        <v>3719</v>
      </c>
      <c r="J688" t="s">
        <v>3717</v>
      </c>
      <c r="K688" s="1">
        <v>3</v>
      </c>
      <c r="L688" t="s">
        <v>91</v>
      </c>
      <c r="M688" t="s">
        <v>70</v>
      </c>
      <c r="N688" t="s">
        <v>71</v>
      </c>
      <c r="O688" t="s">
        <v>118</v>
      </c>
      <c r="P688" t="s">
        <v>72</v>
      </c>
      <c r="Q688" t="s">
        <v>73</v>
      </c>
      <c r="R688" t="s">
        <v>74</v>
      </c>
      <c r="S688" t="s">
        <v>2687</v>
      </c>
      <c r="T688" s="2">
        <v>870</v>
      </c>
      <c r="U688" s="3">
        <v>1.34</v>
      </c>
      <c r="V688" s="4">
        <v>1166</v>
      </c>
      <c r="AF688" s="5">
        <v>7.6336000000000004</v>
      </c>
      <c r="AI688" s="1">
        <v>2</v>
      </c>
      <c r="AJ688" t="s">
        <v>81</v>
      </c>
      <c r="AK688" t="s">
        <v>82</v>
      </c>
      <c r="AL688" t="s">
        <v>83</v>
      </c>
      <c r="AM688" s="3">
        <v>1.31</v>
      </c>
      <c r="AN688" s="4">
        <v>1240</v>
      </c>
      <c r="AO688" s="1">
        <v>950</v>
      </c>
      <c r="AS688" s="3">
        <v>333779.38</v>
      </c>
      <c r="AW688" t="s">
        <v>84</v>
      </c>
      <c r="AY688" s="3">
        <v>1.4</v>
      </c>
      <c r="AZ688" s="4">
        <v>1052</v>
      </c>
      <c r="BA688" s="1">
        <v>750</v>
      </c>
      <c r="BB688" s="1">
        <v>52</v>
      </c>
      <c r="BC688" s="1">
        <v>79</v>
      </c>
      <c r="BF688" t="s">
        <v>679</v>
      </c>
      <c r="BG688" t="s">
        <v>131</v>
      </c>
    </row>
    <row r="689" spans="1:59" x14ac:dyDescent="0.25">
      <c r="A689" t="s">
        <v>3720</v>
      </c>
      <c r="B689" t="s">
        <v>3721</v>
      </c>
      <c r="C689" s="1">
        <v>240</v>
      </c>
      <c r="D689" s="1">
        <v>1992</v>
      </c>
      <c r="E689" t="s">
        <v>64</v>
      </c>
      <c r="F689" t="s">
        <v>140</v>
      </c>
      <c r="G689" t="s">
        <v>2659</v>
      </c>
      <c r="H689" t="s">
        <v>3722</v>
      </c>
      <c r="I689" t="s">
        <v>3723</v>
      </c>
      <c r="J689" t="s">
        <v>2659</v>
      </c>
      <c r="K689" s="1">
        <v>3</v>
      </c>
      <c r="L689" t="s">
        <v>91</v>
      </c>
      <c r="M689" t="s">
        <v>70</v>
      </c>
      <c r="N689" t="s">
        <v>71</v>
      </c>
      <c r="P689" t="s">
        <v>72</v>
      </c>
      <c r="Q689" t="s">
        <v>134</v>
      </c>
      <c r="R689" t="s">
        <v>74</v>
      </c>
      <c r="S689" t="s">
        <v>1007</v>
      </c>
      <c r="T689" s="2">
        <v>932</v>
      </c>
      <c r="U689" s="3">
        <v>1.78</v>
      </c>
      <c r="V689" s="4">
        <v>1656</v>
      </c>
      <c r="AF689" s="5">
        <v>4.5833000000000004</v>
      </c>
      <c r="AH689" s="1">
        <v>2017</v>
      </c>
      <c r="AI689" s="1">
        <v>2</v>
      </c>
      <c r="AJ689" t="s">
        <v>81</v>
      </c>
      <c r="AK689" t="s">
        <v>82</v>
      </c>
      <c r="AL689" t="s">
        <v>83</v>
      </c>
      <c r="AM689" s="3">
        <v>1.64</v>
      </c>
      <c r="AN689" s="4">
        <v>1703</v>
      </c>
      <c r="AO689" s="1">
        <v>1037</v>
      </c>
      <c r="AP689" s="3">
        <v>1.74</v>
      </c>
      <c r="AQ689" s="4">
        <v>2114</v>
      </c>
      <c r="AR689" s="1">
        <v>1214</v>
      </c>
      <c r="AS689" s="3">
        <v>679609.88</v>
      </c>
      <c r="AW689" t="s">
        <v>84</v>
      </c>
      <c r="AY689" s="3">
        <v>2.0299999999999998</v>
      </c>
      <c r="AZ689" s="4">
        <v>1450</v>
      </c>
      <c r="BA689" s="1">
        <v>715</v>
      </c>
      <c r="BB689" s="1">
        <v>96</v>
      </c>
      <c r="BC689" s="1">
        <v>112</v>
      </c>
      <c r="BD689" s="1">
        <v>32</v>
      </c>
      <c r="BF689" t="s">
        <v>635</v>
      </c>
      <c r="BG689" t="s">
        <v>104</v>
      </c>
    </row>
    <row r="690" spans="1:59" x14ac:dyDescent="0.25">
      <c r="A690" t="s">
        <v>3724</v>
      </c>
      <c r="B690" t="s">
        <v>3725</v>
      </c>
      <c r="C690" s="1">
        <v>442</v>
      </c>
      <c r="D690" s="1">
        <v>2000</v>
      </c>
      <c r="E690" t="s">
        <v>64</v>
      </c>
      <c r="F690" t="s">
        <v>140</v>
      </c>
      <c r="G690" t="s">
        <v>854</v>
      </c>
      <c r="H690" t="s">
        <v>3726</v>
      </c>
      <c r="I690" t="s">
        <v>3727</v>
      </c>
      <c r="J690" t="s">
        <v>854</v>
      </c>
      <c r="K690" s="1">
        <v>4</v>
      </c>
      <c r="L690" t="s">
        <v>91</v>
      </c>
      <c r="M690" t="s">
        <v>70</v>
      </c>
      <c r="N690" t="s">
        <v>71</v>
      </c>
      <c r="P690" t="s">
        <v>72</v>
      </c>
      <c r="Q690" t="s">
        <v>134</v>
      </c>
      <c r="R690" t="s">
        <v>74</v>
      </c>
      <c r="S690" t="s">
        <v>3728</v>
      </c>
      <c r="T690" s="2">
        <v>978</v>
      </c>
      <c r="U690" s="3">
        <v>1.49</v>
      </c>
      <c r="V690" s="4">
        <v>1454</v>
      </c>
      <c r="AF690" s="5">
        <v>4.9774000000000003</v>
      </c>
      <c r="AI690" s="1">
        <v>3</v>
      </c>
      <c r="AJ690" t="s">
        <v>81</v>
      </c>
      <c r="AK690" t="s">
        <v>82</v>
      </c>
      <c r="AL690" t="s">
        <v>83</v>
      </c>
      <c r="AM690" s="3">
        <v>1.44</v>
      </c>
      <c r="AN690" s="4">
        <v>1606</v>
      </c>
      <c r="AO690" s="1">
        <v>1119</v>
      </c>
      <c r="AP690" s="3">
        <v>1.35</v>
      </c>
      <c r="AQ690" s="4">
        <v>1886</v>
      </c>
      <c r="AR690" s="1">
        <v>1393</v>
      </c>
      <c r="AS690" s="3">
        <v>1313279.18</v>
      </c>
      <c r="AW690" t="s">
        <v>84</v>
      </c>
      <c r="AY690" s="3">
        <v>1.59</v>
      </c>
      <c r="AZ690" s="4">
        <v>1245</v>
      </c>
      <c r="BA690" s="1">
        <v>784</v>
      </c>
      <c r="BB690" s="1">
        <v>210</v>
      </c>
      <c r="BC690" s="1">
        <v>202</v>
      </c>
      <c r="BD690" s="1">
        <v>30</v>
      </c>
      <c r="BF690" t="s">
        <v>811</v>
      </c>
      <c r="BG690" t="s">
        <v>744</v>
      </c>
    </row>
    <row r="691" spans="1:59" x14ac:dyDescent="0.25">
      <c r="A691" t="s">
        <v>3729</v>
      </c>
      <c r="B691" t="s">
        <v>3730</v>
      </c>
      <c r="C691" s="1">
        <v>440</v>
      </c>
      <c r="D691" s="1">
        <v>1998</v>
      </c>
      <c r="E691" t="s">
        <v>64</v>
      </c>
      <c r="F691" t="s">
        <v>140</v>
      </c>
      <c r="G691" t="s">
        <v>3731</v>
      </c>
      <c r="H691" t="s">
        <v>3732</v>
      </c>
      <c r="I691" t="s">
        <v>3733</v>
      </c>
      <c r="J691" t="s">
        <v>3731</v>
      </c>
      <c r="K691" s="1">
        <v>4</v>
      </c>
      <c r="L691" t="s">
        <v>729</v>
      </c>
      <c r="M691" t="s">
        <v>70</v>
      </c>
      <c r="N691" t="s">
        <v>71</v>
      </c>
      <c r="P691" t="s">
        <v>72</v>
      </c>
      <c r="Q691" t="s">
        <v>134</v>
      </c>
      <c r="R691" t="s">
        <v>74</v>
      </c>
      <c r="S691" t="s">
        <v>1007</v>
      </c>
      <c r="T691" s="2">
        <v>982</v>
      </c>
      <c r="U691" s="3">
        <v>1.58</v>
      </c>
      <c r="V691" s="4">
        <v>1553</v>
      </c>
      <c r="AF691" s="5">
        <v>11.1364</v>
      </c>
      <c r="AI691" s="1">
        <v>3</v>
      </c>
      <c r="AJ691" t="s">
        <v>81</v>
      </c>
      <c r="AK691" t="s">
        <v>82</v>
      </c>
      <c r="AL691" t="s">
        <v>83</v>
      </c>
      <c r="AM691" s="3">
        <v>1.53</v>
      </c>
      <c r="AN691" s="4">
        <v>1708</v>
      </c>
      <c r="AO691" s="1">
        <v>1116</v>
      </c>
      <c r="AP691" s="3">
        <v>1.49</v>
      </c>
      <c r="AQ691" s="4">
        <v>2048</v>
      </c>
      <c r="AR691" s="1">
        <v>1372</v>
      </c>
      <c r="AS691" s="3">
        <v>709104.29</v>
      </c>
      <c r="AW691" t="s">
        <v>84</v>
      </c>
      <c r="AY691" s="3">
        <v>1.7</v>
      </c>
      <c r="AZ691" s="4">
        <v>1274</v>
      </c>
      <c r="BA691" s="1">
        <v>750</v>
      </c>
      <c r="BB691" s="1">
        <v>189</v>
      </c>
      <c r="BC691" s="1">
        <v>211</v>
      </c>
      <c r="BD691" s="1">
        <v>40</v>
      </c>
    </row>
    <row r="692" spans="1:59" x14ac:dyDescent="0.25">
      <c r="A692" t="s">
        <v>3734</v>
      </c>
      <c r="B692" t="s">
        <v>3735</v>
      </c>
      <c r="C692" s="1">
        <v>408</v>
      </c>
      <c r="D692" s="1">
        <v>1995</v>
      </c>
      <c r="E692" t="s">
        <v>64</v>
      </c>
      <c r="F692" t="s">
        <v>140</v>
      </c>
      <c r="G692" t="s">
        <v>3736</v>
      </c>
      <c r="H692" t="s">
        <v>3737</v>
      </c>
      <c r="I692" t="s">
        <v>3738</v>
      </c>
      <c r="J692" t="s">
        <v>3736</v>
      </c>
      <c r="K692" s="1">
        <v>4</v>
      </c>
      <c r="L692" t="s">
        <v>729</v>
      </c>
      <c r="M692" t="s">
        <v>70</v>
      </c>
      <c r="N692" t="s">
        <v>71</v>
      </c>
      <c r="P692" t="s">
        <v>72</v>
      </c>
      <c r="Q692" t="s">
        <v>134</v>
      </c>
      <c r="R692" t="s">
        <v>74</v>
      </c>
      <c r="S692" t="s">
        <v>3739</v>
      </c>
      <c r="T692" s="2">
        <v>1007</v>
      </c>
      <c r="U692" s="3">
        <v>1.98</v>
      </c>
      <c r="V692" s="4">
        <v>1997</v>
      </c>
      <c r="AF692" s="5">
        <v>5.3921999999999999</v>
      </c>
      <c r="AI692" s="1">
        <v>2</v>
      </c>
      <c r="AJ692" t="s">
        <v>81</v>
      </c>
      <c r="AK692" t="s">
        <v>82</v>
      </c>
      <c r="AL692" t="s">
        <v>83</v>
      </c>
      <c r="AM692" s="3">
        <v>1.97</v>
      </c>
      <c r="AN692" s="4">
        <v>2090</v>
      </c>
      <c r="AO692" s="1">
        <v>1059</v>
      </c>
      <c r="AP692" s="3">
        <v>1.76</v>
      </c>
      <c r="AQ692" s="4">
        <v>2742</v>
      </c>
      <c r="AR692" s="1">
        <v>1557</v>
      </c>
      <c r="AS692" s="3">
        <v>1367490.42</v>
      </c>
      <c r="AW692" t="s">
        <v>84</v>
      </c>
      <c r="AY692" s="3">
        <v>2.09</v>
      </c>
      <c r="AZ692" s="4">
        <v>1721</v>
      </c>
      <c r="BA692" s="1">
        <v>825</v>
      </c>
      <c r="BB692" s="1">
        <v>174</v>
      </c>
      <c r="BC692" s="1">
        <v>194</v>
      </c>
      <c r="BD692" s="1">
        <v>40</v>
      </c>
    </row>
    <row r="693" spans="1:59" x14ac:dyDescent="0.25">
      <c r="A693" t="s">
        <v>3740</v>
      </c>
      <c r="B693" t="s">
        <v>3741</v>
      </c>
      <c r="C693" s="1">
        <v>528</v>
      </c>
      <c r="D693" s="1">
        <v>1996</v>
      </c>
      <c r="E693" t="s">
        <v>64</v>
      </c>
      <c r="F693" t="s">
        <v>140</v>
      </c>
      <c r="G693" t="s">
        <v>1532</v>
      </c>
      <c r="H693" t="s">
        <v>3742</v>
      </c>
      <c r="I693" t="s">
        <v>3743</v>
      </c>
      <c r="J693" t="s">
        <v>1532</v>
      </c>
      <c r="K693" s="1">
        <v>3</v>
      </c>
      <c r="L693" t="s">
        <v>91</v>
      </c>
      <c r="M693" t="s">
        <v>70</v>
      </c>
      <c r="N693" t="s">
        <v>71</v>
      </c>
      <c r="P693" t="s">
        <v>72</v>
      </c>
      <c r="Q693" t="s">
        <v>134</v>
      </c>
      <c r="R693" t="s">
        <v>74</v>
      </c>
      <c r="S693" t="s">
        <v>3739</v>
      </c>
      <c r="T693" s="2">
        <v>956</v>
      </c>
      <c r="U693" s="3">
        <v>1.79</v>
      </c>
      <c r="V693" s="4">
        <v>1710</v>
      </c>
      <c r="AF693" s="5">
        <v>10.2273</v>
      </c>
      <c r="AI693" s="1">
        <v>2</v>
      </c>
      <c r="AJ693" t="s">
        <v>81</v>
      </c>
      <c r="AK693" t="s">
        <v>82</v>
      </c>
      <c r="AL693" t="s">
        <v>83</v>
      </c>
      <c r="AM693" s="3">
        <v>1.88</v>
      </c>
      <c r="AN693" s="4">
        <v>1938</v>
      </c>
      <c r="AO693" s="1">
        <v>1032</v>
      </c>
      <c r="AP693" s="3">
        <v>1.49</v>
      </c>
      <c r="AQ693" s="4">
        <v>2148</v>
      </c>
      <c r="AR693" s="1">
        <v>1446</v>
      </c>
      <c r="AS693" s="3">
        <v>1568087.95</v>
      </c>
      <c r="AW693" t="s">
        <v>84</v>
      </c>
      <c r="AY693" s="3">
        <v>1.79</v>
      </c>
      <c r="AZ693" s="4">
        <v>1446</v>
      </c>
      <c r="BA693" s="1">
        <v>806</v>
      </c>
      <c r="BB693" s="1">
        <v>260</v>
      </c>
      <c r="BC693" s="1">
        <v>222</v>
      </c>
      <c r="BD693" s="1">
        <v>46</v>
      </c>
      <c r="BG693" t="s">
        <v>365</v>
      </c>
    </row>
    <row r="694" spans="1:59" x14ac:dyDescent="0.25">
      <c r="A694" t="s">
        <v>3744</v>
      </c>
      <c r="B694" t="s">
        <v>3745</v>
      </c>
      <c r="C694" s="1">
        <v>200</v>
      </c>
      <c r="D694" s="1">
        <v>1995</v>
      </c>
      <c r="E694" t="s">
        <v>64</v>
      </c>
      <c r="F694" t="s">
        <v>134</v>
      </c>
      <c r="G694" t="s">
        <v>3746</v>
      </c>
      <c r="H694" t="s">
        <v>3747</v>
      </c>
      <c r="I694" t="s">
        <v>3748</v>
      </c>
      <c r="J694" t="s">
        <v>3746</v>
      </c>
      <c r="K694" s="1">
        <v>3</v>
      </c>
      <c r="L694" t="s">
        <v>91</v>
      </c>
      <c r="M694" t="s">
        <v>70</v>
      </c>
      <c r="N694" t="s">
        <v>71</v>
      </c>
      <c r="P694" t="s">
        <v>72</v>
      </c>
      <c r="Q694" t="s">
        <v>134</v>
      </c>
      <c r="R694" t="s">
        <v>74</v>
      </c>
      <c r="S694" t="s">
        <v>3739</v>
      </c>
      <c r="T694" s="2">
        <v>947</v>
      </c>
      <c r="U694" s="3">
        <v>1.78</v>
      </c>
      <c r="V694" s="4">
        <v>1687</v>
      </c>
      <c r="AF694" s="5">
        <v>9</v>
      </c>
      <c r="AI694" s="1">
        <v>2</v>
      </c>
      <c r="AJ694" t="s">
        <v>81</v>
      </c>
      <c r="AK694" t="s">
        <v>82</v>
      </c>
      <c r="AL694" t="s">
        <v>83</v>
      </c>
      <c r="AM694" s="3">
        <v>1.72</v>
      </c>
      <c r="AN694" s="4">
        <v>1900</v>
      </c>
      <c r="AO694" s="1">
        <v>1103</v>
      </c>
      <c r="AP694" s="3">
        <v>1.64</v>
      </c>
      <c r="AQ694" s="4">
        <v>2133</v>
      </c>
      <c r="AR694" s="1">
        <v>1303</v>
      </c>
      <c r="AS694" s="3">
        <v>959409</v>
      </c>
      <c r="AW694" t="s">
        <v>84</v>
      </c>
      <c r="AY694" s="3">
        <v>1.92</v>
      </c>
      <c r="AZ694" s="4">
        <v>1397</v>
      </c>
      <c r="BA694" s="1">
        <v>730</v>
      </c>
      <c r="BB694" s="1">
        <v>94</v>
      </c>
      <c r="BC694" s="1">
        <v>86</v>
      </c>
      <c r="BD694" s="1">
        <v>20</v>
      </c>
      <c r="BF694" t="s">
        <v>3749</v>
      </c>
      <c r="BG694" t="s">
        <v>131</v>
      </c>
    </row>
    <row r="695" spans="1:59" x14ac:dyDescent="0.25">
      <c r="A695" t="s">
        <v>3750</v>
      </c>
      <c r="B695" t="s">
        <v>3751</v>
      </c>
      <c r="C695" s="1">
        <v>288</v>
      </c>
      <c r="D695" s="1">
        <v>1998</v>
      </c>
      <c r="E695" t="s">
        <v>64</v>
      </c>
      <c r="F695" t="s">
        <v>140</v>
      </c>
      <c r="G695" t="s">
        <v>2165</v>
      </c>
      <c r="H695" t="s">
        <v>3752</v>
      </c>
      <c r="I695" t="s">
        <v>3753</v>
      </c>
      <c r="J695" t="s">
        <v>2165</v>
      </c>
      <c r="K695" s="1">
        <v>4</v>
      </c>
      <c r="L695" t="s">
        <v>91</v>
      </c>
      <c r="M695" t="s">
        <v>70</v>
      </c>
      <c r="N695" t="s">
        <v>71</v>
      </c>
      <c r="P695" t="s">
        <v>72</v>
      </c>
      <c r="Q695" t="s">
        <v>140</v>
      </c>
      <c r="R695" t="s">
        <v>74</v>
      </c>
      <c r="S695" t="s">
        <v>3754</v>
      </c>
      <c r="T695" s="2">
        <v>918</v>
      </c>
      <c r="U695" s="3">
        <v>1.62</v>
      </c>
      <c r="V695" s="4">
        <v>1492</v>
      </c>
      <c r="AF695" s="5">
        <v>5.2083000000000004</v>
      </c>
      <c r="AH695" s="1">
        <v>2012</v>
      </c>
      <c r="AI695" s="1">
        <v>3</v>
      </c>
      <c r="AJ695" t="s">
        <v>81</v>
      </c>
      <c r="AK695" t="s">
        <v>82</v>
      </c>
      <c r="AL695" t="s">
        <v>83</v>
      </c>
      <c r="AM695" s="3">
        <v>1.48</v>
      </c>
      <c r="AN695" s="4">
        <v>1502</v>
      </c>
      <c r="AO695" s="1">
        <v>1012</v>
      </c>
      <c r="AP695" s="3">
        <v>1.88</v>
      </c>
      <c r="AQ695" s="4">
        <v>2528</v>
      </c>
      <c r="AR695" s="1">
        <v>1348</v>
      </c>
      <c r="AS695" s="3">
        <v>737037.42</v>
      </c>
      <c r="AW695" t="s">
        <v>84</v>
      </c>
      <c r="AY695" s="3">
        <v>1.64</v>
      </c>
      <c r="AZ695" s="4">
        <v>1188</v>
      </c>
      <c r="BA695" s="1">
        <v>725</v>
      </c>
      <c r="BB695" s="1">
        <v>140</v>
      </c>
      <c r="BC695" s="1">
        <v>108</v>
      </c>
      <c r="BD695" s="1">
        <v>40</v>
      </c>
      <c r="BF695" t="s">
        <v>3755</v>
      </c>
      <c r="BG695" t="s">
        <v>365</v>
      </c>
    </row>
    <row r="696" spans="1:59" x14ac:dyDescent="0.25">
      <c r="A696" t="s">
        <v>3756</v>
      </c>
      <c r="B696" t="s">
        <v>3757</v>
      </c>
      <c r="C696" s="1">
        <v>673</v>
      </c>
      <c r="D696" s="1">
        <v>1998</v>
      </c>
      <c r="E696" t="s">
        <v>64</v>
      </c>
      <c r="F696" t="s">
        <v>3758</v>
      </c>
      <c r="G696" t="s">
        <v>2279</v>
      </c>
      <c r="H696" t="s">
        <v>3759</v>
      </c>
      <c r="I696" t="s">
        <v>3760</v>
      </c>
      <c r="J696" t="s">
        <v>2279</v>
      </c>
      <c r="K696" s="1">
        <v>4</v>
      </c>
      <c r="L696" t="s">
        <v>729</v>
      </c>
      <c r="M696" t="s">
        <v>70</v>
      </c>
      <c r="N696" t="s">
        <v>71</v>
      </c>
      <c r="P696" t="s">
        <v>72</v>
      </c>
      <c r="Q696" t="s">
        <v>152</v>
      </c>
      <c r="R696" t="s">
        <v>74</v>
      </c>
      <c r="S696" t="s">
        <v>3761</v>
      </c>
      <c r="T696" s="2">
        <v>986</v>
      </c>
      <c r="U696" s="3">
        <v>1.68</v>
      </c>
      <c r="V696" s="4">
        <v>1660</v>
      </c>
      <c r="AF696" s="5">
        <v>2.9718</v>
      </c>
      <c r="AH696" s="1">
        <v>2015</v>
      </c>
      <c r="AI696" s="1">
        <v>3</v>
      </c>
      <c r="AJ696" t="s">
        <v>81</v>
      </c>
      <c r="AK696" t="s">
        <v>82</v>
      </c>
      <c r="AL696" t="s">
        <v>83</v>
      </c>
      <c r="AM696" s="3">
        <v>1.52</v>
      </c>
      <c r="AN696" s="4">
        <v>1749</v>
      </c>
      <c r="AO696" s="1">
        <v>1154</v>
      </c>
      <c r="AP696" s="3">
        <v>1.64</v>
      </c>
      <c r="AQ696" s="4">
        <v>2288</v>
      </c>
      <c r="AR696" s="1">
        <v>1396</v>
      </c>
      <c r="AW696" t="s">
        <v>84</v>
      </c>
      <c r="AY696" s="3">
        <v>1.88</v>
      </c>
      <c r="AZ696" s="4">
        <v>1515</v>
      </c>
      <c r="BA696" s="1">
        <v>807</v>
      </c>
      <c r="BB696" s="1">
        <v>354</v>
      </c>
      <c r="BC696" s="1">
        <v>276</v>
      </c>
      <c r="BD696" s="1">
        <v>43</v>
      </c>
      <c r="BF696" t="s">
        <v>1287</v>
      </c>
      <c r="BG696" t="s">
        <v>104</v>
      </c>
    </row>
    <row r="697" spans="1:59" x14ac:dyDescent="0.25">
      <c r="A697" t="s">
        <v>3762</v>
      </c>
      <c r="B697" t="s">
        <v>3763</v>
      </c>
      <c r="C697" s="1">
        <v>312</v>
      </c>
      <c r="D697" s="1">
        <v>1998</v>
      </c>
      <c r="E697" t="s">
        <v>64</v>
      </c>
      <c r="F697" t="s">
        <v>3758</v>
      </c>
      <c r="G697" t="s">
        <v>2057</v>
      </c>
      <c r="H697" t="s">
        <v>3764</v>
      </c>
      <c r="I697" t="s">
        <v>3765</v>
      </c>
      <c r="J697" t="s">
        <v>2057</v>
      </c>
      <c r="K697" s="1">
        <v>4</v>
      </c>
      <c r="L697" t="s">
        <v>729</v>
      </c>
      <c r="M697" t="s">
        <v>70</v>
      </c>
      <c r="N697" t="s">
        <v>71</v>
      </c>
      <c r="P697" t="s">
        <v>72</v>
      </c>
      <c r="Q697" t="s">
        <v>152</v>
      </c>
      <c r="R697" t="s">
        <v>74</v>
      </c>
      <c r="S697" t="s">
        <v>3766</v>
      </c>
      <c r="T697" s="2">
        <v>900</v>
      </c>
      <c r="U697" s="3">
        <v>1.61</v>
      </c>
      <c r="V697" s="4">
        <v>1450</v>
      </c>
      <c r="AF697" s="5">
        <v>8.6538000000000004</v>
      </c>
      <c r="AH697" s="1">
        <v>2023</v>
      </c>
      <c r="AI697" s="1">
        <v>3</v>
      </c>
      <c r="AJ697" t="s">
        <v>81</v>
      </c>
      <c r="AK697" t="s">
        <v>82</v>
      </c>
      <c r="AL697" t="s">
        <v>83</v>
      </c>
      <c r="AM697" s="3">
        <v>1.5</v>
      </c>
      <c r="AN697" s="4">
        <v>1622</v>
      </c>
      <c r="AO697" s="1">
        <v>1079</v>
      </c>
      <c r="AP697" s="3">
        <v>1.26</v>
      </c>
      <c r="AQ697" s="4">
        <v>1895</v>
      </c>
      <c r="AR697" s="1">
        <v>1509</v>
      </c>
      <c r="AS697" s="3">
        <v>1202719.68</v>
      </c>
      <c r="AW697" t="s">
        <v>84</v>
      </c>
      <c r="AY697" s="3">
        <v>1.74</v>
      </c>
      <c r="AZ697" s="4">
        <v>1326</v>
      </c>
      <c r="BA697" s="1">
        <v>762</v>
      </c>
      <c r="BB697" s="1">
        <v>192</v>
      </c>
      <c r="BC697" s="1">
        <v>108</v>
      </c>
      <c r="BD697" s="1">
        <v>12</v>
      </c>
      <c r="BF697" t="s">
        <v>3617</v>
      </c>
      <c r="BG697" t="s">
        <v>104</v>
      </c>
    </row>
    <row r="698" spans="1:59" x14ac:dyDescent="0.25">
      <c r="A698" t="s">
        <v>3767</v>
      </c>
      <c r="B698" t="s">
        <v>3768</v>
      </c>
      <c r="C698" s="1">
        <v>248</v>
      </c>
      <c r="D698" s="1">
        <v>1998</v>
      </c>
      <c r="E698" t="s">
        <v>64</v>
      </c>
      <c r="F698" t="s">
        <v>3758</v>
      </c>
      <c r="G698" t="s">
        <v>2358</v>
      </c>
      <c r="H698" t="s">
        <v>3769</v>
      </c>
      <c r="I698" t="s">
        <v>3770</v>
      </c>
      <c r="J698" t="s">
        <v>2358</v>
      </c>
      <c r="K698" s="1">
        <v>3</v>
      </c>
      <c r="L698" t="s">
        <v>91</v>
      </c>
      <c r="M698" t="s">
        <v>70</v>
      </c>
      <c r="N698" t="s">
        <v>71</v>
      </c>
      <c r="P698" t="s">
        <v>72</v>
      </c>
      <c r="Q698" t="s">
        <v>152</v>
      </c>
      <c r="R698" t="s">
        <v>74</v>
      </c>
      <c r="S698" t="s">
        <v>406</v>
      </c>
      <c r="T698" s="2">
        <v>994</v>
      </c>
      <c r="U698" s="3">
        <v>1.41</v>
      </c>
      <c r="V698" s="4">
        <v>1407</v>
      </c>
      <c r="AF698" s="5">
        <v>6.8548</v>
      </c>
      <c r="AI698" s="1">
        <v>3</v>
      </c>
      <c r="AJ698" t="s">
        <v>81</v>
      </c>
      <c r="AK698" t="s">
        <v>82</v>
      </c>
      <c r="AL698" t="s">
        <v>83</v>
      </c>
      <c r="AM698" s="3">
        <v>1.28</v>
      </c>
      <c r="AN698" s="4">
        <v>1460</v>
      </c>
      <c r="AO698" s="1">
        <v>1140</v>
      </c>
      <c r="AP698" s="3">
        <v>1.02</v>
      </c>
      <c r="AQ698" s="4">
        <v>1527</v>
      </c>
      <c r="AR698" s="1">
        <v>1493</v>
      </c>
      <c r="AS698" s="3">
        <v>960198.33</v>
      </c>
      <c r="AW698" t="s">
        <v>84</v>
      </c>
      <c r="AY698" s="3">
        <v>1.8</v>
      </c>
      <c r="AZ698" s="4">
        <v>1329</v>
      </c>
      <c r="BA698" s="1">
        <v>739</v>
      </c>
      <c r="BB698" s="1">
        <v>118</v>
      </c>
      <c r="BC698" s="1">
        <v>98</v>
      </c>
      <c r="BD698" s="1">
        <v>32</v>
      </c>
      <c r="BG698" t="s">
        <v>131</v>
      </c>
    </row>
    <row r="699" spans="1:59" x14ac:dyDescent="0.25">
      <c r="A699" t="s">
        <v>3771</v>
      </c>
      <c r="B699" t="s">
        <v>3772</v>
      </c>
      <c r="C699" s="1">
        <v>278</v>
      </c>
      <c r="D699" s="1">
        <v>1997</v>
      </c>
      <c r="E699" t="s">
        <v>64</v>
      </c>
      <c r="F699" t="s">
        <v>3758</v>
      </c>
      <c r="G699" t="s">
        <v>3773</v>
      </c>
      <c r="H699" t="s">
        <v>3772</v>
      </c>
      <c r="I699" t="s">
        <v>3774</v>
      </c>
      <c r="J699" t="s">
        <v>3773</v>
      </c>
      <c r="K699" s="1">
        <v>4</v>
      </c>
      <c r="L699" t="s">
        <v>91</v>
      </c>
      <c r="M699" t="s">
        <v>70</v>
      </c>
      <c r="N699" t="s">
        <v>71</v>
      </c>
      <c r="P699" t="s">
        <v>72</v>
      </c>
      <c r="Q699" t="s">
        <v>152</v>
      </c>
      <c r="R699" t="s">
        <v>74</v>
      </c>
      <c r="S699" t="s">
        <v>3775</v>
      </c>
      <c r="T699" s="2">
        <v>947</v>
      </c>
      <c r="U699" s="3">
        <v>1.76</v>
      </c>
      <c r="V699" s="4">
        <v>1666</v>
      </c>
      <c r="AF699" s="5">
        <v>11.8705</v>
      </c>
      <c r="AI699" s="1">
        <v>2</v>
      </c>
      <c r="AJ699" t="s">
        <v>81</v>
      </c>
      <c r="AK699" t="s">
        <v>82</v>
      </c>
      <c r="AL699" t="s">
        <v>83</v>
      </c>
      <c r="AM699" s="3">
        <v>1.69</v>
      </c>
      <c r="AN699" s="4">
        <v>1814</v>
      </c>
      <c r="AO699" s="1">
        <v>1071</v>
      </c>
      <c r="AP699" s="3">
        <v>1.56</v>
      </c>
      <c r="AQ699" s="4">
        <v>1995</v>
      </c>
      <c r="AR699" s="1">
        <v>1282</v>
      </c>
      <c r="AS699" s="3">
        <v>931210.2</v>
      </c>
      <c r="AW699" t="s">
        <v>84</v>
      </c>
      <c r="AY699" s="3">
        <v>1.89</v>
      </c>
      <c r="AZ699" s="4">
        <v>1452</v>
      </c>
      <c r="BA699" s="1">
        <v>766</v>
      </c>
      <c r="BB699" s="1">
        <v>118</v>
      </c>
      <c r="BC699" s="1">
        <v>152</v>
      </c>
      <c r="BD699" s="1">
        <v>8</v>
      </c>
      <c r="BF699" t="s">
        <v>3776</v>
      </c>
      <c r="BG699" t="s">
        <v>104</v>
      </c>
    </row>
    <row r="700" spans="1:59" x14ac:dyDescent="0.25">
      <c r="A700" t="s">
        <v>3777</v>
      </c>
      <c r="B700" t="s">
        <v>3778</v>
      </c>
      <c r="C700" s="1">
        <v>360</v>
      </c>
      <c r="D700" s="1">
        <v>1999</v>
      </c>
      <c r="E700" t="s">
        <v>64</v>
      </c>
      <c r="F700" t="s">
        <v>814</v>
      </c>
      <c r="G700" t="s">
        <v>3497</v>
      </c>
      <c r="H700" t="s">
        <v>3779</v>
      </c>
      <c r="I700" t="s">
        <v>3780</v>
      </c>
      <c r="J700" t="s">
        <v>3497</v>
      </c>
      <c r="K700" s="1">
        <v>4</v>
      </c>
      <c r="L700" t="s">
        <v>91</v>
      </c>
      <c r="M700" t="s">
        <v>70</v>
      </c>
      <c r="N700" t="s">
        <v>71</v>
      </c>
      <c r="P700" t="s">
        <v>72</v>
      </c>
      <c r="Q700" t="s">
        <v>814</v>
      </c>
      <c r="R700" t="s">
        <v>74</v>
      </c>
      <c r="S700" t="s">
        <v>816</v>
      </c>
      <c r="T700" s="2">
        <v>850</v>
      </c>
      <c r="U700" s="3">
        <v>1.81</v>
      </c>
      <c r="V700" s="4">
        <v>1542</v>
      </c>
      <c r="AF700" s="5">
        <v>5.5556000000000001</v>
      </c>
      <c r="AH700" s="1">
        <v>2016</v>
      </c>
      <c r="AI700" s="1">
        <v>2</v>
      </c>
      <c r="AJ700" t="s">
        <v>81</v>
      </c>
      <c r="AK700" t="s">
        <v>82</v>
      </c>
      <c r="AL700" t="s">
        <v>83</v>
      </c>
      <c r="AM700" s="3">
        <v>1.74</v>
      </c>
      <c r="AN700" s="4">
        <v>1698</v>
      </c>
      <c r="AO700" s="1">
        <v>977</v>
      </c>
      <c r="AP700" s="3">
        <v>1.98</v>
      </c>
      <c r="AQ700" s="4">
        <v>2398</v>
      </c>
      <c r="AR700" s="1">
        <v>1210</v>
      </c>
      <c r="AS700" s="3">
        <v>1542112.23</v>
      </c>
      <c r="AW700" t="s">
        <v>84</v>
      </c>
      <c r="AY700" s="3">
        <v>1.88</v>
      </c>
      <c r="AZ700" s="4">
        <v>1265</v>
      </c>
      <c r="BA700" s="1">
        <v>673</v>
      </c>
      <c r="BB700" s="1">
        <v>168</v>
      </c>
      <c r="BC700" s="1">
        <v>168</v>
      </c>
      <c r="BD700" s="1">
        <v>24</v>
      </c>
      <c r="BF700" t="s">
        <v>145</v>
      </c>
      <c r="BG700" t="s">
        <v>104</v>
      </c>
    </row>
    <row r="701" spans="1:59" x14ac:dyDescent="0.25">
      <c r="A701" t="s">
        <v>3781</v>
      </c>
      <c r="B701" t="s">
        <v>3782</v>
      </c>
      <c r="C701" s="1">
        <v>436</v>
      </c>
      <c r="D701" s="1">
        <v>1999</v>
      </c>
      <c r="E701" t="s">
        <v>64</v>
      </c>
      <c r="F701" t="s">
        <v>198</v>
      </c>
      <c r="G701" t="s">
        <v>3783</v>
      </c>
      <c r="H701" t="s">
        <v>3784</v>
      </c>
      <c r="I701" t="s">
        <v>3785</v>
      </c>
      <c r="J701" t="s">
        <v>3783</v>
      </c>
      <c r="K701" s="1">
        <v>4</v>
      </c>
      <c r="L701" t="s">
        <v>91</v>
      </c>
      <c r="M701" t="s">
        <v>70</v>
      </c>
      <c r="N701" t="s">
        <v>71</v>
      </c>
      <c r="P701" t="s">
        <v>72</v>
      </c>
      <c r="Q701" t="s">
        <v>531</v>
      </c>
      <c r="R701" t="s">
        <v>74</v>
      </c>
      <c r="S701" t="s">
        <v>3786</v>
      </c>
      <c r="T701" s="2">
        <v>996</v>
      </c>
      <c r="U701" s="3">
        <v>1.53</v>
      </c>
      <c r="V701" s="4">
        <v>1526</v>
      </c>
      <c r="AF701" s="5">
        <v>8.2568999999999999</v>
      </c>
      <c r="AI701" s="1">
        <v>2</v>
      </c>
      <c r="AJ701" t="s">
        <v>81</v>
      </c>
      <c r="AK701" t="s">
        <v>82</v>
      </c>
      <c r="AL701" t="s">
        <v>83</v>
      </c>
      <c r="AM701" s="3">
        <v>1.55</v>
      </c>
      <c r="AN701" s="4">
        <v>1766</v>
      </c>
      <c r="AO701" s="1">
        <v>1142</v>
      </c>
      <c r="AP701" s="3">
        <v>1.51</v>
      </c>
      <c r="AQ701" s="4">
        <v>2192</v>
      </c>
      <c r="AR701" s="1">
        <v>1454</v>
      </c>
      <c r="AS701" s="3">
        <v>1260695.1000000001</v>
      </c>
      <c r="AW701" t="s">
        <v>84</v>
      </c>
      <c r="AY701" s="3">
        <v>1.53</v>
      </c>
      <c r="AZ701" s="4">
        <v>1237</v>
      </c>
      <c r="BA701" s="1">
        <v>809</v>
      </c>
      <c r="BB701" s="1">
        <v>224</v>
      </c>
      <c r="BC701" s="1">
        <v>176</v>
      </c>
      <c r="BD701" s="1">
        <v>36</v>
      </c>
      <c r="BF701" t="s">
        <v>1657</v>
      </c>
      <c r="BG701" t="s">
        <v>104</v>
      </c>
    </row>
    <row r="702" spans="1:59" x14ac:dyDescent="0.25">
      <c r="A702" t="s">
        <v>3787</v>
      </c>
      <c r="B702" t="s">
        <v>3788</v>
      </c>
      <c r="C702" s="1">
        <v>440</v>
      </c>
      <c r="D702" s="1">
        <v>1997</v>
      </c>
      <c r="E702" t="s">
        <v>64</v>
      </c>
      <c r="F702" t="s">
        <v>123</v>
      </c>
      <c r="G702" t="s">
        <v>835</v>
      </c>
      <c r="H702" t="s">
        <v>3789</v>
      </c>
      <c r="I702" t="s">
        <v>3790</v>
      </c>
      <c r="J702" t="s">
        <v>835</v>
      </c>
      <c r="K702" s="1">
        <v>4</v>
      </c>
      <c r="L702" t="s">
        <v>91</v>
      </c>
      <c r="M702" t="s">
        <v>70</v>
      </c>
      <c r="N702" t="s">
        <v>71</v>
      </c>
      <c r="P702" t="s">
        <v>72</v>
      </c>
      <c r="Q702" t="s">
        <v>129</v>
      </c>
      <c r="R702" t="s">
        <v>74</v>
      </c>
      <c r="S702" t="s">
        <v>130</v>
      </c>
      <c r="T702" s="2">
        <v>981</v>
      </c>
      <c r="U702" s="3">
        <v>1.44</v>
      </c>
      <c r="V702" s="4">
        <v>1412</v>
      </c>
      <c r="AF702" s="5">
        <v>13.8636</v>
      </c>
      <c r="AI702" s="1">
        <v>3</v>
      </c>
      <c r="AJ702" t="s">
        <v>81</v>
      </c>
      <c r="AK702" t="s">
        <v>82</v>
      </c>
      <c r="AL702" t="s">
        <v>83</v>
      </c>
      <c r="AM702" s="3">
        <v>1.37</v>
      </c>
      <c r="AN702" s="4">
        <v>1564</v>
      </c>
      <c r="AO702" s="1">
        <v>1143</v>
      </c>
      <c r="AP702" s="3">
        <v>1.42</v>
      </c>
      <c r="AQ702" s="4">
        <v>1900</v>
      </c>
      <c r="AR702" s="1">
        <v>1340</v>
      </c>
      <c r="AS702" s="3">
        <v>1192391.76</v>
      </c>
      <c r="AW702" t="s">
        <v>84</v>
      </c>
      <c r="AY702" s="3">
        <v>1.52</v>
      </c>
      <c r="AZ702" s="4">
        <v>1188</v>
      </c>
      <c r="BA702" s="1">
        <v>779</v>
      </c>
      <c r="BB702" s="1">
        <v>222</v>
      </c>
      <c r="BC702" s="1">
        <v>169</v>
      </c>
      <c r="BD702" s="1">
        <v>49</v>
      </c>
      <c r="BG702" t="s">
        <v>131</v>
      </c>
    </row>
    <row r="703" spans="1:59" x14ac:dyDescent="0.25">
      <c r="A703" t="s">
        <v>3791</v>
      </c>
      <c r="B703" t="s">
        <v>3792</v>
      </c>
      <c r="C703" s="1">
        <v>430</v>
      </c>
      <c r="D703" s="1">
        <v>1999</v>
      </c>
      <c r="E703" t="s">
        <v>64</v>
      </c>
      <c r="F703" t="s">
        <v>841</v>
      </c>
      <c r="G703" t="s">
        <v>697</v>
      </c>
      <c r="H703" t="s">
        <v>3793</v>
      </c>
      <c r="I703" t="s">
        <v>3794</v>
      </c>
      <c r="J703" t="s">
        <v>697</v>
      </c>
      <c r="K703" s="1">
        <v>3</v>
      </c>
      <c r="L703" t="s">
        <v>91</v>
      </c>
      <c r="M703" t="s">
        <v>70</v>
      </c>
      <c r="N703" t="s">
        <v>71</v>
      </c>
      <c r="P703" t="s">
        <v>72</v>
      </c>
      <c r="Q703" t="s">
        <v>841</v>
      </c>
      <c r="R703" t="s">
        <v>74</v>
      </c>
      <c r="S703" t="s">
        <v>3183</v>
      </c>
      <c r="T703" s="2">
        <v>915</v>
      </c>
      <c r="U703" s="3">
        <v>1.94</v>
      </c>
      <c r="V703" s="4">
        <v>1775</v>
      </c>
      <c r="AF703" s="5">
        <v>5.8140000000000001</v>
      </c>
      <c r="AI703" s="1">
        <v>3</v>
      </c>
      <c r="AJ703" t="s">
        <v>81</v>
      </c>
      <c r="AK703" t="s">
        <v>82</v>
      </c>
      <c r="AL703" t="s">
        <v>83</v>
      </c>
      <c r="AM703" s="3">
        <v>1.83</v>
      </c>
      <c r="AN703" s="4">
        <v>2007</v>
      </c>
      <c r="AO703" s="1">
        <v>1095</v>
      </c>
      <c r="AP703" s="3">
        <v>1.72</v>
      </c>
      <c r="AQ703" s="4">
        <v>2393</v>
      </c>
      <c r="AR703" s="1">
        <v>1388</v>
      </c>
      <c r="AS703" s="3">
        <v>1154405.72</v>
      </c>
      <c r="AW703" t="s">
        <v>84</v>
      </c>
      <c r="AY703" s="3">
        <v>2.0499999999999998</v>
      </c>
      <c r="AZ703" s="4">
        <v>1595</v>
      </c>
      <c r="BA703" s="1">
        <v>778</v>
      </c>
      <c r="BB703" s="1">
        <v>280</v>
      </c>
      <c r="BC703" s="1">
        <v>110</v>
      </c>
      <c r="BD703" s="1">
        <v>40</v>
      </c>
      <c r="BF703" t="s">
        <v>3795</v>
      </c>
      <c r="BG703" t="s">
        <v>643</v>
      </c>
    </row>
    <row r="704" spans="1:59" x14ac:dyDescent="0.25">
      <c r="A704" t="s">
        <v>3796</v>
      </c>
      <c r="B704" t="s">
        <v>3797</v>
      </c>
      <c r="C704" s="1">
        <v>216</v>
      </c>
      <c r="D704" s="1">
        <v>1995</v>
      </c>
      <c r="E704" t="s">
        <v>64</v>
      </c>
      <c r="F704" t="s">
        <v>841</v>
      </c>
      <c r="G704" t="s">
        <v>882</v>
      </c>
      <c r="H704" t="s">
        <v>3798</v>
      </c>
      <c r="I704" t="s">
        <v>3799</v>
      </c>
      <c r="J704" t="s">
        <v>882</v>
      </c>
      <c r="K704" s="1">
        <v>3</v>
      </c>
      <c r="L704" t="s">
        <v>69</v>
      </c>
      <c r="M704" t="s">
        <v>70</v>
      </c>
      <c r="N704" t="s">
        <v>71</v>
      </c>
      <c r="O704" t="s">
        <v>118</v>
      </c>
      <c r="P704" t="s">
        <v>72</v>
      </c>
      <c r="Q704" t="s">
        <v>841</v>
      </c>
      <c r="R704" t="s">
        <v>74</v>
      </c>
      <c r="S704" t="s">
        <v>845</v>
      </c>
      <c r="T704" s="2">
        <v>897</v>
      </c>
      <c r="U704" s="3">
        <v>1.79</v>
      </c>
      <c r="V704" s="4">
        <v>1603</v>
      </c>
      <c r="AF704" s="5">
        <v>7.8704000000000001</v>
      </c>
      <c r="AI704" s="1">
        <v>2</v>
      </c>
      <c r="AJ704" t="s">
        <v>81</v>
      </c>
      <c r="AK704" t="s">
        <v>82</v>
      </c>
      <c r="AL704" t="s">
        <v>83</v>
      </c>
      <c r="AM704" s="3">
        <v>1.86</v>
      </c>
      <c r="AN704" s="4">
        <v>1565</v>
      </c>
      <c r="AO704" s="1">
        <v>842</v>
      </c>
      <c r="AP704" s="3">
        <v>1.68</v>
      </c>
      <c r="AQ704" s="4">
        <v>1826</v>
      </c>
      <c r="AR704" s="1">
        <v>1087</v>
      </c>
      <c r="AS704" s="3">
        <v>119378.95</v>
      </c>
      <c r="AW704" t="s">
        <v>84</v>
      </c>
      <c r="AY704" s="3">
        <v>1.75</v>
      </c>
      <c r="AZ704" s="4">
        <v>1206</v>
      </c>
      <c r="BA704" s="1">
        <v>690</v>
      </c>
      <c r="BB704" s="1">
        <v>24</v>
      </c>
      <c r="BC704" s="1">
        <v>128</v>
      </c>
      <c r="BD704" s="1">
        <v>64</v>
      </c>
      <c r="BF704" t="s">
        <v>767</v>
      </c>
      <c r="BG704" t="s">
        <v>131</v>
      </c>
    </row>
    <row r="705" spans="1:59" x14ac:dyDescent="0.25">
      <c r="A705" t="s">
        <v>3800</v>
      </c>
      <c r="B705" t="s">
        <v>3801</v>
      </c>
      <c r="C705" s="1">
        <v>200</v>
      </c>
      <c r="D705" s="1">
        <v>1997</v>
      </c>
      <c r="E705" t="s">
        <v>64</v>
      </c>
      <c r="F705" t="s">
        <v>97</v>
      </c>
      <c r="G705" t="s">
        <v>3802</v>
      </c>
      <c r="H705" t="s">
        <v>3803</v>
      </c>
      <c r="J705" t="s">
        <v>3802</v>
      </c>
      <c r="K705" s="1">
        <v>3</v>
      </c>
      <c r="L705" t="s">
        <v>91</v>
      </c>
      <c r="M705" t="s">
        <v>70</v>
      </c>
      <c r="N705" t="s">
        <v>71</v>
      </c>
      <c r="O705" t="s">
        <v>118</v>
      </c>
      <c r="P705" t="s">
        <v>72</v>
      </c>
      <c r="Q705" t="s">
        <v>1599</v>
      </c>
      <c r="R705" t="s">
        <v>74</v>
      </c>
      <c r="S705" t="s">
        <v>3804</v>
      </c>
      <c r="T705" s="2">
        <v>1072</v>
      </c>
      <c r="U705" s="3">
        <v>1.38</v>
      </c>
      <c r="V705" s="4">
        <v>1481</v>
      </c>
      <c r="AF705" s="5">
        <v>10</v>
      </c>
      <c r="AI705" s="1">
        <v>2</v>
      </c>
      <c r="AJ705" t="s">
        <v>81</v>
      </c>
      <c r="AK705" t="s">
        <v>82</v>
      </c>
      <c r="AL705" t="s">
        <v>83</v>
      </c>
      <c r="AM705" s="3">
        <v>1.36</v>
      </c>
      <c r="AN705" s="4">
        <v>1434</v>
      </c>
      <c r="AO705" s="1">
        <v>1054</v>
      </c>
      <c r="AP705" s="3">
        <v>1.52</v>
      </c>
      <c r="AQ705" s="4">
        <v>1825</v>
      </c>
      <c r="AR705" s="1">
        <v>1204</v>
      </c>
      <c r="AS705" s="3">
        <v>723983.96</v>
      </c>
      <c r="AW705" t="s">
        <v>84</v>
      </c>
      <c r="BC705" s="1">
        <v>176</v>
      </c>
      <c r="BD705" s="1">
        <v>24</v>
      </c>
    </row>
    <row r="706" spans="1:59" x14ac:dyDescent="0.25">
      <c r="A706" t="s">
        <v>1610</v>
      </c>
      <c r="B706" t="s">
        <v>1611</v>
      </c>
      <c r="C706" s="1">
        <v>252</v>
      </c>
      <c r="D706" s="1">
        <v>1990</v>
      </c>
      <c r="E706" t="s">
        <v>64</v>
      </c>
      <c r="F706" t="s">
        <v>734</v>
      </c>
      <c r="G706" t="s">
        <v>784</v>
      </c>
      <c r="H706" t="s">
        <v>1612</v>
      </c>
      <c r="I706" t="s">
        <v>1613</v>
      </c>
      <c r="J706" t="s">
        <v>784</v>
      </c>
      <c r="K706" s="1">
        <v>3</v>
      </c>
      <c r="L706" t="s">
        <v>91</v>
      </c>
      <c r="M706" t="s">
        <v>70</v>
      </c>
      <c r="N706" t="s">
        <v>71</v>
      </c>
      <c r="P706" t="s">
        <v>72</v>
      </c>
      <c r="Q706" t="s">
        <v>73</v>
      </c>
      <c r="R706" t="s">
        <v>74</v>
      </c>
      <c r="S706" t="s">
        <v>1614</v>
      </c>
      <c r="T706" s="2">
        <v>631</v>
      </c>
      <c r="U706" s="3">
        <v>1.68</v>
      </c>
      <c r="V706" s="4">
        <v>1087</v>
      </c>
      <c r="AF706" s="5">
        <v>12.301600000000001</v>
      </c>
      <c r="AH706" s="1">
        <v>2015</v>
      </c>
      <c r="AI706" s="1">
        <v>3</v>
      </c>
      <c r="AJ706" t="s">
        <v>81</v>
      </c>
      <c r="AK706" t="s">
        <v>82</v>
      </c>
      <c r="AL706" t="s">
        <v>83</v>
      </c>
      <c r="AM706" s="3">
        <v>1.54</v>
      </c>
      <c r="AN706" s="4">
        <v>1363</v>
      </c>
      <c r="AO706" s="1">
        <v>841</v>
      </c>
      <c r="AS706" s="3">
        <v>550070.64</v>
      </c>
      <c r="AT706" s="3">
        <v>2.08</v>
      </c>
      <c r="AU706" s="4">
        <v>979</v>
      </c>
      <c r="AV706" s="6">
        <v>472</v>
      </c>
      <c r="AW706" t="s">
        <v>84</v>
      </c>
      <c r="AY706" s="3">
        <v>1.59</v>
      </c>
      <c r="AZ706" s="4">
        <v>1068</v>
      </c>
      <c r="BA706" s="1">
        <v>671</v>
      </c>
      <c r="BB706" s="1">
        <v>147</v>
      </c>
      <c r="BC706" s="1">
        <v>37</v>
      </c>
      <c r="BG706" t="s">
        <v>131</v>
      </c>
    </row>
    <row r="707" spans="1:59" x14ac:dyDescent="0.25">
      <c r="A707" t="s">
        <v>3805</v>
      </c>
      <c r="B707" t="s">
        <v>3806</v>
      </c>
      <c r="C707" s="1">
        <v>240</v>
      </c>
      <c r="D707" s="1">
        <v>1998</v>
      </c>
      <c r="E707" t="s">
        <v>64</v>
      </c>
      <c r="F707" t="s">
        <v>734</v>
      </c>
      <c r="G707" t="s">
        <v>784</v>
      </c>
      <c r="H707" t="s">
        <v>3807</v>
      </c>
      <c r="I707" t="s">
        <v>3808</v>
      </c>
      <c r="J707" t="s">
        <v>784</v>
      </c>
      <c r="K707" s="1">
        <v>4</v>
      </c>
      <c r="L707" t="s">
        <v>91</v>
      </c>
      <c r="M707" t="s">
        <v>70</v>
      </c>
      <c r="N707" t="s">
        <v>71</v>
      </c>
      <c r="P707" t="s">
        <v>72</v>
      </c>
      <c r="Q707" t="s">
        <v>73</v>
      </c>
      <c r="R707" t="s">
        <v>74</v>
      </c>
      <c r="S707" t="s">
        <v>730</v>
      </c>
      <c r="T707" s="2">
        <v>940</v>
      </c>
      <c r="U707" s="3">
        <v>1.69</v>
      </c>
      <c r="V707" s="4">
        <v>1590</v>
      </c>
      <c r="AF707" s="5">
        <v>9.5832999999999995</v>
      </c>
      <c r="AI707" s="1">
        <v>3</v>
      </c>
      <c r="AJ707" t="s">
        <v>81</v>
      </c>
      <c r="AK707" t="s">
        <v>82</v>
      </c>
      <c r="AL707" t="s">
        <v>83</v>
      </c>
      <c r="AM707" s="3">
        <v>1.55</v>
      </c>
      <c r="AN707" s="4">
        <v>1791</v>
      </c>
      <c r="AO707" s="1">
        <v>1159</v>
      </c>
      <c r="AS707" s="3">
        <v>723910.25</v>
      </c>
      <c r="AW707" t="s">
        <v>84</v>
      </c>
      <c r="AY707" s="3">
        <v>1.86</v>
      </c>
      <c r="AZ707" s="4">
        <v>1434</v>
      </c>
      <c r="BA707" s="1">
        <v>771</v>
      </c>
      <c r="BB707" s="1">
        <v>135</v>
      </c>
      <c r="BC707" s="1">
        <v>105</v>
      </c>
    </row>
    <row r="708" spans="1:59" x14ac:dyDescent="0.25">
      <c r="A708" t="s">
        <v>3809</v>
      </c>
      <c r="B708" t="s">
        <v>3810</v>
      </c>
      <c r="C708" s="1">
        <v>382</v>
      </c>
      <c r="D708" s="1">
        <v>1995</v>
      </c>
      <c r="E708" t="s">
        <v>64</v>
      </c>
      <c r="F708" t="s">
        <v>725</v>
      </c>
      <c r="G708" t="s">
        <v>3811</v>
      </c>
      <c r="H708" t="s">
        <v>3812</v>
      </c>
      <c r="I708" t="s">
        <v>3813</v>
      </c>
      <c r="J708" t="s">
        <v>3811</v>
      </c>
      <c r="K708" s="1">
        <v>3</v>
      </c>
      <c r="L708" t="s">
        <v>91</v>
      </c>
      <c r="M708" t="s">
        <v>70</v>
      </c>
      <c r="N708" t="s">
        <v>71</v>
      </c>
      <c r="O708" t="s">
        <v>118</v>
      </c>
      <c r="P708" t="s">
        <v>72</v>
      </c>
      <c r="Q708" t="s">
        <v>551</v>
      </c>
      <c r="R708" t="s">
        <v>74</v>
      </c>
      <c r="S708" t="s">
        <v>3814</v>
      </c>
      <c r="T708" s="2">
        <v>745</v>
      </c>
      <c r="U708" s="3">
        <v>1.66</v>
      </c>
      <c r="V708" s="4">
        <v>1240</v>
      </c>
      <c r="AF708" s="5">
        <v>15.9686</v>
      </c>
      <c r="AI708" s="1">
        <v>3</v>
      </c>
      <c r="AJ708" t="s">
        <v>81</v>
      </c>
      <c r="AK708" t="s">
        <v>82</v>
      </c>
      <c r="AL708" t="s">
        <v>83</v>
      </c>
      <c r="AM708" s="3">
        <v>1.66</v>
      </c>
      <c r="AN708" s="4">
        <v>1348</v>
      </c>
      <c r="AO708" s="1">
        <v>810</v>
      </c>
      <c r="AP708" s="3">
        <v>1.58</v>
      </c>
      <c r="AQ708" s="4">
        <v>1670</v>
      </c>
      <c r="AR708" s="1">
        <v>1056</v>
      </c>
      <c r="AS708" s="3">
        <v>469042.25</v>
      </c>
      <c r="AW708" t="s">
        <v>84</v>
      </c>
      <c r="AY708" s="3">
        <v>1.7</v>
      </c>
      <c r="AZ708" s="4">
        <v>1064</v>
      </c>
      <c r="BA708" s="1">
        <v>626</v>
      </c>
      <c r="BB708" s="1">
        <v>197</v>
      </c>
      <c r="BC708" s="1">
        <v>137</v>
      </c>
      <c r="BD708" s="1">
        <v>48</v>
      </c>
      <c r="BG708" t="s">
        <v>131</v>
      </c>
    </row>
    <row r="709" spans="1:59" x14ac:dyDescent="0.25">
      <c r="A709" t="s">
        <v>3815</v>
      </c>
      <c r="B709" t="s">
        <v>3816</v>
      </c>
      <c r="C709" s="1">
        <v>426</v>
      </c>
      <c r="D709" s="1">
        <v>1997</v>
      </c>
      <c r="E709" t="s">
        <v>64</v>
      </c>
      <c r="F709" t="s">
        <v>123</v>
      </c>
      <c r="G709" t="s">
        <v>199</v>
      </c>
      <c r="H709" t="s">
        <v>3817</v>
      </c>
      <c r="I709" t="s">
        <v>1856</v>
      </c>
      <c r="J709" t="s">
        <v>199</v>
      </c>
      <c r="K709" s="1">
        <v>3</v>
      </c>
      <c r="L709" t="s">
        <v>91</v>
      </c>
      <c r="M709" t="s">
        <v>70</v>
      </c>
      <c r="N709" t="s">
        <v>71</v>
      </c>
      <c r="P709" t="s">
        <v>72</v>
      </c>
      <c r="Q709" t="s">
        <v>129</v>
      </c>
      <c r="R709" t="s">
        <v>74</v>
      </c>
      <c r="S709" t="s">
        <v>130</v>
      </c>
      <c r="T709" s="2">
        <v>895</v>
      </c>
      <c r="U709" s="3">
        <v>1.59</v>
      </c>
      <c r="V709" s="4">
        <v>1427</v>
      </c>
      <c r="AF709" s="5">
        <v>6.5728</v>
      </c>
      <c r="AI709" s="1">
        <v>3</v>
      </c>
      <c r="AJ709" t="s">
        <v>81</v>
      </c>
      <c r="AK709" t="s">
        <v>82</v>
      </c>
      <c r="AL709" t="s">
        <v>83</v>
      </c>
      <c r="AM709" s="3">
        <v>1.51</v>
      </c>
      <c r="AN709" s="4">
        <v>1624</v>
      </c>
      <c r="AO709" s="1">
        <v>1079</v>
      </c>
      <c r="AP709" s="3">
        <v>1.48</v>
      </c>
      <c r="AQ709" s="4">
        <v>2020</v>
      </c>
      <c r="AR709" s="1">
        <v>1362</v>
      </c>
      <c r="AS709" s="3">
        <v>1215721.1599999999</v>
      </c>
      <c r="AW709" t="s">
        <v>84</v>
      </c>
      <c r="AY709" s="3">
        <v>1.67</v>
      </c>
      <c r="AZ709" s="4">
        <v>1251</v>
      </c>
      <c r="BA709" s="1">
        <v>747</v>
      </c>
      <c r="BB709" s="1">
        <v>251</v>
      </c>
      <c r="BC709" s="1">
        <v>157</v>
      </c>
      <c r="BD709" s="1">
        <v>18</v>
      </c>
    </row>
    <row r="710" spans="1:59" x14ac:dyDescent="0.25">
      <c r="A710" t="s">
        <v>3818</v>
      </c>
      <c r="B710" t="s">
        <v>3819</v>
      </c>
      <c r="C710" s="1">
        <v>404</v>
      </c>
      <c r="D710" s="1">
        <v>1994</v>
      </c>
      <c r="E710" t="s">
        <v>64</v>
      </c>
      <c r="F710" t="s">
        <v>123</v>
      </c>
      <c r="G710" t="s">
        <v>3820</v>
      </c>
      <c r="H710" t="s">
        <v>3821</v>
      </c>
      <c r="I710" t="s">
        <v>3822</v>
      </c>
      <c r="J710" t="s">
        <v>3820</v>
      </c>
      <c r="K710" s="1">
        <v>3</v>
      </c>
      <c r="L710" t="s">
        <v>91</v>
      </c>
      <c r="M710" t="s">
        <v>70</v>
      </c>
      <c r="N710" t="s">
        <v>71</v>
      </c>
      <c r="P710" t="s">
        <v>72</v>
      </c>
      <c r="Q710" t="s">
        <v>129</v>
      </c>
      <c r="R710" t="s">
        <v>74</v>
      </c>
      <c r="S710" t="s">
        <v>3823</v>
      </c>
      <c r="T710" s="2">
        <v>890</v>
      </c>
      <c r="U710" s="3">
        <v>1.57</v>
      </c>
      <c r="V710" s="4">
        <v>1396</v>
      </c>
      <c r="AF710" s="5">
        <v>7.9207999999999998</v>
      </c>
      <c r="AI710" s="1">
        <v>2</v>
      </c>
      <c r="AJ710" t="s">
        <v>81</v>
      </c>
      <c r="AK710" t="s">
        <v>82</v>
      </c>
      <c r="AL710" t="s">
        <v>83</v>
      </c>
      <c r="AM710" s="3">
        <v>1.5</v>
      </c>
      <c r="AN710" s="4">
        <v>1577</v>
      </c>
      <c r="AO710" s="1">
        <v>1052</v>
      </c>
      <c r="AP710" s="3">
        <v>1.6</v>
      </c>
      <c r="AQ710" s="4">
        <v>2122</v>
      </c>
      <c r="AR710" s="1">
        <v>1322</v>
      </c>
      <c r="AS710" s="3">
        <v>0</v>
      </c>
      <c r="AW710" t="s">
        <v>84</v>
      </c>
      <c r="AY710" s="3">
        <v>1.63</v>
      </c>
      <c r="AZ710" s="4">
        <v>1225</v>
      </c>
      <c r="BA710" s="1">
        <v>753</v>
      </c>
      <c r="BB710" s="1">
        <v>234</v>
      </c>
      <c r="BC710" s="1">
        <v>153</v>
      </c>
      <c r="BD710" s="1">
        <v>17</v>
      </c>
      <c r="BG710" t="s">
        <v>131</v>
      </c>
    </row>
    <row r="711" spans="1:59" x14ac:dyDescent="0.25">
      <c r="A711" t="s">
        <v>3824</v>
      </c>
      <c r="B711" t="s">
        <v>3825</v>
      </c>
      <c r="C711" s="1">
        <v>1183</v>
      </c>
      <c r="D711" s="1">
        <v>1996</v>
      </c>
      <c r="E711" t="s">
        <v>64</v>
      </c>
      <c r="F711" t="s">
        <v>123</v>
      </c>
      <c r="G711" t="s">
        <v>199</v>
      </c>
      <c r="H711" t="s">
        <v>3826</v>
      </c>
      <c r="I711" t="s">
        <v>3827</v>
      </c>
      <c r="J711" t="s">
        <v>199</v>
      </c>
      <c r="K711" s="1">
        <v>3</v>
      </c>
      <c r="L711" t="s">
        <v>91</v>
      </c>
      <c r="M711" t="s">
        <v>70</v>
      </c>
      <c r="N711" t="s">
        <v>71</v>
      </c>
      <c r="P711" t="s">
        <v>72</v>
      </c>
      <c r="Q711" t="s">
        <v>129</v>
      </c>
      <c r="R711" t="s">
        <v>74</v>
      </c>
      <c r="S711" t="s">
        <v>130</v>
      </c>
      <c r="T711" s="2">
        <v>921</v>
      </c>
      <c r="U711" s="3">
        <v>1.63</v>
      </c>
      <c r="V711" s="4">
        <v>1505</v>
      </c>
      <c r="AF711" s="5">
        <v>7.9459</v>
      </c>
      <c r="AI711" s="1">
        <v>3</v>
      </c>
      <c r="AJ711" t="s">
        <v>81</v>
      </c>
      <c r="AK711" t="s">
        <v>82</v>
      </c>
      <c r="AL711" t="s">
        <v>83</v>
      </c>
      <c r="AM711" s="3">
        <v>1.57</v>
      </c>
      <c r="AN711" s="4">
        <v>1685</v>
      </c>
      <c r="AO711" s="1">
        <v>1071</v>
      </c>
      <c r="AP711" s="3">
        <v>1.73</v>
      </c>
      <c r="AQ711" s="4">
        <v>2310</v>
      </c>
      <c r="AR711" s="1">
        <v>1333</v>
      </c>
      <c r="AS711" s="3">
        <v>3222913.96</v>
      </c>
      <c r="AW711" t="s">
        <v>84</v>
      </c>
      <c r="AY711" s="3">
        <v>1.68</v>
      </c>
      <c r="AZ711" s="4">
        <v>1271</v>
      </c>
      <c r="BA711" s="1">
        <v>757</v>
      </c>
      <c r="BB711" s="1">
        <v>627</v>
      </c>
      <c r="BC711" s="1">
        <v>480</v>
      </c>
      <c r="BD711" s="1">
        <v>76</v>
      </c>
      <c r="BG711" t="s">
        <v>94</v>
      </c>
    </row>
    <row r="712" spans="1:59" x14ac:dyDescent="0.25">
      <c r="A712" t="s">
        <v>3828</v>
      </c>
      <c r="B712" t="s">
        <v>3829</v>
      </c>
      <c r="C712" s="1">
        <v>496</v>
      </c>
      <c r="D712" s="1">
        <v>1995</v>
      </c>
      <c r="E712" t="s">
        <v>64</v>
      </c>
      <c r="F712" t="s">
        <v>87</v>
      </c>
      <c r="G712" t="s">
        <v>801</v>
      </c>
      <c r="H712" t="s">
        <v>3830</v>
      </c>
      <c r="I712" t="s">
        <v>2099</v>
      </c>
      <c r="J712" t="s">
        <v>801</v>
      </c>
      <c r="K712" s="1">
        <v>4</v>
      </c>
      <c r="L712" t="s">
        <v>91</v>
      </c>
      <c r="M712" t="s">
        <v>70</v>
      </c>
      <c r="N712" t="s">
        <v>71</v>
      </c>
      <c r="P712" t="s">
        <v>72</v>
      </c>
      <c r="Q712" t="s">
        <v>73</v>
      </c>
      <c r="R712" t="s">
        <v>74</v>
      </c>
      <c r="S712" t="s">
        <v>2424</v>
      </c>
      <c r="T712" s="2">
        <v>746</v>
      </c>
      <c r="U712" s="3">
        <v>2.13</v>
      </c>
      <c r="V712" s="4">
        <v>1594</v>
      </c>
      <c r="AF712" s="5">
        <v>6.8548</v>
      </c>
      <c r="AI712" s="1">
        <v>4</v>
      </c>
      <c r="AJ712" t="s">
        <v>81</v>
      </c>
      <c r="AK712" t="s">
        <v>82</v>
      </c>
      <c r="AL712" t="s">
        <v>83</v>
      </c>
      <c r="AM712" s="3">
        <v>1.88</v>
      </c>
      <c r="AN712" s="4">
        <v>1810</v>
      </c>
      <c r="AO712" s="1">
        <v>964</v>
      </c>
      <c r="AS712" s="3">
        <v>2052027.01</v>
      </c>
      <c r="AT712" s="3">
        <v>2.42</v>
      </c>
      <c r="AU712" s="4">
        <v>1302</v>
      </c>
      <c r="AV712" s="6">
        <v>538</v>
      </c>
      <c r="AW712" t="s">
        <v>84</v>
      </c>
      <c r="AY712" s="3">
        <v>2.19</v>
      </c>
      <c r="AZ712" s="4">
        <v>1582</v>
      </c>
      <c r="BA712" s="1">
        <v>721</v>
      </c>
      <c r="BB712" s="1">
        <v>350</v>
      </c>
      <c r="BC712" s="1">
        <v>92</v>
      </c>
    </row>
    <row r="713" spans="1:59" x14ac:dyDescent="0.25">
      <c r="A713" t="s">
        <v>1620</v>
      </c>
      <c r="B713" t="s">
        <v>1621</v>
      </c>
      <c r="C713" s="1">
        <v>300</v>
      </c>
      <c r="D713" s="1">
        <v>1990</v>
      </c>
      <c r="E713" t="s">
        <v>64</v>
      </c>
      <c r="F713" t="s">
        <v>514</v>
      </c>
      <c r="G713" t="s">
        <v>575</v>
      </c>
      <c r="H713" t="s">
        <v>1622</v>
      </c>
      <c r="I713" t="s">
        <v>1623</v>
      </c>
      <c r="J713" t="s">
        <v>575</v>
      </c>
      <c r="K713" s="1">
        <v>4</v>
      </c>
      <c r="L713" t="s">
        <v>91</v>
      </c>
      <c r="M713" t="s">
        <v>70</v>
      </c>
      <c r="N713" t="s">
        <v>71</v>
      </c>
      <c r="P713" t="s">
        <v>72</v>
      </c>
      <c r="Q713" t="s">
        <v>264</v>
      </c>
      <c r="R713" t="s">
        <v>74</v>
      </c>
      <c r="S713" t="s">
        <v>517</v>
      </c>
      <c r="T713" s="2">
        <v>829</v>
      </c>
      <c r="U713" s="3">
        <v>1.74</v>
      </c>
      <c r="V713" s="4">
        <v>1443</v>
      </c>
      <c r="AF713" s="5">
        <v>5</v>
      </c>
      <c r="AH713" s="1">
        <v>2016</v>
      </c>
      <c r="AI713" s="1">
        <v>3</v>
      </c>
      <c r="AJ713" t="s">
        <v>81</v>
      </c>
      <c r="AK713" t="s">
        <v>82</v>
      </c>
      <c r="AL713" t="s">
        <v>83</v>
      </c>
      <c r="AM713" s="3">
        <v>1.61</v>
      </c>
      <c r="AN713" s="4">
        <v>1669</v>
      </c>
      <c r="AO713" s="1">
        <v>1039</v>
      </c>
      <c r="AS713" s="3">
        <v>370411.98</v>
      </c>
      <c r="AW713" t="s">
        <v>84</v>
      </c>
      <c r="AY713" s="3">
        <v>1.86</v>
      </c>
      <c r="AZ713" s="4">
        <v>1287</v>
      </c>
      <c r="BA713" s="1">
        <v>694</v>
      </c>
      <c r="BB713" s="1">
        <v>182</v>
      </c>
      <c r="BC713" s="1">
        <v>118</v>
      </c>
      <c r="BF713" t="s">
        <v>1130</v>
      </c>
      <c r="BG713" t="s">
        <v>104</v>
      </c>
    </row>
    <row r="714" spans="1:59" x14ac:dyDescent="0.25">
      <c r="A714" t="s">
        <v>3831</v>
      </c>
      <c r="B714" t="s">
        <v>3832</v>
      </c>
      <c r="C714" s="1">
        <v>476</v>
      </c>
      <c r="D714" s="1">
        <v>1991</v>
      </c>
      <c r="E714" t="s">
        <v>64</v>
      </c>
      <c r="F714" t="s">
        <v>514</v>
      </c>
      <c r="G714" t="s">
        <v>1976</v>
      </c>
      <c r="H714" t="s">
        <v>3833</v>
      </c>
      <c r="J714" t="s">
        <v>1976</v>
      </c>
      <c r="K714" s="1">
        <v>4</v>
      </c>
      <c r="L714" t="s">
        <v>91</v>
      </c>
      <c r="M714" t="s">
        <v>70</v>
      </c>
      <c r="N714" t="s">
        <v>71</v>
      </c>
      <c r="P714" t="s">
        <v>72</v>
      </c>
      <c r="Q714" t="s">
        <v>264</v>
      </c>
      <c r="R714" t="s">
        <v>74</v>
      </c>
      <c r="S714" t="s">
        <v>1594</v>
      </c>
      <c r="T714" s="2">
        <v>966</v>
      </c>
      <c r="U714" s="3">
        <v>1.86</v>
      </c>
      <c r="V714" s="4">
        <v>1800</v>
      </c>
      <c r="AF714" s="5">
        <v>5.0419999999999998</v>
      </c>
      <c r="AI714" s="1">
        <v>3</v>
      </c>
      <c r="AJ714" t="s">
        <v>81</v>
      </c>
      <c r="AK714" t="s">
        <v>82</v>
      </c>
      <c r="AL714" t="s">
        <v>83</v>
      </c>
      <c r="AM714" s="3">
        <v>1.9</v>
      </c>
      <c r="AN714" s="4">
        <v>2127</v>
      </c>
      <c r="AO714" s="1">
        <v>1118</v>
      </c>
      <c r="AP714" s="3">
        <v>1.97</v>
      </c>
      <c r="AQ714" s="4">
        <v>2394</v>
      </c>
      <c r="AR714" s="1">
        <v>1215</v>
      </c>
      <c r="AS714" s="3">
        <v>1880160.63</v>
      </c>
      <c r="AW714" t="s">
        <v>84</v>
      </c>
      <c r="AY714" s="3">
        <v>1.78</v>
      </c>
      <c r="AZ714" s="4">
        <v>1393</v>
      </c>
      <c r="BA714" s="1">
        <v>782</v>
      </c>
      <c r="BB714" s="1">
        <v>228</v>
      </c>
      <c r="BC714" s="1">
        <v>204</v>
      </c>
      <c r="BD714" s="1">
        <v>44</v>
      </c>
      <c r="BG714" t="s">
        <v>131</v>
      </c>
    </row>
    <row r="715" spans="1:59" x14ac:dyDescent="0.25">
      <c r="A715" t="s">
        <v>3834</v>
      </c>
      <c r="B715" t="s">
        <v>3835</v>
      </c>
      <c r="C715" s="1">
        <v>98</v>
      </c>
      <c r="D715" s="1">
        <v>1998</v>
      </c>
      <c r="E715" t="s">
        <v>64</v>
      </c>
      <c r="F715" t="s">
        <v>2726</v>
      </c>
      <c r="G715" t="s">
        <v>3836</v>
      </c>
      <c r="H715" t="s">
        <v>3837</v>
      </c>
      <c r="I715" t="s">
        <v>3838</v>
      </c>
      <c r="J715" t="s">
        <v>3836</v>
      </c>
      <c r="K715" s="1">
        <v>4</v>
      </c>
      <c r="L715" t="s">
        <v>729</v>
      </c>
      <c r="M715" t="s">
        <v>70</v>
      </c>
      <c r="N715" t="s">
        <v>71</v>
      </c>
      <c r="P715" t="s">
        <v>72</v>
      </c>
      <c r="Q715" t="s">
        <v>73</v>
      </c>
      <c r="R715" t="s">
        <v>74</v>
      </c>
      <c r="S715" t="s">
        <v>1568</v>
      </c>
      <c r="T715" s="2">
        <v>953</v>
      </c>
      <c r="U715" s="3">
        <v>2.5</v>
      </c>
      <c r="V715" s="4">
        <v>2383</v>
      </c>
      <c r="AF715" s="5">
        <v>9.1837</v>
      </c>
      <c r="AH715" s="1">
        <v>2019</v>
      </c>
      <c r="AI715" s="1">
        <v>4</v>
      </c>
      <c r="AJ715" t="s">
        <v>81</v>
      </c>
      <c r="AK715" t="s">
        <v>82</v>
      </c>
      <c r="AL715" t="s">
        <v>83</v>
      </c>
      <c r="AM715" s="3">
        <v>2.23</v>
      </c>
      <c r="AN715" s="4">
        <v>2710</v>
      </c>
      <c r="AO715" s="1">
        <v>1215</v>
      </c>
      <c r="AS715" s="3">
        <v>489471.58</v>
      </c>
      <c r="AW715" t="s">
        <v>84</v>
      </c>
      <c r="AY715" s="3">
        <v>2.62</v>
      </c>
      <c r="AZ715" s="4">
        <v>2278</v>
      </c>
      <c r="BA715" s="1">
        <v>868</v>
      </c>
      <c r="BB715" s="1">
        <v>74</v>
      </c>
      <c r="BC715" s="1">
        <v>24</v>
      </c>
      <c r="BF715" t="s">
        <v>592</v>
      </c>
      <c r="BG715" t="s">
        <v>104</v>
      </c>
    </row>
    <row r="716" spans="1:59" x14ac:dyDescent="0.25">
      <c r="A716" t="s">
        <v>3839</v>
      </c>
      <c r="B716" t="s">
        <v>3840</v>
      </c>
      <c r="C716" s="1">
        <v>202</v>
      </c>
      <c r="D716" s="1">
        <v>1997</v>
      </c>
      <c r="E716" t="s">
        <v>64</v>
      </c>
      <c r="F716" t="s">
        <v>228</v>
      </c>
      <c r="G716" t="s">
        <v>971</v>
      </c>
      <c r="H716" t="s">
        <v>3841</v>
      </c>
      <c r="I716" t="s">
        <v>779</v>
      </c>
      <c r="J716" t="s">
        <v>971</v>
      </c>
      <c r="K716" s="1">
        <v>4</v>
      </c>
      <c r="L716" t="s">
        <v>91</v>
      </c>
      <c r="M716" t="s">
        <v>70</v>
      </c>
      <c r="N716" t="s">
        <v>71</v>
      </c>
      <c r="O716" t="s">
        <v>118</v>
      </c>
      <c r="P716" t="s">
        <v>72</v>
      </c>
      <c r="Q716" t="s">
        <v>152</v>
      </c>
      <c r="R716" t="s">
        <v>74</v>
      </c>
      <c r="S716" t="s">
        <v>233</v>
      </c>
      <c r="T716" s="2">
        <v>921</v>
      </c>
      <c r="U716" s="3">
        <v>1.49</v>
      </c>
      <c r="V716" s="4">
        <v>1374</v>
      </c>
      <c r="AF716" s="5">
        <v>15.8416</v>
      </c>
      <c r="AH716" s="1">
        <v>2016</v>
      </c>
      <c r="AI716" s="1">
        <v>3</v>
      </c>
      <c r="AJ716" t="s">
        <v>81</v>
      </c>
      <c r="AK716" t="s">
        <v>82</v>
      </c>
      <c r="AL716" t="s">
        <v>83</v>
      </c>
      <c r="AM716" s="3">
        <v>1.43</v>
      </c>
      <c r="AN716" s="4">
        <v>1512</v>
      </c>
      <c r="AO716" s="1">
        <v>1061</v>
      </c>
      <c r="AP716" s="3">
        <v>1.29</v>
      </c>
      <c r="AQ716" s="4">
        <v>1731</v>
      </c>
      <c r="AR716" s="1">
        <v>1344</v>
      </c>
      <c r="AS716" s="3">
        <v>0</v>
      </c>
      <c r="AW716" t="s">
        <v>84</v>
      </c>
      <c r="AY716" s="3">
        <v>1.56</v>
      </c>
      <c r="AZ716" s="4">
        <v>1273</v>
      </c>
      <c r="BA716" s="1">
        <v>815</v>
      </c>
      <c r="BB716" s="1">
        <v>127</v>
      </c>
      <c r="BC716" s="1">
        <v>64</v>
      </c>
      <c r="BD716" s="1">
        <v>11</v>
      </c>
      <c r="BF716" t="s">
        <v>3842</v>
      </c>
      <c r="BG716" t="s">
        <v>131</v>
      </c>
    </row>
    <row r="717" spans="1:59" x14ac:dyDescent="0.25">
      <c r="A717" t="s">
        <v>3843</v>
      </c>
      <c r="B717" t="s">
        <v>3844</v>
      </c>
      <c r="C717" s="1">
        <v>420</v>
      </c>
      <c r="D717" s="1">
        <v>1997</v>
      </c>
      <c r="E717" t="s">
        <v>64</v>
      </c>
      <c r="F717" t="s">
        <v>228</v>
      </c>
      <c r="G717" t="s">
        <v>2819</v>
      </c>
      <c r="H717" t="s">
        <v>3845</v>
      </c>
      <c r="I717" t="s">
        <v>3335</v>
      </c>
      <c r="J717" t="s">
        <v>2819</v>
      </c>
      <c r="K717" s="1">
        <v>3</v>
      </c>
      <c r="L717" t="s">
        <v>91</v>
      </c>
      <c r="M717" t="s">
        <v>70</v>
      </c>
      <c r="N717" t="s">
        <v>71</v>
      </c>
      <c r="P717" t="s">
        <v>72</v>
      </c>
      <c r="Q717" t="s">
        <v>152</v>
      </c>
      <c r="R717" t="s">
        <v>74</v>
      </c>
      <c r="S717" t="s">
        <v>3846</v>
      </c>
      <c r="T717" s="2">
        <v>1033</v>
      </c>
      <c r="U717" s="3">
        <v>1.49</v>
      </c>
      <c r="V717" s="4">
        <v>1538</v>
      </c>
      <c r="AF717" s="5">
        <v>11.9048</v>
      </c>
      <c r="AI717" s="1">
        <v>3</v>
      </c>
      <c r="AJ717" t="s">
        <v>81</v>
      </c>
      <c r="AK717" t="s">
        <v>82</v>
      </c>
      <c r="AL717" t="s">
        <v>83</v>
      </c>
      <c r="AM717" s="3">
        <v>1.42</v>
      </c>
      <c r="AN717" s="4">
        <v>1538</v>
      </c>
      <c r="AO717" s="1">
        <v>1082</v>
      </c>
      <c r="AP717" s="3">
        <v>1.43</v>
      </c>
      <c r="AQ717" s="4">
        <v>1893</v>
      </c>
      <c r="AR717" s="1">
        <v>1327</v>
      </c>
      <c r="AS717" s="3">
        <v>1766987.04</v>
      </c>
      <c r="AT717" s="3">
        <v>2.31</v>
      </c>
      <c r="AU717" s="4">
        <v>1200</v>
      </c>
      <c r="AV717" s="6">
        <v>519</v>
      </c>
      <c r="AW717" t="s">
        <v>84</v>
      </c>
      <c r="AY717" s="3">
        <v>1.7</v>
      </c>
      <c r="AZ717" s="4">
        <v>1292</v>
      </c>
      <c r="BA717" s="1">
        <v>758</v>
      </c>
      <c r="BB717" s="1">
        <v>95</v>
      </c>
      <c r="BC717" s="1">
        <v>226</v>
      </c>
      <c r="BD717" s="1">
        <v>82</v>
      </c>
      <c r="BG717" t="s">
        <v>131</v>
      </c>
    </row>
    <row r="718" spans="1:59" x14ac:dyDescent="0.25">
      <c r="A718" t="s">
        <v>3847</v>
      </c>
      <c r="B718" t="s">
        <v>3848</v>
      </c>
      <c r="C718" s="1">
        <v>258</v>
      </c>
      <c r="D718" s="1">
        <v>1996</v>
      </c>
      <c r="E718" t="s">
        <v>64</v>
      </c>
      <c r="F718" t="s">
        <v>1133</v>
      </c>
      <c r="G718" t="s">
        <v>757</v>
      </c>
      <c r="H718" t="s">
        <v>3849</v>
      </c>
      <c r="I718" t="s">
        <v>3850</v>
      </c>
      <c r="J718" t="s">
        <v>757</v>
      </c>
      <c r="K718" s="1">
        <v>4</v>
      </c>
      <c r="L718" t="s">
        <v>91</v>
      </c>
      <c r="M718" t="s">
        <v>70</v>
      </c>
      <c r="N718" t="s">
        <v>71</v>
      </c>
      <c r="P718" t="s">
        <v>72</v>
      </c>
      <c r="Q718" t="s">
        <v>264</v>
      </c>
      <c r="R718" t="s">
        <v>74</v>
      </c>
      <c r="S718" t="s">
        <v>3851</v>
      </c>
      <c r="T718" s="2">
        <v>913</v>
      </c>
      <c r="U718" s="3">
        <v>1.81</v>
      </c>
      <c r="V718" s="4">
        <v>1651</v>
      </c>
      <c r="AF718" s="5">
        <v>5.0388000000000002</v>
      </c>
      <c r="AI718" s="1">
        <v>3</v>
      </c>
      <c r="AJ718" t="s">
        <v>81</v>
      </c>
      <c r="AK718" t="s">
        <v>82</v>
      </c>
      <c r="AL718" t="s">
        <v>83</v>
      </c>
      <c r="AM718" s="3">
        <v>1.69</v>
      </c>
      <c r="AN718" s="4">
        <v>1871</v>
      </c>
      <c r="AO718" s="1">
        <v>1106</v>
      </c>
      <c r="AS718" s="3">
        <v>1007277.11</v>
      </c>
      <c r="AW718" t="s">
        <v>84</v>
      </c>
      <c r="AY718" s="3">
        <v>1.92</v>
      </c>
      <c r="AZ718" s="4">
        <v>1507</v>
      </c>
      <c r="BA718" s="1">
        <v>787</v>
      </c>
      <c r="BB718" s="1">
        <v>156</v>
      </c>
      <c r="BC718" s="1">
        <v>102</v>
      </c>
    </row>
    <row r="719" spans="1:59" x14ac:dyDescent="0.25">
      <c r="A719" t="s">
        <v>3852</v>
      </c>
      <c r="B719" t="s">
        <v>3853</v>
      </c>
      <c r="C719" s="1">
        <v>50</v>
      </c>
      <c r="D719" s="1">
        <v>1998</v>
      </c>
      <c r="E719" t="s">
        <v>64</v>
      </c>
      <c r="F719" t="s">
        <v>943</v>
      </c>
      <c r="G719" t="s">
        <v>220</v>
      </c>
      <c r="H719" t="s">
        <v>3854</v>
      </c>
      <c r="I719" t="s">
        <v>3855</v>
      </c>
      <c r="J719" t="s">
        <v>220</v>
      </c>
      <c r="K719" s="1">
        <v>2</v>
      </c>
      <c r="L719" t="s">
        <v>69</v>
      </c>
      <c r="M719" t="s">
        <v>70</v>
      </c>
      <c r="N719" t="s">
        <v>71</v>
      </c>
      <c r="P719" t="s">
        <v>72</v>
      </c>
      <c r="Q719" t="s">
        <v>945</v>
      </c>
      <c r="R719" t="s">
        <v>74</v>
      </c>
      <c r="S719" t="s">
        <v>3856</v>
      </c>
      <c r="T719" s="2">
        <v>1095</v>
      </c>
      <c r="U719" s="3">
        <v>1.1599999999999999</v>
      </c>
      <c r="V719" s="4">
        <v>1362</v>
      </c>
      <c r="AF719" s="5">
        <v>2</v>
      </c>
      <c r="AI719" s="1">
        <v>1</v>
      </c>
      <c r="AJ719" t="s">
        <v>81</v>
      </c>
      <c r="AK719" t="s">
        <v>82</v>
      </c>
      <c r="AL719" t="s">
        <v>83</v>
      </c>
      <c r="AM719" s="3">
        <v>1.25</v>
      </c>
      <c r="AN719" s="4">
        <v>1302</v>
      </c>
      <c r="AO719" s="1">
        <v>970</v>
      </c>
      <c r="AP719" s="3">
        <v>1.1299999999999999</v>
      </c>
      <c r="AQ719" s="4">
        <v>1392</v>
      </c>
      <c r="AR719" s="1">
        <v>1161</v>
      </c>
      <c r="AS719" s="3">
        <v>77745.83</v>
      </c>
      <c r="AW719" t="s">
        <v>84</v>
      </c>
      <c r="BC719" s="1">
        <v>17</v>
      </c>
      <c r="BD719" s="1">
        <v>33</v>
      </c>
      <c r="BF719" t="s">
        <v>2607</v>
      </c>
      <c r="BG719" t="s">
        <v>104</v>
      </c>
    </row>
    <row r="720" spans="1:59" x14ac:dyDescent="0.25">
      <c r="A720" t="s">
        <v>3857</v>
      </c>
      <c r="B720" t="s">
        <v>3858</v>
      </c>
      <c r="C720" s="1">
        <v>81</v>
      </c>
      <c r="D720" s="1">
        <v>1998</v>
      </c>
      <c r="E720" t="s">
        <v>64</v>
      </c>
      <c r="F720" t="s">
        <v>943</v>
      </c>
      <c r="G720" t="s">
        <v>3859</v>
      </c>
      <c r="H720" t="s">
        <v>3860</v>
      </c>
      <c r="I720" t="s">
        <v>3861</v>
      </c>
      <c r="J720" t="s">
        <v>3859</v>
      </c>
      <c r="K720" s="1">
        <v>3</v>
      </c>
      <c r="L720" t="s">
        <v>91</v>
      </c>
      <c r="M720" t="s">
        <v>70</v>
      </c>
      <c r="N720" t="s">
        <v>71</v>
      </c>
      <c r="P720" t="s">
        <v>72</v>
      </c>
      <c r="Q720" t="s">
        <v>945</v>
      </c>
      <c r="R720" t="s">
        <v>74</v>
      </c>
      <c r="S720" t="s">
        <v>3862</v>
      </c>
      <c r="T720" s="2">
        <v>865</v>
      </c>
      <c r="U720" s="3">
        <v>2</v>
      </c>
      <c r="V720" s="4">
        <v>1727</v>
      </c>
      <c r="AF720" s="5">
        <v>8.6419999999999995</v>
      </c>
      <c r="AI720" s="1">
        <v>1</v>
      </c>
      <c r="AJ720" t="s">
        <v>81</v>
      </c>
      <c r="AK720" t="s">
        <v>82</v>
      </c>
      <c r="AL720" t="s">
        <v>83</v>
      </c>
      <c r="AM720" s="3">
        <v>1.95</v>
      </c>
      <c r="AN720" s="4">
        <v>1948</v>
      </c>
      <c r="AO720" s="1">
        <v>1000</v>
      </c>
      <c r="AP720" s="3">
        <v>1.08</v>
      </c>
      <c r="AQ720" s="4">
        <v>1900</v>
      </c>
      <c r="AR720" s="1">
        <v>1758</v>
      </c>
      <c r="AS720" s="3">
        <v>183348.81</v>
      </c>
      <c r="AW720" t="s">
        <v>84</v>
      </c>
      <c r="AY720" s="3">
        <v>2.12</v>
      </c>
      <c r="AZ720" s="4">
        <v>1501</v>
      </c>
      <c r="BA720" s="1">
        <v>708</v>
      </c>
      <c r="BB720" s="1">
        <v>40</v>
      </c>
      <c r="BC720" s="1">
        <v>40</v>
      </c>
      <c r="BD720" s="1">
        <v>1</v>
      </c>
      <c r="BG720" t="s">
        <v>744</v>
      </c>
    </row>
    <row r="721" spans="1:62" x14ac:dyDescent="0.25">
      <c r="A721" t="s">
        <v>3863</v>
      </c>
      <c r="B721" t="s">
        <v>3864</v>
      </c>
      <c r="C721" s="1">
        <v>140</v>
      </c>
      <c r="D721" s="1">
        <v>1998</v>
      </c>
      <c r="E721" t="s">
        <v>64</v>
      </c>
      <c r="F721" t="s">
        <v>107</v>
      </c>
      <c r="G721" t="s">
        <v>2296</v>
      </c>
      <c r="H721" t="s">
        <v>3865</v>
      </c>
      <c r="I721" t="s">
        <v>3866</v>
      </c>
      <c r="J721" t="s">
        <v>2296</v>
      </c>
      <c r="K721" s="1">
        <v>3</v>
      </c>
      <c r="L721" t="s">
        <v>69</v>
      </c>
      <c r="M721" t="s">
        <v>70</v>
      </c>
      <c r="N721" t="s">
        <v>71</v>
      </c>
      <c r="O721" t="s">
        <v>118</v>
      </c>
      <c r="P721" t="s">
        <v>72</v>
      </c>
      <c r="Q721" t="s">
        <v>110</v>
      </c>
      <c r="R721" t="s">
        <v>74</v>
      </c>
      <c r="S721" t="s">
        <v>3867</v>
      </c>
      <c r="T721" s="2">
        <v>739</v>
      </c>
      <c r="U721" s="3">
        <v>1.49</v>
      </c>
      <c r="V721" s="4">
        <v>1100</v>
      </c>
      <c r="AF721" s="5">
        <v>2.8571</v>
      </c>
      <c r="AI721" s="1">
        <v>2</v>
      </c>
      <c r="AJ721" t="s">
        <v>81</v>
      </c>
      <c r="AK721" t="s">
        <v>82</v>
      </c>
      <c r="AL721" t="s">
        <v>83</v>
      </c>
      <c r="AM721" s="3">
        <v>1.33</v>
      </c>
      <c r="AN721" s="4">
        <v>1221</v>
      </c>
      <c r="AO721" s="1">
        <v>917</v>
      </c>
      <c r="AS721" s="3">
        <v>173499.03</v>
      </c>
      <c r="AW721" t="s">
        <v>84</v>
      </c>
      <c r="AY721" s="3">
        <v>1.58</v>
      </c>
      <c r="AZ721" s="4">
        <v>1048</v>
      </c>
      <c r="BA721" s="1">
        <v>664</v>
      </c>
      <c r="BB721" s="1">
        <v>98</v>
      </c>
      <c r="BC721" s="1">
        <v>42</v>
      </c>
      <c r="BF721" t="s">
        <v>386</v>
      </c>
      <c r="BG721" t="s">
        <v>104</v>
      </c>
    </row>
    <row r="722" spans="1:62" x14ac:dyDescent="0.25">
      <c r="A722" t="s">
        <v>3868</v>
      </c>
      <c r="B722" t="s">
        <v>3869</v>
      </c>
      <c r="C722" s="1">
        <v>338</v>
      </c>
      <c r="D722" s="1">
        <v>1999</v>
      </c>
      <c r="E722" t="s">
        <v>64</v>
      </c>
      <c r="F722" t="s">
        <v>611</v>
      </c>
      <c r="G722" t="s">
        <v>3870</v>
      </c>
      <c r="H722" t="s">
        <v>3871</v>
      </c>
      <c r="I722" t="s">
        <v>2478</v>
      </c>
      <c r="J722" t="s">
        <v>3870</v>
      </c>
      <c r="K722" s="1">
        <v>3</v>
      </c>
      <c r="L722" t="s">
        <v>91</v>
      </c>
      <c r="M722" t="s">
        <v>70</v>
      </c>
      <c r="N722" t="s">
        <v>71</v>
      </c>
      <c r="P722" t="s">
        <v>72</v>
      </c>
      <c r="Q722" t="s">
        <v>611</v>
      </c>
      <c r="R722" t="s">
        <v>74</v>
      </c>
      <c r="S722" t="s">
        <v>3250</v>
      </c>
      <c r="T722" s="2">
        <v>968</v>
      </c>
      <c r="U722" s="3">
        <v>1.77</v>
      </c>
      <c r="V722" s="4">
        <v>1716</v>
      </c>
      <c r="AF722" s="5">
        <v>5.9172000000000002</v>
      </c>
      <c r="AH722" s="1">
        <v>2001</v>
      </c>
      <c r="AI722" s="1">
        <v>3</v>
      </c>
      <c r="AJ722" t="s">
        <v>81</v>
      </c>
      <c r="AK722" t="s">
        <v>82</v>
      </c>
      <c r="AL722" t="s">
        <v>83</v>
      </c>
      <c r="AM722" s="3">
        <v>1.68</v>
      </c>
      <c r="AN722" s="4">
        <v>1859</v>
      </c>
      <c r="AO722" s="1">
        <v>1104</v>
      </c>
      <c r="AP722" s="3">
        <v>1.95</v>
      </c>
      <c r="AQ722" s="4">
        <v>2482</v>
      </c>
      <c r="AR722" s="1">
        <v>1274</v>
      </c>
      <c r="AS722" s="3">
        <v>0</v>
      </c>
      <c r="AW722" t="s">
        <v>84</v>
      </c>
      <c r="AY722" s="3">
        <v>1.87</v>
      </c>
      <c r="AZ722" s="4">
        <v>1484</v>
      </c>
      <c r="BA722" s="1">
        <v>793</v>
      </c>
      <c r="BB722" s="1">
        <v>156</v>
      </c>
      <c r="BC722" s="1">
        <v>166</v>
      </c>
      <c r="BD722" s="1">
        <v>16</v>
      </c>
      <c r="BF722" t="s">
        <v>3872</v>
      </c>
    </row>
    <row r="723" spans="1:62" x14ac:dyDescent="0.25">
      <c r="A723" t="s">
        <v>3873</v>
      </c>
      <c r="B723" t="s">
        <v>3874</v>
      </c>
      <c r="C723" s="1">
        <v>84</v>
      </c>
      <c r="D723" s="1">
        <v>1997</v>
      </c>
      <c r="E723" t="s">
        <v>64</v>
      </c>
      <c r="F723" t="s">
        <v>3875</v>
      </c>
      <c r="G723" t="s">
        <v>3876</v>
      </c>
      <c r="H723" t="s">
        <v>3877</v>
      </c>
      <c r="I723" t="s">
        <v>3878</v>
      </c>
      <c r="J723" t="s">
        <v>3876</v>
      </c>
      <c r="K723" s="1">
        <v>3</v>
      </c>
      <c r="L723" t="s">
        <v>91</v>
      </c>
      <c r="M723" t="s">
        <v>70</v>
      </c>
      <c r="N723" t="s">
        <v>71</v>
      </c>
      <c r="O723" t="s">
        <v>426</v>
      </c>
      <c r="P723" t="s">
        <v>72</v>
      </c>
      <c r="Q723" t="s">
        <v>73</v>
      </c>
      <c r="R723" t="s">
        <v>74</v>
      </c>
      <c r="S723" t="s">
        <v>3879</v>
      </c>
      <c r="T723" s="2">
        <v>602</v>
      </c>
      <c r="U723" s="3">
        <v>0.72</v>
      </c>
      <c r="V723" s="4">
        <v>436</v>
      </c>
      <c r="AF723" s="5">
        <v>0</v>
      </c>
      <c r="AI723" s="1">
        <v>1</v>
      </c>
      <c r="AJ723" t="s">
        <v>81</v>
      </c>
      <c r="AK723" t="s">
        <v>82</v>
      </c>
      <c r="AL723" t="s">
        <v>83</v>
      </c>
      <c r="AM723" s="3">
        <v>0.81</v>
      </c>
      <c r="AN723" s="4">
        <v>564</v>
      </c>
      <c r="AO723" s="1">
        <v>700</v>
      </c>
      <c r="AW723" t="s">
        <v>84</v>
      </c>
      <c r="AY723" s="3">
        <v>0.72</v>
      </c>
      <c r="AZ723" s="4">
        <v>432</v>
      </c>
      <c r="BA723" s="1">
        <v>600</v>
      </c>
      <c r="BB723" s="1">
        <v>82</v>
      </c>
      <c r="BC723" s="1">
        <v>2</v>
      </c>
    </row>
    <row r="724" spans="1:62" x14ac:dyDescent="0.25">
      <c r="A724" t="s">
        <v>3880</v>
      </c>
      <c r="B724" t="s">
        <v>3881</v>
      </c>
      <c r="C724" s="1">
        <v>180</v>
      </c>
      <c r="D724" s="1">
        <v>2000</v>
      </c>
      <c r="E724" t="s">
        <v>64</v>
      </c>
      <c r="F724" t="s">
        <v>3875</v>
      </c>
      <c r="G724" t="s">
        <v>3882</v>
      </c>
      <c r="H724" t="s">
        <v>3883</v>
      </c>
      <c r="I724" t="s">
        <v>3884</v>
      </c>
      <c r="J724" t="s">
        <v>3882</v>
      </c>
      <c r="K724" s="1">
        <v>3</v>
      </c>
      <c r="L724" t="s">
        <v>91</v>
      </c>
      <c r="M724" t="s">
        <v>70</v>
      </c>
      <c r="N724" t="s">
        <v>71</v>
      </c>
      <c r="O724" t="s">
        <v>118</v>
      </c>
      <c r="P724" t="s">
        <v>72</v>
      </c>
      <c r="Q724" t="s">
        <v>73</v>
      </c>
      <c r="R724" t="s">
        <v>74</v>
      </c>
      <c r="S724" t="s">
        <v>3885</v>
      </c>
      <c r="T724" s="2">
        <v>1195</v>
      </c>
      <c r="U724" s="3">
        <v>1.31</v>
      </c>
      <c r="V724" s="4">
        <v>1564</v>
      </c>
      <c r="AF724" s="5">
        <v>14.4444</v>
      </c>
      <c r="AI724" s="1">
        <v>2</v>
      </c>
      <c r="AJ724" t="s">
        <v>81</v>
      </c>
      <c r="AK724" t="s">
        <v>82</v>
      </c>
      <c r="AL724" t="s">
        <v>83</v>
      </c>
      <c r="AM724" s="3">
        <v>1.27</v>
      </c>
      <c r="AN724" s="4">
        <v>1294</v>
      </c>
      <c r="AO724" s="1">
        <v>1023</v>
      </c>
      <c r="AP724" s="3">
        <v>1.34</v>
      </c>
      <c r="AQ724" s="4">
        <v>1641</v>
      </c>
      <c r="AR724" s="1">
        <v>1227</v>
      </c>
      <c r="AS724" s="3">
        <v>309886.92</v>
      </c>
      <c r="AW724" t="s">
        <v>84</v>
      </c>
      <c r="BC724" s="1">
        <v>60</v>
      </c>
      <c r="BD724" s="1">
        <v>80</v>
      </c>
      <c r="BE724" s="1">
        <v>40</v>
      </c>
      <c r="BF724" t="s">
        <v>3886</v>
      </c>
      <c r="BG724" t="s">
        <v>104</v>
      </c>
      <c r="BH724" s="3">
        <v>1.3</v>
      </c>
      <c r="BI724" s="4">
        <v>1813</v>
      </c>
      <c r="BJ724" s="1">
        <v>1390</v>
      </c>
    </row>
    <row r="725" spans="1:62" x14ac:dyDescent="0.25">
      <c r="A725" t="s">
        <v>3887</v>
      </c>
      <c r="B725" t="s">
        <v>3888</v>
      </c>
      <c r="C725" s="1">
        <v>696</v>
      </c>
      <c r="D725" s="1">
        <v>1995</v>
      </c>
      <c r="E725" t="s">
        <v>64</v>
      </c>
      <c r="F725" t="s">
        <v>123</v>
      </c>
      <c r="G725" t="s">
        <v>353</v>
      </c>
      <c r="H725" t="s">
        <v>3889</v>
      </c>
      <c r="I725" t="s">
        <v>3890</v>
      </c>
      <c r="J725" t="s">
        <v>353</v>
      </c>
      <c r="K725" s="1">
        <v>3</v>
      </c>
      <c r="L725" t="s">
        <v>91</v>
      </c>
      <c r="M725" t="s">
        <v>70</v>
      </c>
      <c r="N725" t="s">
        <v>71</v>
      </c>
      <c r="P725" t="s">
        <v>72</v>
      </c>
      <c r="Q725" t="s">
        <v>129</v>
      </c>
      <c r="R725" t="s">
        <v>74</v>
      </c>
      <c r="S725" t="s">
        <v>130</v>
      </c>
      <c r="T725" s="2">
        <v>857</v>
      </c>
      <c r="U725" s="3">
        <v>1.54</v>
      </c>
      <c r="V725" s="4">
        <v>1323</v>
      </c>
      <c r="AF725" s="5">
        <v>9.0517000000000003</v>
      </c>
      <c r="AI725" s="1">
        <v>3</v>
      </c>
      <c r="AJ725" t="s">
        <v>81</v>
      </c>
      <c r="AK725" t="s">
        <v>82</v>
      </c>
      <c r="AL725" t="s">
        <v>83</v>
      </c>
      <c r="AM725" s="3">
        <v>1.44</v>
      </c>
      <c r="AN725" s="4">
        <v>1438</v>
      </c>
      <c r="AO725" s="1">
        <v>995</v>
      </c>
      <c r="AP725" s="3">
        <v>1.64</v>
      </c>
      <c r="AQ725" s="4">
        <v>2098</v>
      </c>
      <c r="AR725" s="1">
        <v>1278</v>
      </c>
      <c r="AS725" s="3">
        <v>0</v>
      </c>
      <c r="AW725" t="s">
        <v>84</v>
      </c>
      <c r="AY725" s="3">
        <v>1.67</v>
      </c>
      <c r="AZ725" s="4">
        <v>1092</v>
      </c>
      <c r="BA725" s="1">
        <v>656</v>
      </c>
      <c r="BB725" s="1">
        <v>322</v>
      </c>
      <c r="BC725" s="1">
        <v>326</v>
      </c>
      <c r="BD725" s="1">
        <v>48</v>
      </c>
      <c r="BF725" t="s">
        <v>3891</v>
      </c>
      <c r="BG725" t="s">
        <v>104</v>
      </c>
    </row>
    <row r="726" spans="1:62" x14ac:dyDescent="0.25">
      <c r="A726" t="s">
        <v>3892</v>
      </c>
      <c r="B726" t="s">
        <v>3893</v>
      </c>
      <c r="C726" s="1">
        <v>228</v>
      </c>
      <c r="D726" s="1">
        <v>1998</v>
      </c>
      <c r="E726" t="s">
        <v>64</v>
      </c>
      <c r="F726" t="s">
        <v>3453</v>
      </c>
      <c r="G726" t="s">
        <v>784</v>
      </c>
      <c r="H726" t="s">
        <v>3894</v>
      </c>
      <c r="I726" t="s">
        <v>3895</v>
      </c>
      <c r="J726" t="s">
        <v>784</v>
      </c>
      <c r="K726" s="1">
        <v>4</v>
      </c>
      <c r="L726" t="s">
        <v>91</v>
      </c>
      <c r="M726" t="s">
        <v>70</v>
      </c>
      <c r="N726" t="s">
        <v>71</v>
      </c>
      <c r="P726" t="s">
        <v>72</v>
      </c>
      <c r="Q726" t="s">
        <v>73</v>
      </c>
      <c r="R726" t="s">
        <v>74</v>
      </c>
      <c r="S726" t="s">
        <v>2872</v>
      </c>
      <c r="T726" s="2">
        <v>972</v>
      </c>
      <c r="U726" s="3">
        <v>1.6</v>
      </c>
      <c r="V726" s="4">
        <v>1551</v>
      </c>
      <c r="AF726" s="5">
        <v>7.8947000000000003</v>
      </c>
      <c r="AH726" s="1">
        <v>2016</v>
      </c>
      <c r="AI726" s="1">
        <v>4</v>
      </c>
      <c r="AJ726" t="s">
        <v>81</v>
      </c>
      <c r="AK726" t="s">
        <v>82</v>
      </c>
      <c r="AL726" t="s">
        <v>83</v>
      </c>
      <c r="AM726" s="3">
        <v>1.43</v>
      </c>
      <c r="AN726" s="4">
        <v>1759</v>
      </c>
      <c r="AO726" s="1">
        <v>1230</v>
      </c>
      <c r="AS726" s="3">
        <v>938712.6</v>
      </c>
      <c r="AT726" s="3">
        <v>2.42</v>
      </c>
      <c r="AU726" s="4">
        <v>1016</v>
      </c>
      <c r="AV726" s="6">
        <v>420</v>
      </c>
      <c r="AW726" t="s">
        <v>84</v>
      </c>
      <c r="AY726" s="3">
        <v>1.81</v>
      </c>
      <c r="AZ726" s="4">
        <v>1407</v>
      </c>
      <c r="BA726" s="1">
        <v>777</v>
      </c>
      <c r="BB726" s="1">
        <v>78</v>
      </c>
      <c r="BC726" s="1">
        <v>121</v>
      </c>
      <c r="BG726" t="s">
        <v>131</v>
      </c>
    </row>
    <row r="727" spans="1:62" x14ac:dyDescent="0.25">
      <c r="A727" t="s">
        <v>3896</v>
      </c>
      <c r="B727" t="s">
        <v>3897</v>
      </c>
      <c r="C727" s="1">
        <v>612</v>
      </c>
      <c r="D727" s="1">
        <v>1999</v>
      </c>
      <c r="E727" t="s">
        <v>64</v>
      </c>
      <c r="F727" t="s">
        <v>1761</v>
      </c>
      <c r="G727" t="s">
        <v>1762</v>
      </c>
      <c r="H727" t="s">
        <v>3898</v>
      </c>
      <c r="I727" t="s">
        <v>3899</v>
      </c>
      <c r="J727" t="s">
        <v>1762</v>
      </c>
      <c r="K727" s="1">
        <v>3</v>
      </c>
      <c r="L727" t="s">
        <v>69</v>
      </c>
      <c r="M727" t="s">
        <v>70</v>
      </c>
      <c r="N727" t="s">
        <v>71</v>
      </c>
      <c r="P727" t="s">
        <v>72</v>
      </c>
      <c r="Q727" t="s">
        <v>73</v>
      </c>
      <c r="R727" t="s">
        <v>74</v>
      </c>
      <c r="S727" t="s">
        <v>75</v>
      </c>
      <c r="T727" s="2">
        <v>900</v>
      </c>
      <c r="U727" s="3">
        <v>2.54</v>
      </c>
      <c r="V727" s="4">
        <v>2290</v>
      </c>
      <c r="AF727" s="5">
        <v>1.6339999999999999</v>
      </c>
      <c r="AI727" s="1">
        <v>3</v>
      </c>
      <c r="AJ727" t="s">
        <v>81</v>
      </c>
      <c r="AK727" t="s">
        <v>82</v>
      </c>
      <c r="AL727" t="s">
        <v>83</v>
      </c>
      <c r="AM727" s="3">
        <v>2.63</v>
      </c>
      <c r="AN727" s="4">
        <v>2759</v>
      </c>
      <c r="AO727" s="1">
        <v>1048</v>
      </c>
      <c r="AP727" s="3">
        <v>2.21</v>
      </c>
      <c r="AQ727" s="4">
        <v>2979</v>
      </c>
      <c r="AR727" s="1">
        <v>1348</v>
      </c>
      <c r="AS727" s="3">
        <v>2462071.5</v>
      </c>
      <c r="AW727" t="s">
        <v>84</v>
      </c>
      <c r="AY727" s="3">
        <v>2.52</v>
      </c>
      <c r="AZ727" s="4">
        <v>1826</v>
      </c>
      <c r="BA727" s="1">
        <v>724</v>
      </c>
      <c r="BB727" s="1">
        <v>317</v>
      </c>
      <c r="BC727" s="1">
        <v>253</v>
      </c>
      <c r="BD727" s="1">
        <v>42</v>
      </c>
      <c r="BF727" t="s">
        <v>386</v>
      </c>
      <c r="BG727" t="s">
        <v>131</v>
      </c>
    </row>
    <row r="728" spans="1:62" x14ac:dyDescent="0.25">
      <c r="A728" t="s">
        <v>3900</v>
      </c>
      <c r="B728" t="s">
        <v>3901</v>
      </c>
      <c r="C728" s="1">
        <v>208</v>
      </c>
      <c r="D728" s="1">
        <v>1998</v>
      </c>
      <c r="E728" t="s">
        <v>64</v>
      </c>
      <c r="F728" t="s">
        <v>215</v>
      </c>
      <c r="G728" t="s">
        <v>3902</v>
      </c>
      <c r="H728" t="s">
        <v>3903</v>
      </c>
      <c r="I728" t="s">
        <v>3904</v>
      </c>
      <c r="J728" t="s">
        <v>3902</v>
      </c>
      <c r="K728" s="1">
        <v>4</v>
      </c>
      <c r="L728" t="s">
        <v>91</v>
      </c>
      <c r="M728" t="s">
        <v>70</v>
      </c>
      <c r="N728" t="s">
        <v>71</v>
      </c>
      <c r="O728" t="s">
        <v>118</v>
      </c>
      <c r="P728" t="s">
        <v>72</v>
      </c>
      <c r="Q728" t="s">
        <v>215</v>
      </c>
      <c r="R728" t="s">
        <v>74</v>
      </c>
      <c r="S728" t="s">
        <v>3905</v>
      </c>
      <c r="T728" s="2">
        <v>1038</v>
      </c>
      <c r="U728" s="3">
        <v>1.47</v>
      </c>
      <c r="V728" s="4">
        <v>1522</v>
      </c>
      <c r="AF728" s="5">
        <v>20.192299999999999</v>
      </c>
      <c r="AI728" s="1">
        <v>2</v>
      </c>
      <c r="AJ728" t="s">
        <v>81</v>
      </c>
      <c r="AK728" t="s">
        <v>82</v>
      </c>
      <c r="AL728" t="s">
        <v>83</v>
      </c>
      <c r="AM728" s="3">
        <v>1.45</v>
      </c>
      <c r="AN728" s="4">
        <v>1415</v>
      </c>
      <c r="AO728" s="1">
        <v>976</v>
      </c>
      <c r="AP728" s="3">
        <v>1.48</v>
      </c>
      <c r="AQ728" s="4">
        <v>1629</v>
      </c>
      <c r="AR728" s="1">
        <v>1100</v>
      </c>
      <c r="AS728" s="3">
        <v>330252.77</v>
      </c>
      <c r="AW728" t="s">
        <v>84</v>
      </c>
      <c r="BC728" s="1">
        <v>104</v>
      </c>
      <c r="BD728" s="1">
        <v>104</v>
      </c>
      <c r="BF728" t="s">
        <v>3906</v>
      </c>
      <c r="BG728" t="s">
        <v>643</v>
      </c>
    </row>
    <row r="729" spans="1:62" x14ac:dyDescent="0.25">
      <c r="A729" t="s">
        <v>3907</v>
      </c>
      <c r="B729" t="s">
        <v>3908</v>
      </c>
      <c r="C729" s="1">
        <v>730</v>
      </c>
      <c r="D729" s="1">
        <v>1996</v>
      </c>
      <c r="E729" t="s">
        <v>64</v>
      </c>
      <c r="F729" t="s">
        <v>140</v>
      </c>
      <c r="G729" t="s">
        <v>983</v>
      </c>
      <c r="H729" t="s">
        <v>3909</v>
      </c>
      <c r="I729" t="s">
        <v>3910</v>
      </c>
      <c r="J729" t="s">
        <v>983</v>
      </c>
      <c r="K729" s="1">
        <v>3</v>
      </c>
      <c r="L729" t="s">
        <v>91</v>
      </c>
      <c r="M729" t="s">
        <v>70</v>
      </c>
      <c r="N729" t="s">
        <v>71</v>
      </c>
      <c r="P729" t="s">
        <v>72</v>
      </c>
      <c r="Q729" t="s">
        <v>140</v>
      </c>
      <c r="R729" t="s">
        <v>74</v>
      </c>
      <c r="S729" t="s">
        <v>1050</v>
      </c>
      <c r="T729" s="2">
        <v>902</v>
      </c>
      <c r="U729" s="3">
        <v>1.53</v>
      </c>
      <c r="V729" s="4">
        <v>1383</v>
      </c>
      <c r="AF729" s="5">
        <v>7.2603</v>
      </c>
      <c r="AH729" s="1">
        <v>2009</v>
      </c>
      <c r="AI729" s="1">
        <v>3</v>
      </c>
      <c r="AJ729" t="s">
        <v>81</v>
      </c>
      <c r="AK729" t="s">
        <v>82</v>
      </c>
      <c r="AL729" t="s">
        <v>83</v>
      </c>
      <c r="AM729" s="3">
        <v>1.49</v>
      </c>
      <c r="AN729" s="4">
        <v>1578</v>
      </c>
      <c r="AO729" s="1">
        <v>1062</v>
      </c>
      <c r="AP729" s="3">
        <v>1.38</v>
      </c>
      <c r="AQ729" s="4">
        <v>1819</v>
      </c>
      <c r="AR729" s="1">
        <v>1315</v>
      </c>
      <c r="AS729" s="3">
        <v>1831060.66</v>
      </c>
      <c r="AW729" t="s">
        <v>84</v>
      </c>
      <c r="AY729" s="3">
        <v>1.62</v>
      </c>
      <c r="AZ729" s="4">
        <v>1167</v>
      </c>
      <c r="BA729" s="1">
        <v>719</v>
      </c>
      <c r="BB729" s="1">
        <v>368</v>
      </c>
      <c r="BC729" s="1">
        <v>323</v>
      </c>
      <c r="BD729" s="1">
        <v>39</v>
      </c>
      <c r="BF729" t="s">
        <v>3911</v>
      </c>
      <c r="BG729" t="s">
        <v>131</v>
      </c>
    </row>
    <row r="730" spans="1:62" x14ac:dyDescent="0.25">
      <c r="A730" t="s">
        <v>3912</v>
      </c>
      <c r="B730" t="s">
        <v>3913</v>
      </c>
      <c r="C730" s="1">
        <v>300</v>
      </c>
      <c r="D730" s="1">
        <v>1997</v>
      </c>
      <c r="E730" t="s">
        <v>64</v>
      </c>
      <c r="F730" t="s">
        <v>140</v>
      </c>
      <c r="G730" t="s">
        <v>3914</v>
      </c>
      <c r="H730" t="s">
        <v>3915</v>
      </c>
      <c r="I730" t="s">
        <v>3916</v>
      </c>
      <c r="J730" t="s">
        <v>3914</v>
      </c>
      <c r="K730" s="1">
        <v>4</v>
      </c>
      <c r="L730" t="s">
        <v>91</v>
      </c>
      <c r="M730" t="s">
        <v>70</v>
      </c>
      <c r="N730" t="s">
        <v>71</v>
      </c>
      <c r="P730" t="s">
        <v>72</v>
      </c>
      <c r="Q730" t="s">
        <v>140</v>
      </c>
      <c r="R730" t="s">
        <v>74</v>
      </c>
      <c r="S730" t="s">
        <v>1050</v>
      </c>
      <c r="T730" s="2">
        <v>983</v>
      </c>
      <c r="U730" s="3">
        <v>1.54</v>
      </c>
      <c r="V730" s="4">
        <v>1517</v>
      </c>
      <c r="AF730" s="5">
        <v>8.3332999999999995</v>
      </c>
      <c r="AI730" s="1">
        <v>3</v>
      </c>
      <c r="AJ730" t="s">
        <v>81</v>
      </c>
      <c r="AK730" t="s">
        <v>82</v>
      </c>
      <c r="AL730" t="s">
        <v>83</v>
      </c>
      <c r="AM730" s="3">
        <v>1.46</v>
      </c>
      <c r="AN730" s="4">
        <v>1586</v>
      </c>
      <c r="AO730" s="1">
        <v>1087</v>
      </c>
      <c r="AP730" s="3">
        <v>1.63</v>
      </c>
      <c r="AQ730" s="4">
        <v>2054</v>
      </c>
      <c r="AR730" s="1">
        <v>1260</v>
      </c>
      <c r="AS730" s="3">
        <v>902000.34</v>
      </c>
      <c r="AW730" t="s">
        <v>84</v>
      </c>
      <c r="AY730" s="3">
        <v>1.7</v>
      </c>
      <c r="AZ730" s="4">
        <v>1261</v>
      </c>
      <c r="BA730" s="1">
        <v>742</v>
      </c>
      <c r="BB730" s="1">
        <v>104</v>
      </c>
      <c r="BC730" s="1">
        <v>168</v>
      </c>
      <c r="BD730" s="1">
        <v>28</v>
      </c>
      <c r="BF730" t="s">
        <v>3917</v>
      </c>
      <c r="BG730" t="s">
        <v>365</v>
      </c>
    </row>
    <row r="731" spans="1:62" x14ac:dyDescent="0.25">
      <c r="A731" t="s">
        <v>3918</v>
      </c>
      <c r="B731" t="s">
        <v>3919</v>
      </c>
      <c r="C731" s="1">
        <v>208</v>
      </c>
      <c r="D731" s="1">
        <v>1999</v>
      </c>
      <c r="E731" t="s">
        <v>64</v>
      </c>
      <c r="F731" t="s">
        <v>140</v>
      </c>
      <c r="G731" t="s">
        <v>2057</v>
      </c>
      <c r="H731" t="s">
        <v>3920</v>
      </c>
      <c r="I731" t="s">
        <v>3921</v>
      </c>
      <c r="J731" t="s">
        <v>2057</v>
      </c>
      <c r="K731" s="1">
        <v>4</v>
      </c>
      <c r="L731" t="s">
        <v>91</v>
      </c>
      <c r="M731" t="s">
        <v>70</v>
      </c>
      <c r="N731" t="s">
        <v>71</v>
      </c>
      <c r="P731" t="s">
        <v>72</v>
      </c>
      <c r="Q731" t="s">
        <v>140</v>
      </c>
      <c r="R731" t="s">
        <v>74</v>
      </c>
      <c r="S731" t="s">
        <v>565</v>
      </c>
      <c r="T731" s="2">
        <v>1194</v>
      </c>
      <c r="U731" s="3">
        <v>1.49</v>
      </c>
      <c r="V731" s="4">
        <v>1776</v>
      </c>
      <c r="AF731" s="5">
        <v>7.6923000000000004</v>
      </c>
      <c r="AI731" s="1">
        <v>2</v>
      </c>
      <c r="AJ731" t="s">
        <v>81</v>
      </c>
      <c r="AK731" t="s">
        <v>82</v>
      </c>
      <c r="AL731" t="s">
        <v>83</v>
      </c>
      <c r="AM731" s="3">
        <v>1.5</v>
      </c>
      <c r="AN731" s="4">
        <v>1873</v>
      </c>
      <c r="AO731" s="1">
        <v>1247</v>
      </c>
      <c r="AP731" s="3">
        <v>1.47</v>
      </c>
      <c r="AQ731" s="4">
        <v>2294</v>
      </c>
      <c r="AR731" s="1">
        <v>1557</v>
      </c>
      <c r="AS731" s="3">
        <v>667653.69999999995</v>
      </c>
      <c r="AW731" t="s">
        <v>84</v>
      </c>
      <c r="AY731" s="3">
        <v>1.47</v>
      </c>
      <c r="AZ731" s="4">
        <v>1358</v>
      </c>
      <c r="BA731" s="1">
        <v>923</v>
      </c>
      <c r="BB731" s="1">
        <v>72</v>
      </c>
      <c r="BC731" s="1">
        <v>96</v>
      </c>
      <c r="BD731" s="1">
        <v>40</v>
      </c>
      <c r="BF731" t="s">
        <v>3617</v>
      </c>
      <c r="BG731" t="s">
        <v>104</v>
      </c>
    </row>
    <row r="732" spans="1:62" x14ac:dyDescent="0.25">
      <c r="A732" t="s">
        <v>3922</v>
      </c>
      <c r="B732" t="s">
        <v>3923</v>
      </c>
      <c r="C732" s="1">
        <v>122</v>
      </c>
      <c r="D732" s="1">
        <v>2000</v>
      </c>
      <c r="E732" t="s">
        <v>64</v>
      </c>
      <c r="F732" t="s">
        <v>140</v>
      </c>
      <c r="H732" t="s">
        <v>3924</v>
      </c>
      <c r="K732" s="1">
        <v>3</v>
      </c>
      <c r="L732" t="s">
        <v>91</v>
      </c>
      <c r="M732" t="s">
        <v>70</v>
      </c>
      <c r="N732" t="s">
        <v>71</v>
      </c>
      <c r="P732" t="s">
        <v>72</v>
      </c>
      <c r="Q732" t="s">
        <v>140</v>
      </c>
      <c r="R732" t="s">
        <v>74</v>
      </c>
      <c r="S732" t="s">
        <v>3925</v>
      </c>
      <c r="AI732" s="1">
        <v>1</v>
      </c>
      <c r="AJ732" t="s">
        <v>81</v>
      </c>
      <c r="AK732" t="s">
        <v>82</v>
      </c>
      <c r="AL732" t="s">
        <v>83</v>
      </c>
      <c r="AS732" s="3">
        <v>54528.89</v>
      </c>
      <c r="AW732" t="s">
        <v>84</v>
      </c>
      <c r="BC732" s="1">
        <v>122</v>
      </c>
    </row>
    <row r="733" spans="1:62" x14ac:dyDescent="0.25">
      <c r="A733" t="s">
        <v>3926</v>
      </c>
      <c r="B733" t="s">
        <v>3927</v>
      </c>
      <c r="C733" s="1">
        <v>115</v>
      </c>
      <c r="D733" s="1">
        <v>1999</v>
      </c>
      <c r="E733" t="s">
        <v>64</v>
      </c>
      <c r="F733" t="s">
        <v>140</v>
      </c>
      <c r="G733" t="s">
        <v>3221</v>
      </c>
      <c r="H733" t="s">
        <v>3928</v>
      </c>
      <c r="I733" t="s">
        <v>3929</v>
      </c>
      <c r="J733" t="s">
        <v>3221</v>
      </c>
      <c r="K733" s="1">
        <v>3</v>
      </c>
      <c r="L733" t="s">
        <v>91</v>
      </c>
      <c r="M733" t="s">
        <v>70</v>
      </c>
      <c r="N733" t="s">
        <v>71</v>
      </c>
      <c r="P733" t="s">
        <v>72</v>
      </c>
      <c r="Q733" t="s">
        <v>140</v>
      </c>
      <c r="R733" t="s">
        <v>74</v>
      </c>
      <c r="S733" t="s">
        <v>3930</v>
      </c>
      <c r="T733" s="2">
        <v>612</v>
      </c>
      <c r="U733" s="3">
        <v>3.6</v>
      </c>
      <c r="V733" s="4">
        <v>2202</v>
      </c>
      <c r="AF733" s="5">
        <v>0.86960000000000004</v>
      </c>
      <c r="AI733" s="1">
        <v>2</v>
      </c>
      <c r="AJ733" t="s">
        <v>81</v>
      </c>
      <c r="AK733" t="s">
        <v>82</v>
      </c>
      <c r="AL733" t="s">
        <v>83</v>
      </c>
      <c r="AM733" s="3">
        <v>3.42</v>
      </c>
      <c r="AN733" s="4">
        <v>3268</v>
      </c>
      <c r="AO733" s="1">
        <v>956</v>
      </c>
      <c r="AS733" s="3">
        <v>186140.72</v>
      </c>
      <c r="AT733" s="3">
        <v>4.08</v>
      </c>
      <c r="AU733" s="4">
        <v>1863</v>
      </c>
      <c r="AV733" s="6">
        <v>456</v>
      </c>
      <c r="AW733" t="s">
        <v>84</v>
      </c>
      <c r="AY733" s="3">
        <v>3.52</v>
      </c>
      <c r="AZ733" s="4">
        <v>2201</v>
      </c>
      <c r="BA733" s="1">
        <v>626</v>
      </c>
      <c r="BB733" s="1">
        <v>82</v>
      </c>
      <c r="BC733" s="1">
        <v>8</v>
      </c>
      <c r="BF733" t="s">
        <v>3931</v>
      </c>
      <c r="BG733" t="s">
        <v>131</v>
      </c>
    </row>
    <row r="734" spans="1:62" x14ac:dyDescent="0.25">
      <c r="A734" t="s">
        <v>3932</v>
      </c>
      <c r="B734" t="s">
        <v>3933</v>
      </c>
      <c r="C734" s="1">
        <v>328</v>
      </c>
      <c r="D734" s="1">
        <v>1999</v>
      </c>
      <c r="E734" t="s">
        <v>64</v>
      </c>
      <c r="F734" t="s">
        <v>140</v>
      </c>
      <c r="G734" t="s">
        <v>1290</v>
      </c>
      <c r="H734" t="s">
        <v>3934</v>
      </c>
      <c r="I734" t="s">
        <v>3935</v>
      </c>
      <c r="J734" t="s">
        <v>1290</v>
      </c>
      <c r="K734" s="1">
        <v>3</v>
      </c>
      <c r="L734" t="s">
        <v>69</v>
      </c>
      <c r="M734" t="s">
        <v>70</v>
      </c>
      <c r="N734" t="s">
        <v>71</v>
      </c>
      <c r="P734" t="s">
        <v>72</v>
      </c>
      <c r="Q734" t="s">
        <v>140</v>
      </c>
      <c r="R734" t="s">
        <v>74</v>
      </c>
      <c r="S734" t="s">
        <v>1535</v>
      </c>
      <c r="T734" s="2">
        <v>1033</v>
      </c>
      <c r="U734" s="3">
        <v>1.86</v>
      </c>
      <c r="V734" s="4">
        <v>1919</v>
      </c>
      <c r="AF734" s="5">
        <v>4.2683</v>
      </c>
      <c r="AI734" s="1">
        <v>3</v>
      </c>
      <c r="AJ734" t="s">
        <v>81</v>
      </c>
      <c r="AK734" t="s">
        <v>82</v>
      </c>
      <c r="AL734" t="s">
        <v>83</v>
      </c>
      <c r="AM734" s="3">
        <v>1.88</v>
      </c>
      <c r="AN734" s="4">
        <v>2182</v>
      </c>
      <c r="AO734" s="1">
        <v>1163</v>
      </c>
      <c r="AP734" s="3">
        <v>1.58</v>
      </c>
      <c r="AQ734" s="4">
        <v>2406</v>
      </c>
      <c r="AR734" s="1">
        <v>1520</v>
      </c>
      <c r="AS734" s="3">
        <v>990473.54</v>
      </c>
      <c r="AW734" t="s">
        <v>84</v>
      </c>
      <c r="AY734" s="3">
        <v>1.94</v>
      </c>
      <c r="AZ734" s="4">
        <v>1592</v>
      </c>
      <c r="BA734" s="1">
        <v>820</v>
      </c>
      <c r="BB734" s="1">
        <v>159</v>
      </c>
      <c r="BC734" s="1">
        <v>135</v>
      </c>
      <c r="BD734" s="1">
        <v>34</v>
      </c>
      <c r="BF734" t="s">
        <v>731</v>
      </c>
      <c r="BG734" t="s">
        <v>744</v>
      </c>
    </row>
    <row r="735" spans="1:62" x14ac:dyDescent="0.25">
      <c r="A735" t="s">
        <v>3936</v>
      </c>
      <c r="B735" t="s">
        <v>3937</v>
      </c>
      <c r="C735" s="1">
        <v>573</v>
      </c>
      <c r="D735" s="1">
        <v>1995</v>
      </c>
      <c r="E735" t="s">
        <v>64</v>
      </c>
      <c r="F735" t="s">
        <v>3597</v>
      </c>
      <c r="G735" t="s">
        <v>1038</v>
      </c>
      <c r="H735" t="s">
        <v>3938</v>
      </c>
      <c r="I735" t="s">
        <v>3937</v>
      </c>
      <c r="J735" t="s">
        <v>1038</v>
      </c>
      <c r="K735" s="1">
        <v>3</v>
      </c>
      <c r="L735" t="s">
        <v>91</v>
      </c>
      <c r="M735" t="s">
        <v>70</v>
      </c>
      <c r="N735" t="s">
        <v>71</v>
      </c>
      <c r="P735" t="s">
        <v>72</v>
      </c>
      <c r="Q735" t="s">
        <v>73</v>
      </c>
      <c r="R735" t="s">
        <v>74</v>
      </c>
      <c r="S735" t="s">
        <v>3939</v>
      </c>
      <c r="T735" s="2">
        <v>921</v>
      </c>
      <c r="U735" s="3">
        <v>1.65</v>
      </c>
      <c r="V735" s="4">
        <v>1524</v>
      </c>
      <c r="AF735" s="5">
        <v>6.4572000000000003</v>
      </c>
      <c r="AI735" s="1">
        <v>3</v>
      </c>
      <c r="AJ735" t="s">
        <v>81</v>
      </c>
      <c r="AK735" t="s">
        <v>82</v>
      </c>
      <c r="AL735" t="s">
        <v>83</v>
      </c>
      <c r="AM735" s="3">
        <v>1.67</v>
      </c>
      <c r="AN735" s="4">
        <v>1773</v>
      </c>
      <c r="AO735" s="1">
        <v>1061</v>
      </c>
      <c r="AP735" s="3">
        <v>1.53</v>
      </c>
      <c r="AQ735" s="4">
        <v>2121</v>
      </c>
      <c r="AR735" s="1">
        <v>1390</v>
      </c>
      <c r="AS735" s="3">
        <v>2101398.9</v>
      </c>
      <c r="AW735" t="s">
        <v>84</v>
      </c>
      <c r="AY735" s="3">
        <v>1.67</v>
      </c>
      <c r="AZ735" s="4">
        <v>1258</v>
      </c>
      <c r="BA735" s="1">
        <v>754</v>
      </c>
      <c r="BB735" s="1">
        <v>307</v>
      </c>
      <c r="BC735" s="1">
        <v>222</v>
      </c>
      <c r="BD735" s="1">
        <v>44</v>
      </c>
      <c r="BF735" t="s">
        <v>3600</v>
      </c>
    </row>
    <row r="736" spans="1:62" x14ac:dyDescent="0.25">
      <c r="A736" t="s">
        <v>3940</v>
      </c>
      <c r="B736" t="s">
        <v>3941</v>
      </c>
      <c r="C736" s="1">
        <v>161</v>
      </c>
      <c r="D736" s="1">
        <v>2000</v>
      </c>
      <c r="E736" t="s">
        <v>64</v>
      </c>
      <c r="F736" t="s">
        <v>3597</v>
      </c>
      <c r="G736" t="s">
        <v>1038</v>
      </c>
      <c r="H736" t="s">
        <v>3942</v>
      </c>
      <c r="I736" t="s">
        <v>1038</v>
      </c>
      <c r="J736" t="s">
        <v>1038</v>
      </c>
      <c r="K736" s="1">
        <v>4</v>
      </c>
      <c r="L736" t="s">
        <v>729</v>
      </c>
      <c r="M736" t="s">
        <v>70</v>
      </c>
      <c r="N736" t="s">
        <v>71</v>
      </c>
      <c r="P736" t="s">
        <v>72</v>
      </c>
      <c r="Q736" t="s">
        <v>3597</v>
      </c>
      <c r="R736" t="s">
        <v>74</v>
      </c>
      <c r="S736" t="s">
        <v>3943</v>
      </c>
      <c r="T736" s="2">
        <v>1045</v>
      </c>
      <c r="U736" s="3">
        <v>1.68</v>
      </c>
      <c r="V736" s="4">
        <v>1753</v>
      </c>
      <c r="AF736" s="5">
        <v>11.8012</v>
      </c>
      <c r="AI736" s="1">
        <v>4</v>
      </c>
      <c r="AJ736" t="s">
        <v>81</v>
      </c>
      <c r="AK736" t="s">
        <v>82</v>
      </c>
      <c r="AL736" t="s">
        <v>83</v>
      </c>
      <c r="AM736" s="3">
        <v>1.6</v>
      </c>
      <c r="AN736" s="4">
        <v>1925</v>
      </c>
      <c r="AO736" s="1">
        <v>1200</v>
      </c>
      <c r="AS736" s="3">
        <v>628359.48</v>
      </c>
      <c r="AW736" t="s">
        <v>84</v>
      </c>
      <c r="AY736" s="3">
        <v>1.76</v>
      </c>
      <c r="AZ736" s="4">
        <v>1599</v>
      </c>
      <c r="BA736" s="1">
        <v>907</v>
      </c>
      <c r="BB736" s="1">
        <v>85</v>
      </c>
      <c r="BC736" s="1">
        <v>76</v>
      </c>
    </row>
    <row r="737" spans="1:62" x14ac:dyDescent="0.25">
      <c r="A737" t="s">
        <v>3944</v>
      </c>
      <c r="B737" t="s">
        <v>3945</v>
      </c>
      <c r="C737" s="1">
        <v>399</v>
      </c>
      <c r="D737" s="1">
        <v>1992</v>
      </c>
      <c r="E737" t="s">
        <v>64</v>
      </c>
      <c r="F737" t="s">
        <v>3453</v>
      </c>
      <c r="G737" t="s">
        <v>3462</v>
      </c>
      <c r="H737" t="s">
        <v>3946</v>
      </c>
      <c r="I737" t="s">
        <v>3947</v>
      </c>
      <c r="J737" t="s">
        <v>3462</v>
      </c>
      <c r="K737" s="1">
        <v>4</v>
      </c>
      <c r="L737" t="s">
        <v>91</v>
      </c>
      <c r="M737" t="s">
        <v>70</v>
      </c>
      <c r="N737" t="s">
        <v>71</v>
      </c>
      <c r="P737" t="s">
        <v>72</v>
      </c>
      <c r="Q737" t="s">
        <v>73</v>
      </c>
      <c r="R737" t="s">
        <v>74</v>
      </c>
      <c r="S737" t="s">
        <v>2872</v>
      </c>
      <c r="T737" s="2">
        <v>963</v>
      </c>
      <c r="U737" s="3">
        <v>1.48</v>
      </c>
      <c r="V737" s="4">
        <v>1425</v>
      </c>
      <c r="AF737" s="5">
        <v>5.5137999999999998</v>
      </c>
      <c r="AI737" s="1">
        <v>3</v>
      </c>
      <c r="AJ737" t="s">
        <v>81</v>
      </c>
      <c r="AK737" t="s">
        <v>82</v>
      </c>
      <c r="AL737" t="s">
        <v>83</v>
      </c>
      <c r="AM737" s="3">
        <v>1.35</v>
      </c>
      <c r="AN737" s="4">
        <v>1647</v>
      </c>
      <c r="AO737" s="1">
        <v>1223</v>
      </c>
      <c r="AS737" s="3">
        <v>1292406.1100000001</v>
      </c>
      <c r="AW737" t="s">
        <v>84</v>
      </c>
      <c r="AY737" s="3">
        <v>1.64</v>
      </c>
      <c r="AZ737" s="4">
        <v>1259</v>
      </c>
      <c r="BA737" s="1">
        <v>768</v>
      </c>
      <c r="BB737" s="1">
        <v>228</v>
      </c>
      <c r="BC737" s="1">
        <v>171</v>
      </c>
    </row>
    <row r="738" spans="1:62" x14ac:dyDescent="0.25">
      <c r="A738" t="s">
        <v>3948</v>
      </c>
      <c r="B738" t="s">
        <v>3949</v>
      </c>
      <c r="C738" s="1">
        <v>220</v>
      </c>
      <c r="D738" s="1">
        <v>1996</v>
      </c>
      <c r="E738" t="s">
        <v>64</v>
      </c>
      <c r="F738" t="s">
        <v>3875</v>
      </c>
      <c r="G738" t="s">
        <v>3950</v>
      </c>
      <c r="H738" t="s">
        <v>3951</v>
      </c>
      <c r="I738" t="s">
        <v>3952</v>
      </c>
      <c r="J738" t="s">
        <v>3950</v>
      </c>
      <c r="K738" s="1">
        <v>3</v>
      </c>
      <c r="L738" t="s">
        <v>69</v>
      </c>
      <c r="M738" t="s">
        <v>70</v>
      </c>
      <c r="N738" t="s">
        <v>71</v>
      </c>
      <c r="O738" t="s">
        <v>118</v>
      </c>
      <c r="P738" t="s">
        <v>72</v>
      </c>
      <c r="Q738" t="s">
        <v>73</v>
      </c>
      <c r="R738" t="s">
        <v>74</v>
      </c>
      <c r="S738" t="s">
        <v>3885</v>
      </c>
      <c r="T738" s="2">
        <v>739</v>
      </c>
      <c r="U738" s="3">
        <v>1.57</v>
      </c>
      <c r="V738" s="4">
        <v>1179</v>
      </c>
      <c r="AF738" s="5">
        <v>30.909099999999999</v>
      </c>
      <c r="AH738" s="1">
        <v>2014</v>
      </c>
      <c r="AI738" s="1">
        <v>2</v>
      </c>
      <c r="AJ738" t="s">
        <v>81</v>
      </c>
      <c r="AK738" t="s">
        <v>82</v>
      </c>
      <c r="AL738" t="s">
        <v>83</v>
      </c>
      <c r="AM738" s="3">
        <v>1.5</v>
      </c>
      <c r="AN738" s="4">
        <v>1232</v>
      </c>
      <c r="AO738" s="1">
        <v>819</v>
      </c>
      <c r="AP738" s="3">
        <v>1.41</v>
      </c>
      <c r="AQ738" s="4">
        <v>1273</v>
      </c>
      <c r="AR738" s="1">
        <v>1039</v>
      </c>
      <c r="AS738" s="3">
        <v>284966.32</v>
      </c>
      <c r="AW738" t="s">
        <v>84</v>
      </c>
      <c r="AY738" s="3">
        <v>1.7</v>
      </c>
      <c r="AZ738" s="4">
        <v>1062</v>
      </c>
      <c r="BA738" s="1">
        <v>624</v>
      </c>
      <c r="BB738" s="1">
        <v>81</v>
      </c>
      <c r="BC738" s="1">
        <v>88</v>
      </c>
      <c r="BD738" s="1">
        <v>51</v>
      </c>
      <c r="BF738" t="s">
        <v>3953</v>
      </c>
    </row>
    <row r="739" spans="1:62" x14ac:dyDescent="0.25">
      <c r="A739" t="s">
        <v>3954</v>
      </c>
      <c r="B739" t="s">
        <v>3955</v>
      </c>
      <c r="C739" s="1">
        <v>367</v>
      </c>
      <c r="D739" s="1">
        <v>1998</v>
      </c>
      <c r="E739" t="s">
        <v>64</v>
      </c>
      <c r="F739" t="s">
        <v>87</v>
      </c>
      <c r="G739" t="s">
        <v>801</v>
      </c>
      <c r="H739" t="s">
        <v>3956</v>
      </c>
      <c r="I739" t="s">
        <v>3957</v>
      </c>
      <c r="J739" t="s">
        <v>801</v>
      </c>
      <c r="K739" s="1">
        <v>4</v>
      </c>
      <c r="L739" t="s">
        <v>91</v>
      </c>
      <c r="M739" t="s">
        <v>70</v>
      </c>
      <c r="N739" t="s">
        <v>71</v>
      </c>
      <c r="P739" t="s">
        <v>72</v>
      </c>
      <c r="Q739" t="s">
        <v>73</v>
      </c>
      <c r="R739" t="s">
        <v>74</v>
      </c>
      <c r="S739" t="s">
        <v>3958</v>
      </c>
      <c r="T739" s="2">
        <v>861</v>
      </c>
      <c r="U739" s="3">
        <v>2.1800000000000002</v>
      </c>
      <c r="V739" s="4">
        <v>1879</v>
      </c>
      <c r="AF739" s="5">
        <v>2.4523000000000001</v>
      </c>
      <c r="AH739" s="1">
        <v>2009</v>
      </c>
      <c r="AI739" s="1">
        <v>4</v>
      </c>
      <c r="AJ739" t="s">
        <v>81</v>
      </c>
      <c r="AK739" t="s">
        <v>82</v>
      </c>
      <c r="AL739" t="s">
        <v>83</v>
      </c>
      <c r="AM739" s="3">
        <v>2.33</v>
      </c>
      <c r="AN739" s="4">
        <v>2564</v>
      </c>
      <c r="AO739" s="1">
        <v>1100</v>
      </c>
      <c r="AS739" s="3">
        <v>1007293.54</v>
      </c>
      <c r="AT739" s="3">
        <v>2.0299999999999998</v>
      </c>
      <c r="AU739" s="4">
        <v>1603</v>
      </c>
      <c r="AV739" s="6">
        <v>790</v>
      </c>
      <c r="AW739" t="s">
        <v>84</v>
      </c>
      <c r="AY739" s="3">
        <v>2.2000000000000002</v>
      </c>
      <c r="AZ739" s="4">
        <v>1813</v>
      </c>
      <c r="BA739" s="1">
        <v>823</v>
      </c>
      <c r="BB739" s="1">
        <v>186</v>
      </c>
      <c r="BC739" s="1">
        <v>65</v>
      </c>
    </row>
    <row r="740" spans="1:62" x14ac:dyDescent="0.25">
      <c r="A740" t="s">
        <v>3959</v>
      </c>
      <c r="B740" t="s">
        <v>3960</v>
      </c>
      <c r="C740" s="1">
        <v>90</v>
      </c>
      <c r="D740" s="1">
        <v>1998</v>
      </c>
      <c r="E740" t="s">
        <v>64</v>
      </c>
      <c r="F740" t="s">
        <v>493</v>
      </c>
      <c r="G740" t="s">
        <v>432</v>
      </c>
      <c r="H740" t="s">
        <v>3961</v>
      </c>
      <c r="I740" t="s">
        <v>3962</v>
      </c>
      <c r="J740" t="s">
        <v>432</v>
      </c>
      <c r="K740" s="1">
        <v>3</v>
      </c>
      <c r="L740" t="s">
        <v>91</v>
      </c>
      <c r="M740" t="s">
        <v>70</v>
      </c>
      <c r="N740" t="s">
        <v>71</v>
      </c>
      <c r="O740" t="s">
        <v>118</v>
      </c>
      <c r="P740" t="s">
        <v>72</v>
      </c>
      <c r="Q740" t="s">
        <v>497</v>
      </c>
      <c r="R740" t="s">
        <v>74</v>
      </c>
      <c r="S740" t="s">
        <v>3963</v>
      </c>
      <c r="T740" s="2">
        <v>779</v>
      </c>
      <c r="U740" s="3">
        <v>0.8</v>
      </c>
      <c r="V740" s="4">
        <v>627</v>
      </c>
      <c r="AF740" s="5">
        <v>5.5556000000000001</v>
      </c>
      <c r="AG740" s="1">
        <v>5</v>
      </c>
      <c r="AI740" s="1">
        <v>1</v>
      </c>
      <c r="AJ740" t="s">
        <v>81</v>
      </c>
      <c r="AK740" t="s">
        <v>82</v>
      </c>
      <c r="AL740" t="s">
        <v>83</v>
      </c>
      <c r="AM740" s="3">
        <v>0.82</v>
      </c>
      <c r="AN740" s="4">
        <v>678</v>
      </c>
      <c r="AO740" s="1">
        <v>825</v>
      </c>
      <c r="AP740" s="3">
        <v>0.78</v>
      </c>
      <c r="AQ740" s="4">
        <v>758</v>
      </c>
      <c r="AR740" s="1">
        <v>975</v>
      </c>
      <c r="AS740" s="3">
        <v>29122.720000000001</v>
      </c>
      <c r="AW740" t="s">
        <v>84</v>
      </c>
      <c r="AY740" s="3">
        <v>0.78</v>
      </c>
      <c r="AZ740" s="4">
        <v>513</v>
      </c>
      <c r="BA740" s="1">
        <v>660</v>
      </c>
      <c r="BB740" s="1">
        <v>32</v>
      </c>
      <c r="BC740" s="1">
        <v>50</v>
      </c>
      <c r="BD740" s="1">
        <v>8</v>
      </c>
    </row>
    <row r="741" spans="1:62" x14ac:dyDescent="0.25">
      <c r="A741" t="s">
        <v>3964</v>
      </c>
      <c r="B741" t="s">
        <v>3965</v>
      </c>
      <c r="C741" s="1">
        <v>259</v>
      </c>
      <c r="D741" s="1">
        <v>1997</v>
      </c>
      <c r="E741" t="s">
        <v>64</v>
      </c>
      <c r="F741" t="s">
        <v>177</v>
      </c>
      <c r="G741" t="s">
        <v>2311</v>
      </c>
      <c r="H741" t="s">
        <v>3966</v>
      </c>
      <c r="I741" t="s">
        <v>3967</v>
      </c>
      <c r="J741" t="s">
        <v>2311</v>
      </c>
      <c r="K741" s="1">
        <v>3</v>
      </c>
      <c r="L741" t="s">
        <v>91</v>
      </c>
      <c r="M741" t="s">
        <v>70</v>
      </c>
      <c r="N741" t="s">
        <v>71</v>
      </c>
      <c r="P741" t="s">
        <v>72</v>
      </c>
      <c r="Q741" t="s">
        <v>172</v>
      </c>
      <c r="R741" t="s">
        <v>74</v>
      </c>
      <c r="S741" t="s">
        <v>189</v>
      </c>
      <c r="T741" s="2">
        <v>1076</v>
      </c>
      <c r="U741" s="3">
        <v>1.97</v>
      </c>
      <c r="V741" s="4">
        <v>2121</v>
      </c>
      <c r="AF741" s="5">
        <v>1.9305000000000001</v>
      </c>
      <c r="AH741" s="1">
        <v>2009</v>
      </c>
      <c r="AI741" s="1">
        <v>2</v>
      </c>
      <c r="AJ741" t="s">
        <v>81</v>
      </c>
      <c r="AK741" t="s">
        <v>82</v>
      </c>
      <c r="AL741" t="s">
        <v>83</v>
      </c>
      <c r="AM741" s="3">
        <v>2.09</v>
      </c>
      <c r="AN741" s="4">
        <v>2099</v>
      </c>
      <c r="AO741" s="1">
        <v>1006</v>
      </c>
      <c r="AP741" s="3">
        <v>1.63</v>
      </c>
      <c r="AQ741" s="4">
        <v>2437</v>
      </c>
      <c r="AR741" s="1">
        <v>1494</v>
      </c>
      <c r="AS741" s="3">
        <v>536021.46</v>
      </c>
      <c r="AW741" t="s">
        <v>84</v>
      </c>
      <c r="AY741" s="3">
        <v>2.11</v>
      </c>
      <c r="AZ741" s="4">
        <v>1490</v>
      </c>
      <c r="BA741" s="1">
        <v>706</v>
      </c>
      <c r="BB741" s="1">
        <v>74</v>
      </c>
      <c r="BC741" s="1">
        <v>111</v>
      </c>
      <c r="BD741" s="1">
        <v>37</v>
      </c>
      <c r="BE741" s="1">
        <v>37</v>
      </c>
      <c r="BG741" t="s">
        <v>131</v>
      </c>
      <c r="BH741" s="3">
        <v>1.94</v>
      </c>
      <c r="BI741" s="4">
        <v>3136</v>
      </c>
      <c r="BJ741" s="1">
        <v>1613</v>
      </c>
    </row>
    <row r="742" spans="1:62" x14ac:dyDescent="0.25">
      <c r="A742" t="s">
        <v>3968</v>
      </c>
      <c r="B742" t="s">
        <v>3969</v>
      </c>
      <c r="C742" s="1">
        <v>300</v>
      </c>
      <c r="D742" s="1">
        <v>1996</v>
      </c>
      <c r="E742" t="s">
        <v>64</v>
      </c>
      <c r="F742" t="s">
        <v>198</v>
      </c>
      <c r="G742" t="s">
        <v>250</v>
      </c>
      <c r="H742" t="s">
        <v>3970</v>
      </c>
      <c r="I742" t="s">
        <v>3971</v>
      </c>
      <c r="J742" t="s">
        <v>250</v>
      </c>
      <c r="K742" s="1">
        <v>4</v>
      </c>
      <c r="L742" t="s">
        <v>91</v>
      </c>
      <c r="M742" t="s">
        <v>70</v>
      </c>
      <c r="N742" t="s">
        <v>71</v>
      </c>
      <c r="P742" t="s">
        <v>72</v>
      </c>
      <c r="Q742" t="s">
        <v>531</v>
      </c>
      <c r="R742" t="s">
        <v>74</v>
      </c>
      <c r="S742" t="s">
        <v>3972</v>
      </c>
      <c r="T742" s="2">
        <v>955</v>
      </c>
      <c r="U742" s="3">
        <v>1.43</v>
      </c>
      <c r="V742" s="4">
        <v>1363</v>
      </c>
      <c r="AF742" s="5">
        <v>18.666699999999999</v>
      </c>
      <c r="AI742" s="1">
        <v>3</v>
      </c>
      <c r="AJ742" t="s">
        <v>81</v>
      </c>
      <c r="AK742" t="s">
        <v>82</v>
      </c>
      <c r="AL742" t="s">
        <v>83</v>
      </c>
      <c r="AM742" s="3">
        <v>1.41</v>
      </c>
      <c r="AN742" s="4">
        <v>1575</v>
      </c>
      <c r="AO742" s="1">
        <v>1117</v>
      </c>
      <c r="AS742" s="3">
        <v>670784.93999999994</v>
      </c>
      <c r="AW742" t="s">
        <v>84</v>
      </c>
      <c r="AY742" s="3">
        <v>1.45</v>
      </c>
      <c r="AZ742" s="4">
        <v>1151</v>
      </c>
      <c r="BA742" s="1">
        <v>794</v>
      </c>
      <c r="BB742" s="1">
        <v>150</v>
      </c>
      <c r="BC742" s="1">
        <v>150</v>
      </c>
    </row>
    <row r="743" spans="1:62" x14ac:dyDescent="0.25">
      <c r="A743" t="s">
        <v>3973</v>
      </c>
      <c r="B743" t="s">
        <v>3974</v>
      </c>
      <c r="C743" s="1">
        <v>274</v>
      </c>
      <c r="D743" s="1">
        <v>1997</v>
      </c>
      <c r="E743" t="s">
        <v>64</v>
      </c>
      <c r="F743" t="s">
        <v>198</v>
      </c>
      <c r="G743" t="s">
        <v>1538</v>
      </c>
      <c r="H743" t="s">
        <v>3975</v>
      </c>
      <c r="I743" t="s">
        <v>3976</v>
      </c>
      <c r="J743" t="s">
        <v>1538</v>
      </c>
      <c r="K743" s="1">
        <v>4</v>
      </c>
      <c r="L743" t="s">
        <v>729</v>
      </c>
      <c r="M743" t="s">
        <v>70</v>
      </c>
      <c r="N743" t="s">
        <v>71</v>
      </c>
      <c r="P743" t="s">
        <v>72</v>
      </c>
      <c r="Q743" t="s">
        <v>531</v>
      </c>
      <c r="R743" t="s">
        <v>74</v>
      </c>
      <c r="S743" t="s">
        <v>2034</v>
      </c>
      <c r="T743" s="2">
        <v>985</v>
      </c>
      <c r="U743" s="3">
        <v>1.44</v>
      </c>
      <c r="V743" s="4">
        <v>1417</v>
      </c>
      <c r="AF743" s="5">
        <v>4.7445000000000004</v>
      </c>
      <c r="AI743" s="1">
        <v>2</v>
      </c>
      <c r="AJ743" t="s">
        <v>81</v>
      </c>
      <c r="AK743" t="s">
        <v>82</v>
      </c>
      <c r="AL743" t="s">
        <v>83</v>
      </c>
      <c r="AM743" s="3">
        <v>1.34</v>
      </c>
      <c r="AN743" s="4">
        <v>1497</v>
      </c>
      <c r="AO743" s="1">
        <v>1119</v>
      </c>
      <c r="AP743" s="3">
        <v>1.32</v>
      </c>
      <c r="AQ743" s="4">
        <v>1600</v>
      </c>
      <c r="AR743" s="1">
        <v>1211</v>
      </c>
      <c r="AS743" s="3">
        <v>724701.49</v>
      </c>
      <c r="AW743" t="s">
        <v>84</v>
      </c>
      <c r="AY743" s="3">
        <v>1.72</v>
      </c>
      <c r="AZ743" s="4">
        <v>1184</v>
      </c>
      <c r="BA743" s="1">
        <v>689</v>
      </c>
      <c r="BB743" s="1">
        <v>88</v>
      </c>
      <c r="BC743" s="1">
        <v>174</v>
      </c>
      <c r="BD743" s="1">
        <v>12</v>
      </c>
      <c r="BF743" t="s">
        <v>3977</v>
      </c>
      <c r="BG743" t="s">
        <v>131</v>
      </c>
    </row>
    <row r="744" spans="1:62" x14ac:dyDescent="0.25">
      <c r="A744" t="s">
        <v>3978</v>
      </c>
      <c r="B744" t="s">
        <v>3979</v>
      </c>
      <c r="C744" s="1">
        <v>334</v>
      </c>
      <c r="D744" s="1">
        <v>1995</v>
      </c>
      <c r="E744" t="s">
        <v>64</v>
      </c>
      <c r="F744" t="s">
        <v>198</v>
      </c>
      <c r="G744" t="s">
        <v>3980</v>
      </c>
      <c r="H744" t="s">
        <v>3981</v>
      </c>
      <c r="I744" t="s">
        <v>3982</v>
      </c>
      <c r="J744" t="s">
        <v>3980</v>
      </c>
      <c r="K744" s="1">
        <v>3</v>
      </c>
      <c r="L744" t="s">
        <v>91</v>
      </c>
      <c r="M744" t="s">
        <v>70</v>
      </c>
      <c r="N744" t="s">
        <v>71</v>
      </c>
      <c r="P744" t="s">
        <v>72</v>
      </c>
      <c r="Q744" t="s">
        <v>531</v>
      </c>
      <c r="R744" t="s">
        <v>74</v>
      </c>
      <c r="S744" t="s">
        <v>2034</v>
      </c>
      <c r="T744" s="2">
        <v>889</v>
      </c>
      <c r="U744" s="3">
        <v>1.61</v>
      </c>
      <c r="V744" s="4">
        <v>1433</v>
      </c>
      <c r="AF744" s="5">
        <v>4.7904</v>
      </c>
      <c r="AI744" s="1">
        <v>4</v>
      </c>
      <c r="AJ744" t="s">
        <v>81</v>
      </c>
      <c r="AK744" t="s">
        <v>82</v>
      </c>
      <c r="AL744" t="s">
        <v>83</v>
      </c>
      <c r="AM744" s="3">
        <v>1.47</v>
      </c>
      <c r="AN744" s="4">
        <v>1566</v>
      </c>
      <c r="AO744" s="1">
        <v>1068</v>
      </c>
      <c r="AP744" s="3">
        <v>1.5</v>
      </c>
      <c r="AQ744" s="4">
        <v>2167</v>
      </c>
      <c r="AR744" s="1">
        <v>1447</v>
      </c>
      <c r="AS744" s="3">
        <v>911823.5</v>
      </c>
      <c r="AW744" t="s">
        <v>84</v>
      </c>
      <c r="AY744" s="3">
        <v>1.8</v>
      </c>
      <c r="AZ744" s="4">
        <v>1277</v>
      </c>
      <c r="BA744" s="1">
        <v>708</v>
      </c>
      <c r="BB744" s="1">
        <v>178</v>
      </c>
      <c r="BC744" s="1">
        <v>144</v>
      </c>
      <c r="BD744" s="1">
        <v>12</v>
      </c>
      <c r="BF744" t="s">
        <v>1739</v>
      </c>
      <c r="BG744" t="s">
        <v>104</v>
      </c>
    </row>
    <row r="745" spans="1:62" x14ac:dyDescent="0.25">
      <c r="A745" t="s">
        <v>3983</v>
      </c>
      <c r="B745" t="s">
        <v>3984</v>
      </c>
      <c r="C745" s="1">
        <v>414</v>
      </c>
      <c r="D745" s="1">
        <v>1999</v>
      </c>
      <c r="E745" t="s">
        <v>64</v>
      </c>
      <c r="F745" t="s">
        <v>841</v>
      </c>
      <c r="G745" t="s">
        <v>835</v>
      </c>
      <c r="H745" t="s">
        <v>3985</v>
      </c>
      <c r="I745" t="s">
        <v>3986</v>
      </c>
      <c r="J745" t="s">
        <v>835</v>
      </c>
      <c r="K745" s="1">
        <v>3</v>
      </c>
      <c r="L745" t="s">
        <v>91</v>
      </c>
      <c r="M745" t="s">
        <v>70</v>
      </c>
      <c r="N745" t="s">
        <v>71</v>
      </c>
      <c r="P745" t="s">
        <v>72</v>
      </c>
      <c r="Q745" t="s">
        <v>841</v>
      </c>
      <c r="R745" t="s">
        <v>74</v>
      </c>
      <c r="S745" t="s">
        <v>845</v>
      </c>
      <c r="T745" s="2">
        <v>948</v>
      </c>
      <c r="U745" s="3">
        <v>1.53</v>
      </c>
      <c r="V745" s="4">
        <v>1456</v>
      </c>
      <c r="AF745" s="5">
        <v>17.874400000000001</v>
      </c>
      <c r="AI745" s="1">
        <v>2</v>
      </c>
      <c r="AJ745" t="s">
        <v>81</v>
      </c>
      <c r="AK745" t="s">
        <v>82</v>
      </c>
      <c r="AL745" t="s">
        <v>83</v>
      </c>
      <c r="AM745" s="3">
        <v>1.45</v>
      </c>
      <c r="AN745" s="4">
        <v>1611</v>
      </c>
      <c r="AO745" s="1">
        <v>1109</v>
      </c>
      <c r="AP745" s="3">
        <v>1.61</v>
      </c>
      <c r="AQ745" s="4">
        <v>2094</v>
      </c>
      <c r="AR745" s="1">
        <v>1300</v>
      </c>
      <c r="AS745" s="3">
        <v>1090252.6200000001</v>
      </c>
      <c r="AW745" t="s">
        <v>84</v>
      </c>
      <c r="AY745" s="3">
        <v>1.62</v>
      </c>
      <c r="AZ745" s="4">
        <v>1250</v>
      </c>
      <c r="BA745" s="1">
        <v>771</v>
      </c>
      <c r="BB745" s="1">
        <v>210</v>
      </c>
      <c r="BC745" s="1">
        <v>180</v>
      </c>
      <c r="BD745" s="1">
        <v>24</v>
      </c>
      <c r="BG745" t="s">
        <v>131</v>
      </c>
    </row>
    <row r="746" spans="1:62" x14ac:dyDescent="0.25">
      <c r="A746" t="s">
        <v>3987</v>
      </c>
      <c r="B746" t="s">
        <v>3988</v>
      </c>
      <c r="C746" s="1">
        <v>252</v>
      </c>
      <c r="D746" s="1">
        <v>1998</v>
      </c>
      <c r="E746" t="s">
        <v>64</v>
      </c>
      <c r="F746" t="s">
        <v>841</v>
      </c>
      <c r="G746" t="s">
        <v>3989</v>
      </c>
      <c r="H746" t="s">
        <v>3990</v>
      </c>
      <c r="I746" t="s">
        <v>3991</v>
      </c>
      <c r="J746" t="s">
        <v>3989</v>
      </c>
      <c r="K746" s="1">
        <v>3</v>
      </c>
      <c r="L746" t="s">
        <v>91</v>
      </c>
      <c r="M746" t="s">
        <v>70</v>
      </c>
      <c r="N746" t="s">
        <v>71</v>
      </c>
      <c r="P746" t="s">
        <v>72</v>
      </c>
      <c r="Q746" t="s">
        <v>841</v>
      </c>
      <c r="R746" t="s">
        <v>74</v>
      </c>
      <c r="S746" t="s">
        <v>3992</v>
      </c>
      <c r="T746" s="2">
        <v>984</v>
      </c>
      <c r="U746" s="3">
        <v>1.55</v>
      </c>
      <c r="V746" s="4">
        <v>1525</v>
      </c>
      <c r="AF746" s="5">
        <v>9.5237999999999996</v>
      </c>
      <c r="AI746" s="1">
        <v>2</v>
      </c>
      <c r="AJ746" t="s">
        <v>81</v>
      </c>
      <c r="AK746" t="s">
        <v>82</v>
      </c>
      <c r="AL746" t="s">
        <v>83</v>
      </c>
      <c r="AM746" s="3">
        <v>1.52</v>
      </c>
      <c r="AN746" s="4">
        <v>1731</v>
      </c>
      <c r="AO746" s="1">
        <v>1141</v>
      </c>
      <c r="AP746" s="3">
        <v>1.46</v>
      </c>
      <c r="AQ746" s="4">
        <v>2026</v>
      </c>
      <c r="AR746" s="1">
        <v>1385</v>
      </c>
      <c r="AS746" s="3">
        <v>549557.43999999994</v>
      </c>
      <c r="AW746" t="s">
        <v>84</v>
      </c>
      <c r="AY746" s="3">
        <v>1.59</v>
      </c>
      <c r="AZ746" s="4">
        <v>1339</v>
      </c>
      <c r="BA746" s="1">
        <v>841</v>
      </c>
      <c r="BB746" s="1">
        <v>144</v>
      </c>
      <c r="BC746" s="1">
        <v>92</v>
      </c>
      <c r="BD746" s="1">
        <v>16</v>
      </c>
      <c r="BF746" t="s">
        <v>592</v>
      </c>
      <c r="BG746" t="s">
        <v>104</v>
      </c>
    </row>
    <row r="747" spans="1:62" x14ac:dyDescent="0.25">
      <c r="A747" t="s">
        <v>3993</v>
      </c>
      <c r="B747" t="s">
        <v>3994</v>
      </c>
      <c r="C747" s="1">
        <v>332</v>
      </c>
      <c r="D747" s="1">
        <v>1999</v>
      </c>
      <c r="E747" t="s">
        <v>64</v>
      </c>
      <c r="F747" t="s">
        <v>841</v>
      </c>
      <c r="G747" t="s">
        <v>3995</v>
      </c>
      <c r="H747" t="s">
        <v>3996</v>
      </c>
      <c r="I747" t="s">
        <v>3997</v>
      </c>
      <c r="J747" t="s">
        <v>3995</v>
      </c>
      <c r="K747" s="1">
        <v>4</v>
      </c>
      <c r="L747" t="s">
        <v>91</v>
      </c>
      <c r="M747" t="s">
        <v>70</v>
      </c>
      <c r="N747" t="s">
        <v>71</v>
      </c>
      <c r="P747" t="s">
        <v>72</v>
      </c>
      <c r="Q747" t="s">
        <v>841</v>
      </c>
      <c r="R747" t="s">
        <v>74</v>
      </c>
      <c r="S747" t="s">
        <v>3998</v>
      </c>
      <c r="T747" s="2">
        <v>995</v>
      </c>
      <c r="U747" s="3">
        <v>1.55</v>
      </c>
      <c r="V747" s="4">
        <v>1548</v>
      </c>
      <c r="AF747" s="5">
        <v>6.9276999999999997</v>
      </c>
      <c r="AI747" s="1">
        <v>3</v>
      </c>
      <c r="AJ747" t="s">
        <v>81</v>
      </c>
      <c r="AK747" t="s">
        <v>82</v>
      </c>
      <c r="AL747" t="s">
        <v>83</v>
      </c>
      <c r="AM747" s="3">
        <v>1.48</v>
      </c>
      <c r="AN747" s="4">
        <v>1619</v>
      </c>
      <c r="AO747" s="1">
        <v>1093</v>
      </c>
      <c r="AP747" s="3">
        <v>1.48</v>
      </c>
      <c r="AQ747" s="4">
        <v>2071</v>
      </c>
      <c r="AR747" s="1">
        <v>1404</v>
      </c>
      <c r="AS747" s="3">
        <v>795342.79</v>
      </c>
      <c r="AW747" t="s">
        <v>84</v>
      </c>
      <c r="AY747" s="3">
        <v>1.68</v>
      </c>
      <c r="AZ747" s="4">
        <v>1330</v>
      </c>
      <c r="BA747" s="1">
        <v>792</v>
      </c>
      <c r="BB747" s="1">
        <v>157</v>
      </c>
      <c r="BC747" s="1">
        <v>127</v>
      </c>
      <c r="BD747" s="1">
        <v>48</v>
      </c>
    </row>
    <row r="748" spans="1:62" x14ac:dyDescent="0.25">
      <c r="A748" t="s">
        <v>3999</v>
      </c>
      <c r="B748" t="s">
        <v>4000</v>
      </c>
      <c r="C748" s="1">
        <v>396</v>
      </c>
      <c r="D748" s="1">
        <v>1999</v>
      </c>
      <c r="E748" t="s">
        <v>64</v>
      </c>
      <c r="F748" t="s">
        <v>140</v>
      </c>
      <c r="G748" t="s">
        <v>757</v>
      </c>
      <c r="H748" t="s">
        <v>4001</v>
      </c>
      <c r="I748" t="s">
        <v>4002</v>
      </c>
      <c r="J748" t="s">
        <v>757</v>
      </c>
      <c r="K748" s="1">
        <v>4</v>
      </c>
      <c r="L748" t="s">
        <v>729</v>
      </c>
      <c r="M748" t="s">
        <v>70</v>
      </c>
      <c r="N748" t="s">
        <v>71</v>
      </c>
      <c r="P748" t="s">
        <v>72</v>
      </c>
      <c r="Q748" t="s">
        <v>140</v>
      </c>
      <c r="R748" t="s">
        <v>74</v>
      </c>
      <c r="S748" t="s">
        <v>4003</v>
      </c>
      <c r="T748" s="2">
        <v>963</v>
      </c>
      <c r="U748" s="3">
        <v>1.85</v>
      </c>
      <c r="V748" s="4">
        <v>1783</v>
      </c>
      <c r="AF748" s="5">
        <v>6.0606</v>
      </c>
      <c r="AI748" s="1">
        <v>2</v>
      </c>
      <c r="AJ748" t="s">
        <v>81</v>
      </c>
      <c r="AK748" t="s">
        <v>82</v>
      </c>
      <c r="AL748" t="s">
        <v>83</v>
      </c>
      <c r="AM748" s="3">
        <v>1.92</v>
      </c>
      <c r="AN748" s="4">
        <v>2021</v>
      </c>
      <c r="AO748" s="1">
        <v>1053</v>
      </c>
      <c r="AP748" s="3">
        <v>1.67</v>
      </c>
      <c r="AQ748" s="4">
        <v>2389</v>
      </c>
      <c r="AR748" s="1">
        <v>1430</v>
      </c>
      <c r="AS748" s="3">
        <v>555447.46</v>
      </c>
      <c r="AW748" t="s">
        <v>84</v>
      </c>
      <c r="AY748" s="3">
        <v>1.86</v>
      </c>
      <c r="AZ748" s="4">
        <v>1532</v>
      </c>
      <c r="BA748" s="1">
        <v>823</v>
      </c>
      <c r="BB748" s="1">
        <v>226</v>
      </c>
      <c r="BC748" s="1">
        <v>126</v>
      </c>
      <c r="BD748" s="1">
        <v>44</v>
      </c>
    </row>
    <row r="749" spans="1:62" x14ac:dyDescent="0.25">
      <c r="A749" t="s">
        <v>4004</v>
      </c>
      <c r="B749" t="s">
        <v>4005</v>
      </c>
      <c r="C749" s="1">
        <v>100</v>
      </c>
      <c r="D749" s="1">
        <v>1998</v>
      </c>
      <c r="E749" t="s">
        <v>64</v>
      </c>
      <c r="F749" t="s">
        <v>520</v>
      </c>
      <c r="G749" t="s">
        <v>3711</v>
      </c>
      <c r="H749" t="s">
        <v>4006</v>
      </c>
      <c r="I749" t="s">
        <v>4007</v>
      </c>
      <c r="J749" t="s">
        <v>3711</v>
      </c>
      <c r="K749" s="1">
        <v>3</v>
      </c>
      <c r="L749" t="s">
        <v>91</v>
      </c>
      <c r="M749" t="s">
        <v>70</v>
      </c>
      <c r="N749" t="s">
        <v>71</v>
      </c>
      <c r="O749" t="s">
        <v>118</v>
      </c>
      <c r="P749" t="s">
        <v>72</v>
      </c>
      <c r="Q749" t="s">
        <v>3345</v>
      </c>
      <c r="R749" t="s">
        <v>74</v>
      </c>
      <c r="S749" t="s">
        <v>4008</v>
      </c>
      <c r="T749" s="2">
        <v>1587</v>
      </c>
      <c r="U749" s="3">
        <v>0.95</v>
      </c>
      <c r="V749" s="4">
        <v>1513</v>
      </c>
      <c r="AF749" s="5">
        <v>1</v>
      </c>
      <c r="AI749" s="1">
        <v>1</v>
      </c>
      <c r="AJ749" t="s">
        <v>81</v>
      </c>
      <c r="AK749" t="s">
        <v>82</v>
      </c>
      <c r="AL749" t="s">
        <v>83</v>
      </c>
      <c r="AP749" s="3">
        <v>0.94</v>
      </c>
      <c r="AQ749" s="4">
        <v>1468</v>
      </c>
      <c r="AR749" s="1">
        <v>1563</v>
      </c>
      <c r="AS749" s="3">
        <v>73243.63</v>
      </c>
      <c r="AW749" t="s">
        <v>84</v>
      </c>
      <c r="BD749" s="1">
        <v>70</v>
      </c>
      <c r="BE749" s="1">
        <v>30</v>
      </c>
      <c r="BH749" s="3">
        <v>0.98</v>
      </c>
      <c r="BI749" s="4">
        <v>1620</v>
      </c>
      <c r="BJ749" s="1">
        <v>1645</v>
      </c>
    </row>
    <row r="750" spans="1:62" x14ac:dyDescent="0.25">
      <c r="A750" t="s">
        <v>4009</v>
      </c>
      <c r="B750" t="s">
        <v>4010</v>
      </c>
      <c r="C750" s="1">
        <v>384</v>
      </c>
      <c r="D750" s="1">
        <v>1999</v>
      </c>
      <c r="E750" t="s">
        <v>64</v>
      </c>
      <c r="F750" t="s">
        <v>4011</v>
      </c>
      <c r="G750" t="s">
        <v>169</v>
      </c>
      <c r="H750" t="s">
        <v>4012</v>
      </c>
      <c r="I750" t="s">
        <v>4013</v>
      </c>
      <c r="J750" t="s">
        <v>169</v>
      </c>
      <c r="K750" s="1">
        <v>4</v>
      </c>
      <c r="L750" t="s">
        <v>729</v>
      </c>
      <c r="M750" t="s">
        <v>70</v>
      </c>
      <c r="N750" t="s">
        <v>71</v>
      </c>
      <c r="P750" t="s">
        <v>72</v>
      </c>
      <c r="Q750" t="s">
        <v>73</v>
      </c>
      <c r="R750" t="s">
        <v>74</v>
      </c>
      <c r="S750" t="s">
        <v>4014</v>
      </c>
      <c r="T750" s="2">
        <v>912</v>
      </c>
      <c r="U750" s="3">
        <v>1.5</v>
      </c>
      <c r="V750" s="4">
        <v>1368</v>
      </c>
      <c r="AF750" s="5">
        <v>9.6354000000000006</v>
      </c>
      <c r="AI750" s="1">
        <v>3</v>
      </c>
      <c r="AJ750" t="s">
        <v>81</v>
      </c>
      <c r="AK750" t="s">
        <v>82</v>
      </c>
      <c r="AL750" t="s">
        <v>83</v>
      </c>
      <c r="AM750" s="3">
        <v>1.45</v>
      </c>
      <c r="AN750" s="4">
        <v>1512</v>
      </c>
      <c r="AO750" s="1">
        <v>1046</v>
      </c>
      <c r="AP750" s="3">
        <v>1.53</v>
      </c>
      <c r="AQ750" s="4">
        <v>1997</v>
      </c>
      <c r="AR750" s="1">
        <v>1302</v>
      </c>
      <c r="AS750" s="3">
        <v>1296317.3999999999</v>
      </c>
      <c r="AW750" t="s">
        <v>84</v>
      </c>
      <c r="AY750" s="3">
        <v>1.54</v>
      </c>
      <c r="AZ750" s="4">
        <v>1114</v>
      </c>
      <c r="BA750" s="1">
        <v>725</v>
      </c>
      <c r="BB750" s="1">
        <v>200</v>
      </c>
      <c r="BC750" s="1">
        <v>134</v>
      </c>
      <c r="BD750" s="1">
        <v>50</v>
      </c>
      <c r="BF750" t="s">
        <v>1214</v>
      </c>
      <c r="BG750" t="s">
        <v>104</v>
      </c>
    </row>
    <row r="751" spans="1:62" x14ac:dyDescent="0.25">
      <c r="A751" t="s">
        <v>4015</v>
      </c>
      <c r="B751" t="s">
        <v>4016</v>
      </c>
      <c r="C751" s="1">
        <v>420</v>
      </c>
      <c r="D751" s="1">
        <v>1998</v>
      </c>
      <c r="E751" t="s">
        <v>64</v>
      </c>
      <c r="F751" t="s">
        <v>2922</v>
      </c>
      <c r="G751" t="s">
        <v>1277</v>
      </c>
      <c r="H751" t="s">
        <v>4017</v>
      </c>
      <c r="I751" t="s">
        <v>4018</v>
      </c>
      <c r="J751" t="s">
        <v>1277</v>
      </c>
      <c r="K751" s="1">
        <v>5</v>
      </c>
      <c r="L751" t="s">
        <v>729</v>
      </c>
      <c r="M751" t="s">
        <v>70</v>
      </c>
      <c r="N751" t="s">
        <v>71</v>
      </c>
      <c r="P751" t="s">
        <v>72</v>
      </c>
      <c r="Q751" t="s">
        <v>73</v>
      </c>
      <c r="R751" t="s">
        <v>74</v>
      </c>
      <c r="S751" t="s">
        <v>4019</v>
      </c>
      <c r="T751" s="2">
        <v>889</v>
      </c>
      <c r="U751" s="3">
        <v>1.74</v>
      </c>
      <c r="V751" s="4">
        <v>1550</v>
      </c>
      <c r="AF751" s="5">
        <v>7.1429</v>
      </c>
      <c r="AH751" s="1">
        <v>2016</v>
      </c>
      <c r="AI751" s="1">
        <v>4</v>
      </c>
      <c r="AJ751" t="s">
        <v>81</v>
      </c>
      <c r="AK751" t="s">
        <v>82</v>
      </c>
      <c r="AL751" t="s">
        <v>83</v>
      </c>
      <c r="AM751" s="3">
        <v>1.58</v>
      </c>
      <c r="AN751" s="4">
        <v>1891</v>
      </c>
      <c r="AO751" s="1">
        <v>1197</v>
      </c>
      <c r="AP751" s="3">
        <v>1.69</v>
      </c>
      <c r="AQ751" s="4">
        <v>2440</v>
      </c>
      <c r="AR751" s="1">
        <v>1444</v>
      </c>
      <c r="AS751" s="3">
        <v>1960736.17</v>
      </c>
      <c r="AW751" t="s">
        <v>84</v>
      </c>
      <c r="AY751" s="3">
        <v>1.88</v>
      </c>
      <c r="AZ751" s="4">
        <v>1342</v>
      </c>
      <c r="BA751" s="1">
        <v>713</v>
      </c>
      <c r="BB751" s="1">
        <v>270</v>
      </c>
      <c r="BC751" s="1">
        <v>144</v>
      </c>
      <c r="BD751" s="1">
        <v>6</v>
      </c>
      <c r="BF751" t="s">
        <v>4020</v>
      </c>
      <c r="BG751" t="s">
        <v>131</v>
      </c>
    </row>
    <row r="752" spans="1:62" x14ac:dyDescent="0.25">
      <c r="A752" t="s">
        <v>4021</v>
      </c>
      <c r="B752" t="s">
        <v>4022</v>
      </c>
      <c r="C752" s="1">
        <v>50</v>
      </c>
      <c r="D752" s="1">
        <v>2000</v>
      </c>
      <c r="E752" t="s">
        <v>64</v>
      </c>
      <c r="F752" t="s">
        <v>4023</v>
      </c>
      <c r="H752" t="s">
        <v>4024</v>
      </c>
      <c r="K752" s="1">
        <v>3</v>
      </c>
      <c r="L752" t="s">
        <v>91</v>
      </c>
      <c r="M752" t="s">
        <v>70</v>
      </c>
      <c r="N752" t="s">
        <v>71</v>
      </c>
      <c r="P752" t="s">
        <v>72</v>
      </c>
      <c r="Q752" t="s">
        <v>215</v>
      </c>
      <c r="R752" t="s">
        <v>74</v>
      </c>
      <c r="S752" t="s">
        <v>4025</v>
      </c>
      <c r="AI752" s="1">
        <v>3</v>
      </c>
      <c r="AJ752" t="s">
        <v>81</v>
      </c>
      <c r="AK752" t="s">
        <v>82</v>
      </c>
      <c r="AL752" t="s">
        <v>83</v>
      </c>
      <c r="AS752" s="3">
        <v>15533.07</v>
      </c>
      <c r="AW752" t="s">
        <v>84</v>
      </c>
    </row>
    <row r="753" spans="1:59" x14ac:dyDescent="0.25">
      <c r="A753" t="s">
        <v>4026</v>
      </c>
      <c r="B753" t="s">
        <v>4027</v>
      </c>
      <c r="C753" s="1">
        <v>127</v>
      </c>
      <c r="D753" s="1">
        <v>1998</v>
      </c>
      <c r="E753" t="s">
        <v>64</v>
      </c>
      <c r="F753" t="s">
        <v>87</v>
      </c>
      <c r="G753" t="s">
        <v>4028</v>
      </c>
      <c r="I753" t="s">
        <v>4028</v>
      </c>
      <c r="K753" s="1">
        <v>4</v>
      </c>
      <c r="L753" t="s">
        <v>91</v>
      </c>
      <c r="M753" t="s">
        <v>70</v>
      </c>
      <c r="N753" t="s">
        <v>71</v>
      </c>
      <c r="P753" t="s">
        <v>72</v>
      </c>
      <c r="Q753" t="s">
        <v>73</v>
      </c>
      <c r="R753" t="s">
        <v>74</v>
      </c>
      <c r="S753" t="s">
        <v>92</v>
      </c>
      <c r="AI753" s="1">
        <v>5</v>
      </c>
      <c r="AJ753" t="s">
        <v>81</v>
      </c>
      <c r="AK753" t="s">
        <v>82</v>
      </c>
      <c r="AL753" t="s">
        <v>83</v>
      </c>
      <c r="AS753" s="3">
        <v>104139.1</v>
      </c>
      <c r="AW753" t="s">
        <v>84</v>
      </c>
    </row>
    <row r="754" spans="1:59" x14ac:dyDescent="0.25">
      <c r="A754" t="s">
        <v>4029</v>
      </c>
      <c r="B754" t="s">
        <v>4030</v>
      </c>
      <c r="C754" s="1">
        <v>59</v>
      </c>
      <c r="D754" s="1">
        <v>1991</v>
      </c>
      <c r="E754" t="s">
        <v>64</v>
      </c>
      <c r="F754" t="s">
        <v>2063</v>
      </c>
      <c r="G754" t="s">
        <v>4031</v>
      </c>
      <c r="H754" t="s">
        <v>4032</v>
      </c>
      <c r="I754" t="s">
        <v>4033</v>
      </c>
      <c r="J754" t="s">
        <v>4031</v>
      </c>
      <c r="K754" s="1">
        <v>3</v>
      </c>
      <c r="L754" t="s">
        <v>91</v>
      </c>
      <c r="M754" t="s">
        <v>70</v>
      </c>
      <c r="N754" t="s">
        <v>71</v>
      </c>
      <c r="P754" t="s">
        <v>72</v>
      </c>
      <c r="Q754" t="s">
        <v>152</v>
      </c>
      <c r="R754" t="s">
        <v>74</v>
      </c>
      <c r="S754" t="s">
        <v>4034</v>
      </c>
      <c r="T754" s="2">
        <v>1034</v>
      </c>
      <c r="U754" s="3">
        <v>2.17</v>
      </c>
      <c r="V754" s="4">
        <v>2248</v>
      </c>
      <c r="AF754" s="5">
        <v>13.5593</v>
      </c>
      <c r="AH754" s="1">
        <v>2020</v>
      </c>
      <c r="AI754" s="1">
        <v>12</v>
      </c>
      <c r="AJ754" t="s">
        <v>81</v>
      </c>
      <c r="AK754" t="s">
        <v>82</v>
      </c>
      <c r="AL754" t="s">
        <v>83</v>
      </c>
      <c r="AM754" s="3">
        <v>3.32</v>
      </c>
      <c r="AN754" s="4">
        <v>5563</v>
      </c>
      <c r="AO754" s="1">
        <v>1677</v>
      </c>
      <c r="AS754" s="3">
        <v>189910.39999999999</v>
      </c>
      <c r="AW754" t="s">
        <v>84</v>
      </c>
      <c r="AY754" s="3">
        <v>2.14</v>
      </c>
      <c r="AZ754" s="4">
        <v>2190</v>
      </c>
      <c r="BA754" s="1">
        <v>1023</v>
      </c>
      <c r="BB754" s="1">
        <v>58</v>
      </c>
      <c r="BC754" s="1">
        <v>1</v>
      </c>
    </row>
    <row r="755" spans="1:59" x14ac:dyDescent="0.25">
      <c r="A755" t="s">
        <v>4035</v>
      </c>
      <c r="B755" t="s">
        <v>4036</v>
      </c>
      <c r="C755" s="1">
        <v>144</v>
      </c>
      <c r="D755" s="1">
        <v>1998</v>
      </c>
      <c r="E755" t="s">
        <v>64</v>
      </c>
      <c r="F755" t="s">
        <v>638</v>
      </c>
      <c r="G755" t="s">
        <v>2845</v>
      </c>
      <c r="H755" t="s">
        <v>4037</v>
      </c>
      <c r="I755" t="s">
        <v>4038</v>
      </c>
      <c r="J755" t="s">
        <v>2845</v>
      </c>
      <c r="K755" s="1">
        <v>3</v>
      </c>
      <c r="L755" t="s">
        <v>91</v>
      </c>
      <c r="M755" t="s">
        <v>70</v>
      </c>
      <c r="N755" t="s">
        <v>71</v>
      </c>
      <c r="P755" t="s">
        <v>72</v>
      </c>
      <c r="Q755" t="s">
        <v>2750</v>
      </c>
      <c r="R755" t="s">
        <v>74</v>
      </c>
      <c r="S755" t="s">
        <v>2935</v>
      </c>
      <c r="T755" s="2">
        <v>914</v>
      </c>
      <c r="U755" s="3">
        <v>1.68</v>
      </c>
      <c r="V755" s="4">
        <v>1541</v>
      </c>
      <c r="AF755" s="5">
        <v>4.1666999999999996</v>
      </c>
      <c r="AI755" s="1">
        <v>2</v>
      </c>
      <c r="AJ755" t="s">
        <v>81</v>
      </c>
      <c r="AK755" t="s">
        <v>82</v>
      </c>
      <c r="AL755" t="s">
        <v>83</v>
      </c>
      <c r="AM755" s="3">
        <v>1.67</v>
      </c>
      <c r="AN755" s="4">
        <v>1585</v>
      </c>
      <c r="AO755" s="1">
        <v>947</v>
      </c>
      <c r="AP755" s="3">
        <v>1.48</v>
      </c>
      <c r="AQ755" s="4">
        <v>1764</v>
      </c>
      <c r="AR755" s="1">
        <v>1192</v>
      </c>
      <c r="AW755" t="s">
        <v>84</v>
      </c>
      <c r="AY755" s="3">
        <v>1.94</v>
      </c>
      <c r="AZ755" s="4">
        <v>1335</v>
      </c>
      <c r="BA755" s="1">
        <v>688</v>
      </c>
      <c r="BB755" s="1">
        <v>48</v>
      </c>
      <c r="BC755" s="1">
        <v>64</v>
      </c>
      <c r="BD755" s="1">
        <v>32</v>
      </c>
      <c r="BF755" t="s">
        <v>4039</v>
      </c>
      <c r="BG755" t="s">
        <v>104</v>
      </c>
    </row>
    <row r="756" spans="1:59" x14ac:dyDescent="0.25">
      <c r="A756" t="s">
        <v>4040</v>
      </c>
      <c r="B756" t="s">
        <v>4041</v>
      </c>
      <c r="C756" s="1">
        <v>276</v>
      </c>
      <c r="D756" s="1">
        <v>1998</v>
      </c>
      <c r="E756" t="s">
        <v>64</v>
      </c>
      <c r="F756" t="s">
        <v>725</v>
      </c>
      <c r="G756" t="s">
        <v>4042</v>
      </c>
      <c r="H756" t="s">
        <v>4043</v>
      </c>
      <c r="I756" t="s">
        <v>4044</v>
      </c>
      <c r="J756" t="s">
        <v>4042</v>
      </c>
      <c r="K756" s="1">
        <v>3</v>
      </c>
      <c r="L756" t="s">
        <v>91</v>
      </c>
      <c r="M756" t="s">
        <v>70</v>
      </c>
      <c r="N756" t="s">
        <v>71</v>
      </c>
      <c r="P756" t="s">
        <v>72</v>
      </c>
      <c r="Q756" t="s">
        <v>73</v>
      </c>
      <c r="R756" t="s">
        <v>74</v>
      </c>
      <c r="S756" t="s">
        <v>4045</v>
      </c>
      <c r="T756" s="2">
        <v>770</v>
      </c>
      <c r="U756" s="3">
        <v>1.64</v>
      </c>
      <c r="V756" s="4">
        <v>1263</v>
      </c>
      <c r="AF756" s="5">
        <v>19.2029</v>
      </c>
      <c r="AH756" s="1">
        <v>2018</v>
      </c>
      <c r="AI756" s="1">
        <v>3</v>
      </c>
      <c r="AJ756" t="s">
        <v>81</v>
      </c>
      <c r="AK756" t="s">
        <v>82</v>
      </c>
      <c r="AL756" t="s">
        <v>83</v>
      </c>
      <c r="AM756" s="3">
        <v>1.51</v>
      </c>
      <c r="AN756" s="4">
        <v>1392</v>
      </c>
      <c r="AO756" s="1">
        <v>920</v>
      </c>
      <c r="AP756" s="3">
        <v>1.42</v>
      </c>
      <c r="AQ756" s="4">
        <v>1682</v>
      </c>
      <c r="AR756" s="1">
        <v>1185</v>
      </c>
      <c r="AS756" s="3">
        <v>774857.8</v>
      </c>
      <c r="AW756" t="s">
        <v>84</v>
      </c>
      <c r="AY756" s="3">
        <v>1.87</v>
      </c>
      <c r="AZ756" s="4">
        <v>1075</v>
      </c>
      <c r="BA756" s="1">
        <v>573</v>
      </c>
      <c r="BB756" s="1">
        <v>156</v>
      </c>
      <c r="BC756" s="1">
        <v>72</v>
      </c>
      <c r="BD756" s="1">
        <v>48</v>
      </c>
      <c r="BF756" t="s">
        <v>3623</v>
      </c>
      <c r="BG756" t="s">
        <v>104</v>
      </c>
    </row>
    <row r="757" spans="1:59" x14ac:dyDescent="0.25">
      <c r="A757" t="s">
        <v>4046</v>
      </c>
      <c r="B757" t="s">
        <v>4047</v>
      </c>
      <c r="C757" s="1">
        <v>522</v>
      </c>
      <c r="D757" s="1">
        <v>1999</v>
      </c>
      <c r="E757" t="s">
        <v>64</v>
      </c>
      <c r="F757" t="s">
        <v>734</v>
      </c>
      <c r="G757" t="s">
        <v>478</v>
      </c>
      <c r="H757" t="s">
        <v>4048</v>
      </c>
      <c r="I757" t="s">
        <v>4049</v>
      </c>
      <c r="J757" t="s">
        <v>478</v>
      </c>
      <c r="K757" s="1">
        <v>4</v>
      </c>
      <c r="L757" t="s">
        <v>729</v>
      </c>
      <c r="M757" t="s">
        <v>70</v>
      </c>
      <c r="N757" t="s">
        <v>71</v>
      </c>
      <c r="P757" t="s">
        <v>72</v>
      </c>
      <c r="Q757" t="s">
        <v>73</v>
      </c>
      <c r="R757" t="s">
        <v>74</v>
      </c>
      <c r="S757" t="s">
        <v>730</v>
      </c>
      <c r="T757" s="2">
        <v>958</v>
      </c>
      <c r="U757" s="3">
        <v>1.64</v>
      </c>
      <c r="V757" s="4">
        <v>1575</v>
      </c>
      <c r="AF757" s="5">
        <v>14.5594</v>
      </c>
      <c r="AH757" s="1">
        <v>2008</v>
      </c>
      <c r="AI757" s="1">
        <v>3</v>
      </c>
      <c r="AJ757" t="s">
        <v>81</v>
      </c>
      <c r="AK757" t="s">
        <v>82</v>
      </c>
      <c r="AL757" t="s">
        <v>83</v>
      </c>
      <c r="AM757" s="3">
        <v>1.6</v>
      </c>
      <c r="AN757" s="4">
        <v>1800</v>
      </c>
      <c r="AO757" s="1">
        <v>1127</v>
      </c>
      <c r="AP757" s="3">
        <v>1.51</v>
      </c>
      <c r="AQ757" s="4">
        <v>2207</v>
      </c>
      <c r="AR757" s="1">
        <v>1461</v>
      </c>
      <c r="AS757" s="3">
        <v>1517673.58</v>
      </c>
      <c r="AW757" t="s">
        <v>84</v>
      </c>
      <c r="AY757" s="3">
        <v>1.74</v>
      </c>
      <c r="AZ757" s="4">
        <v>1309</v>
      </c>
      <c r="BA757" s="1">
        <v>754</v>
      </c>
      <c r="BB757" s="1">
        <v>274</v>
      </c>
      <c r="BC757" s="1">
        <v>206</v>
      </c>
      <c r="BD757" s="1">
        <v>42</v>
      </c>
      <c r="BF757" t="s">
        <v>4050</v>
      </c>
      <c r="BG757" t="s">
        <v>104</v>
      </c>
    </row>
    <row r="758" spans="1:59" x14ac:dyDescent="0.25">
      <c r="A758" t="s">
        <v>4051</v>
      </c>
      <c r="B758" t="s">
        <v>4052</v>
      </c>
      <c r="C758" s="1">
        <v>306</v>
      </c>
      <c r="D758" s="1">
        <v>1999</v>
      </c>
      <c r="E758" t="s">
        <v>64</v>
      </c>
      <c r="F758" t="s">
        <v>841</v>
      </c>
      <c r="G758" t="s">
        <v>4053</v>
      </c>
      <c r="H758" t="s">
        <v>4054</v>
      </c>
      <c r="I758" t="s">
        <v>4055</v>
      </c>
      <c r="J758" t="s">
        <v>4053</v>
      </c>
      <c r="K758" s="1">
        <v>4</v>
      </c>
      <c r="L758" t="s">
        <v>729</v>
      </c>
      <c r="M758" t="s">
        <v>70</v>
      </c>
      <c r="N758" t="s">
        <v>71</v>
      </c>
      <c r="P758" t="s">
        <v>72</v>
      </c>
      <c r="Q758" t="s">
        <v>841</v>
      </c>
      <c r="R758" t="s">
        <v>74</v>
      </c>
      <c r="S758" t="s">
        <v>4056</v>
      </c>
      <c r="T758" s="2">
        <v>962</v>
      </c>
      <c r="U758" s="3">
        <v>1.47</v>
      </c>
      <c r="V758" s="4">
        <v>1416</v>
      </c>
      <c r="AF758" s="5">
        <v>7.8430999999999997</v>
      </c>
      <c r="AI758" s="1">
        <v>2</v>
      </c>
      <c r="AJ758" t="s">
        <v>81</v>
      </c>
      <c r="AK758" t="s">
        <v>82</v>
      </c>
      <c r="AL758" t="s">
        <v>83</v>
      </c>
      <c r="AM758" s="3">
        <v>1.34</v>
      </c>
      <c r="AN758" s="4">
        <v>1512</v>
      </c>
      <c r="AO758" s="1">
        <v>1130</v>
      </c>
      <c r="AP758" s="3">
        <v>1.51</v>
      </c>
      <c r="AQ758" s="4">
        <v>2094</v>
      </c>
      <c r="AR758" s="1">
        <v>1383</v>
      </c>
      <c r="AS758" s="3">
        <v>1021399.74</v>
      </c>
      <c r="AW758" t="s">
        <v>84</v>
      </c>
      <c r="AY758" s="3">
        <v>1.67</v>
      </c>
      <c r="AZ758" s="4">
        <v>1211</v>
      </c>
      <c r="BA758" s="1">
        <v>723</v>
      </c>
      <c r="BB758" s="1">
        <v>140</v>
      </c>
      <c r="BC758" s="1">
        <v>144</v>
      </c>
      <c r="BD758" s="1">
        <v>22</v>
      </c>
      <c r="BG758" t="s">
        <v>131</v>
      </c>
    </row>
    <row r="759" spans="1:59" x14ac:dyDescent="0.25">
      <c r="A759" t="s">
        <v>1837</v>
      </c>
      <c r="B759" t="s">
        <v>1838</v>
      </c>
      <c r="C759" s="1">
        <v>80</v>
      </c>
      <c r="D759" s="1">
        <v>1990</v>
      </c>
      <c r="E759" t="s">
        <v>64</v>
      </c>
      <c r="F759" t="s">
        <v>140</v>
      </c>
      <c r="G759" t="s">
        <v>1839</v>
      </c>
      <c r="I759" t="s">
        <v>1839</v>
      </c>
      <c r="K759" s="1">
        <v>3</v>
      </c>
      <c r="L759" t="s">
        <v>91</v>
      </c>
      <c r="M759" t="s">
        <v>70</v>
      </c>
      <c r="N759" t="s">
        <v>71</v>
      </c>
      <c r="P759" t="s">
        <v>72</v>
      </c>
      <c r="Q759" t="s">
        <v>140</v>
      </c>
      <c r="R759" t="s">
        <v>74</v>
      </c>
      <c r="S759" t="s">
        <v>165</v>
      </c>
      <c r="AI759" s="1">
        <v>2</v>
      </c>
      <c r="AJ759" t="s">
        <v>81</v>
      </c>
      <c r="AK759" t="s">
        <v>82</v>
      </c>
      <c r="AL759" t="s">
        <v>83</v>
      </c>
      <c r="AS759" s="3">
        <v>16770.75</v>
      </c>
      <c r="AW759" t="s">
        <v>84</v>
      </c>
    </row>
    <row r="760" spans="1:59" x14ac:dyDescent="0.25">
      <c r="A760" t="s">
        <v>4057</v>
      </c>
      <c r="B760" t="s">
        <v>4058</v>
      </c>
      <c r="C760" s="1">
        <v>769</v>
      </c>
      <c r="D760" s="1">
        <v>1998</v>
      </c>
      <c r="E760" t="s">
        <v>64</v>
      </c>
      <c r="F760" t="s">
        <v>140</v>
      </c>
      <c r="G760" t="s">
        <v>1277</v>
      </c>
      <c r="H760" t="s">
        <v>4059</v>
      </c>
      <c r="I760" t="s">
        <v>4060</v>
      </c>
      <c r="J760" t="s">
        <v>1277</v>
      </c>
      <c r="K760" s="1">
        <v>3</v>
      </c>
      <c r="L760" t="s">
        <v>91</v>
      </c>
      <c r="M760" t="s">
        <v>70</v>
      </c>
      <c r="N760" t="s">
        <v>71</v>
      </c>
      <c r="P760" t="s">
        <v>72</v>
      </c>
      <c r="Q760" t="s">
        <v>140</v>
      </c>
      <c r="R760" t="s">
        <v>74</v>
      </c>
      <c r="S760" t="s">
        <v>1535</v>
      </c>
      <c r="T760" s="2">
        <v>944</v>
      </c>
      <c r="U760" s="3">
        <v>1.98</v>
      </c>
      <c r="V760" s="4">
        <v>1869</v>
      </c>
      <c r="AF760" s="5">
        <v>6.2419000000000002</v>
      </c>
      <c r="AG760" s="1">
        <v>1</v>
      </c>
      <c r="AH760" s="1">
        <v>2008</v>
      </c>
      <c r="AI760" s="1">
        <v>3</v>
      </c>
      <c r="AJ760" t="s">
        <v>81</v>
      </c>
      <c r="AK760" t="s">
        <v>82</v>
      </c>
      <c r="AL760" t="s">
        <v>83</v>
      </c>
      <c r="AM760" s="3">
        <v>2.04</v>
      </c>
      <c r="AN760" s="4">
        <v>2205</v>
      </c>
      <c r="AO760" s="1">
        <v>1083</v>
      </c>
      <c r="AP760" s="3">
        <v>1.91</v>
      </c>
      <c r="AQ760" s="4">
        <v>2692</v>
      </c>
      <c r="AR760" s="1">
        <v>1409</v>
      </c>
      <c r="AS760" s="3">
        <v>1870471.05</v>
      </c>
      <c r="AW760" t="s">
        <v>84</v>
      </c>
      <c r="AY760" s="3">
        <v>1.94</v>
      </c>
      <c r="AZ760" s="4">
        <v>1522</v>
      </c>
      <c r="BA760" s="1">
        <v>786</v>
      </c>
      <c r="BB760" s="1">
        <v>415</v>
      </c>
      <c r="BC760" s="1">
        <v>302</v>
      </c>
      <c r="BD760" s="1">
        <v>52</v>
      </c>
      <c r="BG760" t="s">
        <v>744</v>
      </c>
    </row>
    <row r="761" spans="1:59" x14ac:dyDescent="0.25">
      <c r="A761" t="s">
        <v>4061</v>
      </c>
      <c r="B761" t="s">
        <v>4062</v>
      </c>
      <c r="C761" s="1">
        <v>150</v>
      </c>
      <c r="D761" s="1">
        <v>1994</v>
      </c>
      <c r="E761" t="s">
        <v>64</v>
      </c>
      <c r="F761" t="s">
        <v>87</v>
      </c>
      <c r="G761" t="s">
        <v>4063</v>
      </c>
      <c r="H761" t="s">
        <v>4064</v>
      </c>
      <c r="I761" t="s">
        <v>4065</v>
      </c>
      <c r="J761" t="s">
        <v>4063</v>
      </c>
      <c r="K761" s="1">
        <v>3</v>
      </c>
      <c r="L761" t="s">
        <v>91</v>
      </c>
      <c r="M761" t="s">
        <v>70</v>
      </c>
      <c r="N761" t="s">
        <v>71</v>
      </c>
      <c r="P761" t="s">
        <v>72</v>
      </c>
      <c r="Q761" t="s">
        <v>73</v>
      </c>
      <c r="R761" t="s">
        <v>74</v>
      </c>
      <c r="S761" t="s">
        <v>92</v>
      </c>
      <c r="T761" s="2">
        <v>1011</v>
      </c>
      <c r="U761" s="3">
        <v>2.36</v>
      </c>
      <c r="V761" s="4">
        <v>2389</v>
      </c>
      <c r="AF761" s="5">
        <v>6</v>
      </c>
      <c r="AI761" s="1">
        <v>4</v>
      </c>
      <c r="AJ761" t="s">
        <v>81</v>
      </c>
      <c r="AK761" t="s">
        <v>82</v>
      </c>
      <c r="AL761" t="s">
        <v>83</v>
      </c>
      <c r="AM761" s="3">
        <v>2.3199999999999998</v>
      </c>
      <c r="AN761" s="4">
        <v>2678</v>
      </c>
      <c r="AO761" s="1">
        <v>1154</v>
      </c>
      <c r="AS761" s="3">
        <v>701109.22</v>
      </c>
      <c r="AW761" t="s">
        <v>84</v>
      </c>
      <c r="AY761" s="3">
        <v>2.4300000000000002</v>
      </c>
      <c r="AZ761" s="4">
        <v>2059</v>
      </c>
      <c r="BA761" s="1">
        <v>848</v>
      </c>
      <c r="BB761" s="1">
        <v>70</v>
      </c>
      <c r="BC761" s="1">
        <v>80</v>
      </c>
      <c r="BF761" t="s">
        <v>2607</v>
      </c>
      <c r="BG761" t="s">
        <v>104</v>
      </c>
    </row>
    <row r="762" spans="1:59" x14ac:dyDescent="0.25">
      <c r="A762" t="s">
        <v>4066</v>
      </c>
      <c r="B762" t="s">
        <v>4067</v>
      </c>
      <c r="C762" s="1">
        <v>63</v>
      </c>
      <c r="D762" s="1">
        <v>2000</v>
      </c>
      <c r="E762" t="s">
        <v>64</v>
      </c>
      <c r="F762" t="s">
        <v>87</v>
      </c>
      <c r="G762" t="s">
        <v>4068</v>
      </c>
      <c r="I762" t="s">
        <v>4068</v>
      </c>
      <c r="K762" s="1">
        <v>4</v>
      </c>
      <c r="L762" t="s">
        <v>729</v>
      </c>
      <c r="M762" t="s">
        <v>70</v>
      </c>
      <c r="N762" t="s">
        <v>71</v>
      </c>
      <c r="P762" t="s">
        <v>72</v>
      </c>
      <c r="Q762" t="s">
        <v>73</v>
      </c>
      <c r="R762" t="s">
        <v>74</v>
      </c>
      <c r="S762" t="s">
        <v>607</v>
      </c>
      <c r="T762" s="2">
        <v>2134</v>
      </c>
      <c r="AI762" s="1">
        <v>17</v>
      </c>
      <c r="AJ762" t="s">
        <v>81</v>
      </c>
      <c r="AK762" t="s">
        <v>82</v>
      </c>
      <c r="AL762" t="s">
        <v>83</v>
      </c>
      <c r="AO762" s="1">
        <v>2145</v>
      </c>
      <c r="AR762" s="1">
        <v>3250</v>
      </c>
      <c r="AS762" s="3">
        <v>102679</v>
      </c>
      <c r="AW762" t="s">
        <v>84</v>
      </c>
      <c r="BA762" s="1">
        <v>1348</v>
      </c>
      <c r="BB762" s="1">
        <v>5</v>
      </c>
      <c r="BC762" s="1">
        <v>55</v>
      </c>
      <c r="BD762" s="1">
        <v>3</v>
      </c>
    </row>
    <row r="763" spans="1:59" x14ac:dyDescent="0.25">
      <c r="A763" t="s">
        <v>4069</v>
      </c>
      <c r="B763" t="s">
        <v>4070</v>
      </c>
      <c r="C763" s="1">
        <v>203</v>
      </c>
      <c r="D763" s="1">
        <v>1994</v>
      </c>
      <c r="E763" t="s">
        <v>64</v>
      </c>
      <c r="F763" t="s">
        <v>734</v>
      </c>
      <c r="G763" t="s">
        <v>2786</v>
      </c>
      <c r="H763" t="s">
        <v>4071</v>
      </c>
      <c r="I763" t="s">
        <v>4072</v>
      </c>
      <c r="J763" t="s">
        <v>2786</v>
      </c>
      <c r="K763" s="1">
        <v>3</v>
      </c>
      <c r="L763" t="s">
        <v>91</v>
      </c>
      <c r="M763" t="s">
        <v>70</v>
      </c>
      <c r="N763" t="s">
        <v>71</v>
      </c>
      <c r="P763" t="s">
        <v>72</v>
      </c>
      <c r="Q763" t="s">
        <v>73</v>
      </c>
      <c r="R763" t="s">
        <v>74</v>
      </c>
      <c r="S763" t="s">
        <v>4073</v>
      </c>
      <c r="T763" s="2">
        <v>744</v>
      </c>
      <c r="U763" s="3">
        <v>1.68</v>
      </c>
      <c r="V763" s="4">
        <v>1248</v>
      </c>
      <c r="AI763" s="1">
        <v>3</v>
      </c>
      <c r="AJ763" t="s">
        <v>81</v>
      </c>
      <c r="AK763" t="s">
        <v>82</v>
      </c>
      <c r="AL763" t="s">
        <v>83</v>
      </c>
      <c r="AM763" s="3">
        <v>1.42</v>
      </c>
      <c r="AN763" s="4">
        <v>1448</v>
      </c>
      <c r="AO763" s="1">
        <v>1019</v>
      </c>
      <c r="AS763" s="3">
        <v>338471.15</v>
      </c>
      <c r="AW763" t="s">
        <v>84</v>
      </c>
      <c r="AY763" s="3">
        <v>1.81</v>
      </c>
      <c r="AZ763" s="4">
        <v>1181</v>
      </c>
      <c r="BA763" s="1">
        <v>653</v>
      </c>
      <c r="BB763" s="1">
        <v>152</v>
      </c>
      <c r="BC763" s="1">
        <v>51</v>
      </c>
      <c r="BG763" t="s">
        <v>131</v>
      </c>
    </row>
    <row r="764" spans="1:59" x14ac:dyDescent="0.25">
      <c r="A764" t="s">
        <v>4074</v>
      </c>
      <c r="B764" t="s">
        <v>4075</v>
      </c>
      <c r="C764" s="1">
        <v>500</v>
      </c>
      <c r="D764" s="1">
        <v>1996</v>
      </c>
      <c r="E764" t="s">
        <v>64</v>
      </c>
      <c r="F764" t="s">
        <v>725</v>
      </c>
      <c r="G764" t="s">
        <v>4076</v>
      </c>
      <c r="H764" t="s">
        <v>4077</v>
      </c>
      <c r="I764" t="s">
        <v>4078</v>
      </c>
      <c r="J764" t="s">
        <v>4076</v>
      </c>
      <c r="K764" s="1">
        <v>4</v>
      </c>
      <c r="L764" t="s">
        <v>729</v>
      </c>
      <c r="M764" t="s">
        <v>70</v>
      </c>
      <c r="N764" t="s">
        <v>71</v>
      </c>
      <c r="P764" t="s">
        <v>72</v>
      </c>
      <c r="Q764" t="s">
        <v>73</v>
      </c>
      <c r="R764" t="s">
        <v>74</v>
      </c>
      <c r="S764" t="s">
        <v>730</v>
      </c>
      <c r="T764" s="2">
        <v>963</v>
      </c>
      <c r="U764" s="3">
        <v>1.37</v>
      </c>
      <c r="V764" s="4">
        <v>1319</v>
      </c>
      <c r="AF764" s="5">
        <v>17.399999999999999</v>
      </c>
      <c r="AH764" s="1">
        <v>2015</v>
      </c>
      <c r="AI764" s="1">
        <v>2</v>
      </c>
      <c r="AJ764" t="s">
        <v>81</v>
      </c>
      <c r="AK764" t="s">
        <v>82</v>
      </c>
      <c r="AL764" t="s">
        <v>83</v>
      </c>
      <c r="AM764" s="3">
        <v>1.33</v>
      </c>
      <c r="AN764" s="4">
        <v>1523</v>
      </c>
      <c r="AO764" s="1">
        <v>1148</v>
      </c>
      <c r="AP764" s="3">
        <v>1.48</v>
      </c>
      <c r="AQ764" s="4">
        <v>2009</v>
      </c>
      <c r="AR764" s="1">
        <v>1359</v>
      </c>
      <c r="AS764" s="3">
        <v>1465287.99</v>
      </c>
      <c r="AW764" t="s">
        <v>84</v>
      </c>
      <c r="AY764" s="3">
        <v>1.41</v>
      </c>
      <c r="AZ764" s="4">
        <v>1114</v>
      </c>
      <c r="BA764" s="1">
        <v>789</v>
      </c>
      <c r="BB764" s="1">
        <v>264</v>
      </c>
      <c r="BC764" s="1">
        <v>224</v>
      </c>
      <c r="BD764" s="1">
        <v>12</v>
      </c>
    </row>
    <row r="765" spans="1:59" x14ac:dyDescent="0.25">
      <c r="A765" t="s">
        <v>4079</v>
      </c>
      <c r="B765" t="s">
        <v>4080</v>
      </c>
      <c r="C765" s="1">
        <v>226</v>
      </c>
      <c r="D765" s="1">
        <v>1996</v>
      </c>
      <c r="E765" t="s">
        <v>64</v>
      </c>
      <c r="F765" t="s">
        <v>198</v>
      </c>
      <c r="G765" t="s">
        <v>4081</v>
      </c>
      <c r="H765" t="s">
        <v>4082</v>
      </c>
      <c r="I765" t="s">
        <v>4083</v>
      </c>
      <c r="J765" t="s">
        <v>4081</v>
      </c>
      <c r="K765" s="1">
        <v>4</v>
      </c>
      <c r="L765" t="s">
        <v>729</v>
      </c>
      <c r="M765" t="s">
        <v>70</v>
      </c>
      <c r="N765" t="s">
        <v>71</v>
      </c>
      <c r="P765" t="s">
        <v>72</v>
      </c>
      <c r="Q765" t="s">
        <v>110</v>
      </c>
      <c r="R765" t="s">
        <v>74</v>
      </c>
      <c r="S765" t="s">
        <v>202</v>
      </c>
      <c r="T765" s="2">
        <v>880</v>
      </c>
      <c r="U765" s="3">
        <v>1.48</v>
      </c>
      <c r="V765" s="4">
        <v>1303</v>
      </c>
      <c r="AF765" s="5">
        <v>3.5398000000000001</v>
      </c>
      <c r="AI765" s="1">
        <v>3</v>
      </c>
      <c r="AJ765" t="s">
        <v>81</v>
      </c>
      <c r="AK765" t="s">
        <v>82</v>
      </c>
      <c r="AL765" t="s">
        <v>83</v>
      </c>
      <c r="AM765" s="3">
        <v>1.45</v>
      </c>
      <c r="AN765" s="4">
        <v>1437</v>
      </c>
      <c r="AO765" s="1">
        <v>991</v>
      </c>
      <c r="AP765" s="3">
        <v>1.49</v>
      </c>
      <c r="AQ765" s="4">
        <v>1960</v>
      </c>
      <c r="AR765" s="1">
        <v>1313</v>
      </c>
      <c r="AS765" s="3">
        <v>769324.16</v>
      </c>
      <c r="AW765" t="s">
        <v>84</v>
      </c>
      <c r="AY765" s="3">
        <v>1.51</v>
      </c>
      <c r="AZ765" s="4">
        <v>1069</v>
      </c>
      <c r="BA765" s="1">
        <v>706</v>
      </c>
      <c r="BB765" s="1">
        <v>108</v>
      </c>
      <c r="BC765" s="1">
        <v>100</v>
      </c>
      <c r="BD765" s="1">
        <v>18</v>
      </c>
    </row>
    <row r="766" spans="1:59" x14ac:dyDescent="0.25">
      <c r="A766" t="s">
        <v>4084</v>
      </c>
      <c r="B766" t="s">
        <v>4085</v>
      </c>
      <c r="C766" s="1">
        <v>256</v>
      </c>
      <c r="D766" s="1">
        <v>1998</v>
      </c>
      <c r="E766" t="s">
        <v>64</v>
      </c>
      <c r="F766" t="s">
        <v>800</v>
      </c>
      <c r="G766" t="s">
        <v>4086</v>
      </c>
      <c r="H766" t="s">
        <v>4087</v>
      </c>
      <c r="I766" t="s">
        <v>4088</v>
      </c>
      <c r="J766" t="s">
        <v>4086</v>
      </c>
      <c r="K766" s="1">
        <v>4</v>
      </c>
      <c r="L766" t="s">
        <v>729</v>
      </c>
      <c r="M766" t="s">
        <v>70</v>
      </c>
      <c r="N766" t="s">
        <v>71</v>
      </c>
      <c r="P766" t="s">
        <v>72</v>
      </c>
      <c r="Q766" t="s">
        <v>800</v>
      </c>
      <c r="R766" t="s">
        <v>74</v>
      </c>
      <c r="S766" t="s">
        <v>803</v>
      </c>
      <c r="T766" s="2">
        <v>902</v>
      </c>
      <c r="U766" s="3">
        <v>1.94</v>
      </c>
      <c r="V766" s="4">
        <v>1751</v>
      </c>
      <c r="AF766" s="5">
        <v>5.0781000000000001</v>
      </c>
      <c r="AI766" s="1">
        <v>2</v>
      </c>
      <c r="AJ766" t="s">
        <v>81</v>
      </c>
      <c r="AK766" t="s">
        <v>82</v>
      </c>
      <c r="AL766" t="s">
        <v>83</v>
      </c>
      <c r="AM766" s="3">
        <v>1.93</v>
      </c>
      <c r="AN766" s="4">
        <v>1883</v>
      </c>
      <c r="AO766" s="1">
        <v>975</v>
      </c>
      <c r="AP766" s="3">
        <v>1.94</v>
      </c>
      <c r="AQ766" s="4">
        <v>2370</v>
      </c>
      <c r="AR766" s="1">
        <v>1219</v>
      </c>
      <c r="AS766" s="3">
        <v>266218.56</v>
      </c>
      <c r="AW766" t="s">
        <v>84</v>
      </c>
      <c r="AY766" s="3">
        <v>1.95</v>
      </c>
      <c r="AZ766" s="4">
        <v>1509</v>
      </c>
      <c r="BA766" s="1">
        <v>775</v>
      </c>
      <c r="BB766" s="1">
        <v>112</v>
      </c>
      <c r="BC766" s="1">
        <v>128</v>
      </c>
      <c r="BD766" s="1">
        <v>16</v>
      </c>
      <c r="BG766" t="s">
        <v>131</v>
      </c>
    </row>
    <row r="767" spans="1:59" x14ac:dyDescent="0.25">
      <c r="A767" t="s">
        <v>4089</v>
      </c>
      <c r="B767" t="s">
        <v>4090</v>
      </c>
      <c r="C767" s="1">
        <v>118</v>
      </c>
      <c r="D767" s="1">
        <v>2000</v>
      </c>
      <c r="E767" t="s">
        <v>64</v>
      </c>
      <c r="F767" t="s">
        <v>2726</v>
      </c>
      <c r="H767" t="s">
        <v>4091</v>
      </c>
      <c r="K767" s="1">
        <v>4</v>
      </c>
      <c r="L767" t="s">
        <v>729</v>
      </c>
      <c r="M767" t="s">
        <v>70</v>
      </c>
      <c r="N767" t="s">
        <v>71</v>
      </c>
      <c r="P767" t="s">
        <v>72</v>
      </c>
      <c r="Q767" t="s">
        <v>73</v>
      </c>
      <c r="R767" t="s">
        <v>74</v>
      </c>
      <c r="S767" t="s">
        <v>1568</v>
      </c>
      <c r="AI767" s="1">
        <v>20</v>
      </c>
      <c r="AJ767" t="s">
        <v>81</v>
      </c>
      <c r="AK767" t="s">
        <v>82</v>
      </c>
      <c r="AL767" t="s">
        <v>83</v>
      </c>
      <c r="AS767" s="3">
        <v>273406.34000000003</v>
      </c>
      <c r="AW767" t="s">
        <v>84</v>
      </c>
      <c r="BD767" s="1">
        <v>118</v>
      </c>
    </row>
    <row r="768" spans="1:59" x14ac:dyDescent="0.25">
      <c r="A768" t="s">
        <v>4092</v>
      </c>
      <c r="B768" t="s">
        <v>4093</v>
      </c>
      <c r="C768" s="1">
        <v>342</v>
      </c>
      <c r="D768" s="1">
        <v>1998</v>
      </c>
      <c r="E768" t="s">
        <v>64</v>
      </c>
      <c r="F768" t="s">
        <v>123</v>
      </c>
      <c r="G768" t="s">
        <v>2057</v>
      </c>
      <c r="H768" t="s">
        <v>4094</v>
      </c>
      <c r="I768" t="s">
        <v>4095</v>
      </c>
      <c r="J768" t="s">
        <v>2057</v>
      </c>
      <c r="K768" s="1">
        <v>4</v>
      </c>
      <c r="L768" t="s">
        <v>729</v>
      </c>
      <c r="M768" t="s">
        <v>70</v>
      </c>
      <c r="N768" t="s">
        <v>71</v>
      </c>
      <c r="P768" t="s">
        <v>72</v>
      </c>
      <c r="Q768" t="s">
        <v>129</v>
      </c>
      <c r="R768" t="s">
        <v>74</v>
      </c>
      <c r="S768" t="s">
        <v>4096</v>
      </c>
      <c r="T768" s="2">
        <v>789</v>
      </c>
      <c r="U768" s="3">
        <v>1.56</v>
      </c>
      <c r="V768" s="4">
        <v>1229</v>
      </c>
      <c r="AF768" s="5">
        <v>7.6022999999999996</v>
      </c>
      <c r="AH768" s="1">
        <v>2019</v>
      </c>
      <c r="AI768" s="1">
        <v>3</v>
      </c>
      <c r="AJ768" t="s">
        <v>81</v>
      </c>
      <c r="AK768" t="s">
        <v>82</v>
      </c>
      <c r="AL768" t="s">
        <v>83</v>
      </c>
      <c r="AM768" s="3">
        <v>1.54</v>
      </c>
      <c r="AN768" s="4">
        <v>1672</v>
      </c>
      <c r="AO768" s="1">
        <v>1083</v>
      </c>
      <c r="AS768" s="3">
        <v>1071419.19</v>
      </c>
      <c r="AW768" t="s">
        <v>84</v>
      </c>
      <c r="AY768" s="3">
        <v>1.57</v>
      </c>
      <c r="AZ768" s="4">
        <v>1072</v>
      </c>
      <c r="BA768" s="1">
        <v>684</v>
      </c>
      <c r="BB768" s="1">
        <v>252</v>
      </c>
      <c r="BC768" s="1">
        <v>90</v>
      </c>
      <c r="BF768" t="s">
        <v>3617</v>
      </c>
      <c r="BG768" t="s">
        <v>104</v>
      </c>
    </row>
    <row r="769" spans="1:59" x14ac:dyDescent="0.25">
      <c r="A769" t="s">
        <v>4097</v>
      </c>
      <c r="B769" t="s">
        <v>4098</v>
      </c>
      <c r="C769" s="1">
        <v>260</v>
      </c>
      <c r="D769" s="1">
        <v>1996</v>
      </c>
      <c r="E769" t="s">
        <v>64</v>
      </c>
      <c r="F769" t="s">
        <v>123</v>
      </c>
      <c r="G769" t="s">
        <v>2557</v>
      </c>
      <c r="H769" t="s">
        <v>4099</v>
      </c>
      <c r="I769" t="s">
        <v>4100</v>
      </c>
      <c r="J769" t="s">
        <v>2557</v>
      </c>
      <c r="K769" s="1">
        <v>4</v>
      </c>
      <c r="L769" t="s">
        <v>91</v>
      </c>
      <c r="M769" t="s">
        <v>70</v>
      </c>
      <c r="N769" t="s">
        <v>71</v>
      </c>
      <c r="P769" t="s">
        <v>72</v>
      </c>
      <c r="Q769" t="s">
        <v>129</v>
      </c>
      <c r="R769" t="s">
        <v>74</v>
      </c>
      <c r="S769" t="s">
        <v>130</v>
      </c>
      <c r="T769" s="2">
        <v>928</v>
      </c>
      <c r="U769" s="3">
        <v>1.51</v>
      </c>
      <c r="V769" s="4">
        <v>1400</v>
      </c>
      <c r="AF769" s="5">
        <v>4.6154000000000002</v>
      </c>
      <c r="AI769" s="1">
        <v>3</v>
      </c>
      <c r="AJ769" t="s">
        <v>81</v>
      </c>
      <c r="AK769" t="s">
        <v>82</v>
      </c>
      <c r="AL769" t="s">
        <v>83</v>
      </c>
      <c r="AM769" s="3">
        <v>1.43</v>
      </c>
      <c r="AN769" s="4">
        <v>1553</v>
      </c>
      <c r="AO769" s="1">
        <v>1084</v>
      </c>
      <c r="AP769" s="3">
        <v>1.51</v>
      </c>
      <c r="AQ769" s="4">
        <v>1934</v>
      </c>
      <c r="AR769" s="1">
        <v>1279</v>
      </c>
      <c r="AS769" s="3">
        <v>608988.66</v>
      </c>
      <c r="AW769" t="s">
        <v>84</v>
      </c>
      <c r="AY769" s="3">
        <v>1.56</v>
      </c>
      <c r="AZ769" s="4">
        <v>1231</v>
      </c>
      <c r="BA769" s="1">
        <v>787</v>
      </c>
      <c r="BB769" s="1">
        <v>152</v>
      </c>
      <c r="BC769" s="1">
        <v>84</v>
      </c>
      <c r="BD769" s="1">
        <v>24</v>
      </c>
      <c r="BF769" t="s">
        <v>635</v>
      </c>
      <c r="BG769" t="s">
        <v>104</v>
      </c>
    </row>
    <row r="770" spans="1:59" x14ac:dyDescent="0.25">
      <c r="A770" t="s">
        <v>4101</v>
      </c>
      <c r="B770" t="s">
        <v>4102</v>
      </c>
      <c r="C770" s="1">
        <v>410</v>
      </c>
      <c r="D770" s="1">
        <v>2000</v>
      </c>
      <c r="E770" t="s">
        <v>64</v>
      </c>
      <c r="F770" t="s">
        <v>603</v>
      </c>
      <c r="G770" t="s">
        <v>4103</v>
      </c>
      <c r="H770" t="s">
        <v>4104</v>
      </c>
      <c r="I770" t="s">
        <v>4105</v>
      </c>
      <c r="J770" t="s">
        <v>4103</v>
      </c>
      <c r="K770" s="1">
        <v>4</v>
      </c>
      <c r="L770" t="s">
        <v>729</v>
      </c>
      <c r="M770" t="s">
        <v>70</v>
      </c>
      <c r="N770" t="s">
        <v>71</v>
      </c>
      <c r="P770" t="s">
        <v>72</v>
      </c>
      <c r="Q770" t="s">
        <v>73</v>
      </c>
      <c r="R770" t="s">
        <v>74</v>
      </c>
      <c r="S770" t="s">
        <v>4106</v>
      </c>
      <c r="T770" s="2">
        <v>888</v>
      </c>
      <c r="U770" s="3">
        <v>1.81</v>
      </c>
      <c r="V770" s="4">
        <v>1604</v>
      </c>
      <c r="AF770" s="5">
        <v>7.8048999999999999</v>
      </c>
      <c r="AI770" s="1">
        <v>3</v>
      </c>
      <c r="AJ770" t="s">
        <v>81</v>
      </c>
      <c r="AK770" t="s">
        <v>82</v>
      </c>
      <c r="AL770" t="s">
        <v>83</v>
      </c>
      <c r="AM770" s="3">
        <v>1.67</v>
      </c>
      <c r="AN770" s="4">
        <v>1791</v>
      </c>
      <c r="AO770" s="1">
        <v>1071</v>
      </c>
      <c r="AP770" s="3">
        <v>1.73</v>
      </c>
      <c r="AQ770" s="4">
        <v>2312</v>
      </c>
      <c r="AR770" s="1">
        <v>1339</v>
      </c>
      <c r="AS770" s="3">
        <v>1676272.5</v>
      </c>
      <c r="AW770" t="s">
        <v>84</v>
      </c>
      <c r="AY770" s="3">
        <v>1.97</v>
      </c>
      <c r="AZ770" s="4">
        <v>1392</v>
      </c>
      <c r="BA770" s="1">
        <v>708</v>
      </c>
      <c r="BB770" s="1">
        <v>223</v>
      </c>
      <c r="BC770" s="1">
        <v>164</v>
      </c>
      <c r="BD770" s="1">
        <v>23</v>
      </c>
      <c r="BF770" t="s">
        <v>1299</v>
      </c>
      <c r="BG770" t="s">
        <v>104</v>
      </c>
    </row>
    <row r="771" spans="1:59" x14ac:dyDescent="0.25">
      <c r="A771" t="s">
        <v>4107</v>
      </c>
      <c r="B771" t="s">
        <v>4108</v>
      </c>
      <c r="C771" s="1">
        <v>180</v>
      </c>
      <c r="D771" s="1">
        <v>1992</v>
      </c>
      <c r="E771" t="s">
        <v>64</v>
      </c>
      <c r="F771" t="s">
        <v>1761</v>
      </c>
      <c r="G771" t="s">
        <v>4109</v>
      </c>
      <c r="H771" t="s">
        <v>4110</v>
      </c>
      <c r="I771" t="s">
        <v>4111</v>
      </c>
      <c r="J771" t="s">
        <v>4109</v>
      </c>
      <c r="K771" s="1">
        <v>3</v>
      </c>
      <c r="L771" t="s">
        <v>91</v>
      </c>
      <c r="M771" t="s">
        <v>70</v>
      </c>
      <c r="N771" t="s">
        <v>71</v>
      </c>
      <c r="P771" t="s">
        <v>72</v>
      </c>
      <c r="Q771" t="s">
        <v>73</v>
      </c>
      <c r="R771" t="s">
        <v>74</v>
      </c>
      <c r="S771" t="s">
        <v>75</v>
      </c>
      <c r="T771" s="2">
        <v>973</v>
      </c>
      <c r="U771" s="3">
        <v>1.97</v>
      </c>
      <c r="V771" s="4">
        <v>1914</v>
      </c>
      <c r="AF771" s="5">
        <v>7.7778</v>
      </c>
      <c r="AI771" s="1">
        <v>3</v>
      </c>
      <c r="AJ771" t="s">
        <v>81</v>
      </c>
      <c r="AK771" t="s">
        <v>82</v>
      </c>
      <c r="AL771" t="s">
        <v>83</v>
      </c>
      <c r="AM771" s="3">
        <v>1.83</v>
      </c>
      <c r="AN771" s="4">
        <v>2064</v>
      </c>
      <c r="AO771" s="1">
        <v>1126</v>
      </c>
      <c r="AS771" s="3">
        <v>871661.7</v>
      </c>
      <c r="AW771" t="s">
        <v>84</v>
      </c>
      <c r="AY771" s="3">
        <v>2.19</v>
      </c>
      <c r="AZ771" s="4">
        <v>1734</v>
      </c>
      <c r="BA771" s="1">
        <v>790</v>
      </c>
      <c r="BB771" s="1">
        <v>82</v>
      </c>
      <c r="BC771" s="1">
        <v>98</v>
      </c>
      <c r="BG771" t="s">
        <v>94</v>
      </c>
    </row>
    <row r="772" spans="1:59" x14ac:dyDescent="0.25">
      <c r="A772" t="s">
        <v>4112</v>
      </c>
      <c r="B772" t="s">
        <v>4113</v>
      </c>
      <c r="C772" s="1">
        <v>295</v>
      </c>
      <c r="D772" s="1">
        <v>2000</v>
      </c>
      <c r="E772" t="s">
        <v>64</v>
      </c>
      <c r="F772" t="s">
        <v>156</v>
      </c>
      <c r="G772" t="s">
        <v>2895</v>
      </c>
      <c r="H772" t="s">
        <v>4114</v>
      </c>
      <c r="I772" t="s">
        <v>4115</v>
      </c>
      <c r="J772" t="s">
        <v>2895</v>
      </c>
      <c r="K772" s="1">
        <v>3</v>
      </c>
      <c r="L772" t="s">
        <v>91</v>
      </c>
      <c r="M772" t="s">
        <v>70</v>
      </c>
      <c r="N772" t="s">
        <v>71</v>
      </c>
      <c r="P772" t="s">
        <v>72</v>
      </c>
      <c r="Q772" t="s">
        <v>427</v>
      </c>
      <c r="R772" t="s">
        <v>74</v>
      </c>
      <c r="S772" t="s">
        <v>600</v>
      </c>
      <c r="T772" s="2">
        <v>942</v>
      </c>
      <c r="U772" s="3">
        <v>1.39</v>
      </c>
      <c r="V772" s="4">
        <v>1309</v>
      </c>
      <c r="AF772" s="5">
        <v>11.186400000000001</v>
      </c>
      <c r="AH772" s="1">
        <v>2011</v>
      </c>
      <c r="AI772" s="1">
        <v>3</v>
      </c>
      <c r="AJ772" t="s">
        <v>81</v>
      </c>
      <c r="AK772" t="s">
        <v>82</v>
      </c>
      <c r="AL772" t="s">
        <v>83</v>
      </c>
      <c r="AM772" s="3">
        <v>1.42</v>
      </c>
      <c r="AN772" s="4">
        <v>1528</v>
      </c>
      <c r="AO772" s="1">
        <v>1077</v>
      </c>
      <c r="AP772" s="3">
        <v>1.33</v>
      </c>
      <c r="AQ772" s="4">
        <v>1787</v>
      </c>
      <c r="AR772" s="1">
        <v>1341</v>
      </c>
      <c r="AS772" s="3">
        <v>1159997.5</v>
      </c>
      <c r="AW772" t="s">
        <v>84</v>
      </c>
      <c r="AY772" s="3">
        <v>1.37</v>
      </c>
      <c r="AZ772" s="4">
        <v>1038</v>
      </c>
      <c r="BA772" s="1">
        <v>758</v>
      </c>
      <c r="BB772" s="1">
        <v>147</v>
      </c>
      <c r="BC772" s="1">
        <v>120</v>
      </c>
      <c r="BD772" s="1">
        <v>28</v>
      </c>
      <c r="BF772" t="s">
        <v>4116</v>
      </c>
      <c r="BG772" t="s">
        <v>643</v>
      </c>
    </row>
    <row r="773" spans="1:59" x14ac:dyDescent="0.25">
      <c r="A773" t="s">
        <v>4117</v>
      </c>
      <c r="B773" t="s">
        <v>4118</v>
      </c>
      <c r="C773" s="1">
        <v>319</v>
      </c>
      <c r="D773" s="1">
        <v>1994</v>
      </c>
      <c r="E773" t="s">
        <v>64</v>
      </c>
      <c r="F773" t="s">
        <v>1133</v>
      </c>
      <c r="G773" t="s">
        <v>3247</v>
      </c>
      <c r="H773" t="s">
        <v>4119</v>
      </c>
      <c r="I773" t="s">
        <v>3249</v>
      </c>
      <c r="J773" t="s">
        <v>3247</v>
      </c>
      <c r="K773" s="1">
        <v>3</v>
      </c>
      <c r="L773" t="s">
        <v>91</v>
      </c>
      <c r="M773" t="s">
        <v>70</v>
      </c>
      <c r="N773" t="s">
        <v>71</v>
      </c>
      <c r="P773" t="s">
        <v>72</v>
      </c>
      <c r="Q773" t="s">
        <v>264</v>
      </c>
      <c r="R773" t="s">
        <v>74</v>
      </c>
      <c r="S773" t="s">
        <v>1594</v>
      </c>
      <c r="T773" s="2">
        <v>1018</v>
      </c>
      <c r="U773" s="3">
        <v>1.68</v>
      </c>
      <c r="V773" s="4">
        <v>1709</v>
      </c>
      <c r="AF773" s="5">
        <v>8.1504999999999992</v>
      </c>
      <c r="AI773" s="1">
        <v>3</v>
      </c>
      <c r="AJ773" t="s">
        <v>81</v>
      </c>
      <c r="AK773" t="s">
        <v>82</v>
      </c>
      <c r="AL773" t="s">
        <v>83</v>
      </c>
      <c r="AM773" s="3">
        <v>1.57</v>
      </c>
      <c r="AN773" s="4">
        <v>1758</v>
      </c>
      <c r="AO773" s="1">
        <v>1116</v>
      </c>
      <c r="AP773" s="3">
        <v>2.04</v>
      </c>
      <c r="AQ773" s="4">
        <v>2605</v>
      </c>
      <c r="AR773" s="1">
        <v>1279</v>
      </c>
      <c r="AS773" s="3">
        <v>1319467.05</v>
      </c>
      <c r="AW773" t="s">
        <v>84</v>
      </c>
      <c r="AY773" s="3">
        <v>1.82</v>
      </c>
      <c r="AZ773" s="4">
        <v>1413</v>
      </c>
      <c r="BA773" s="1">
        <v>778</v>
      </c>
      <c r="BB773" s="1">
        <v>104</v>
      </c>
      <c r="BC773" s="1">
        <v>191</v>
      </c>
      <c r="BD773" s="1">
        <v>24</v>
      </c>
    </row>
    <row r="774" spans="1:59" x14ac:dyDescent="0.25">
      <c r="A774" t="s">
        <v>4120</v>
      </c>
      <c r="B774" t="s">
        <v>4121</v>
      </c>
      <c r="C774" s="1">
        <v>204</v>
      </c>
      <c r="D774" s="1">
        <v>1995</v>
      </c>
      <c r="E774" t="s">
        <v>64</v>
      </c>
      <c r="F774" t="s">
        <v>1133</v>
      </c>
      <c r="G774" t="s">
        <v>4122</v>
      </c>
      <c r="H774" t="s">
        <v>4123</v>
      </c>
      <c r="I774" t="s">
        <v>4124</v>
      </c>
      <c r="J774" t="s">
        <v>4122</v>
      </c>
      <c r="K774" s="1">
        <v>3</v>
      </c>
      <c r="L774" t="s">
        <v>91</v>
      </c>
      <c r="M774" t="s">
        <v>70</v>
      </c>
      <c r="N774" t="s">
        <v>71</v>
      </c>
      <c r="O774" t="s">
        <v>118</v>
      </c>
      <c r="P774" t="s">
        <v>72</v>
      </c>
      <c r="Q774" t="s">
        <v>264</v>
      </c>
      <c r="R774" t="s">
        <v>74</v>
      </c>
      <c r="S774" t="s">
        <v>1594</v>
      </c>
      <c r="T774" s="2">
        <v>997</v>
      </c>
      <c r="U774" s="3">
        <v>1.56</v>
      </c>
      <c r="V774" s="4">
        <v>1558</v>
      </c>
      <c r="AF774" s="5">
        <v>11.2745</v>
      </c>
      <c r="AI774" s="1">
        <v>3</v>
      </c>
      <c r="AJ774" t="s">
        <v>81</v>
      </c>
      <c r="AK774" t="s">
        <v>82</v>
      </c>
      <c r="AL774" t="s">
        <v>83</v>
      </c>
      <c r="AM774" s="3">
        <v>1.57</v>
      </c>
      <c r="AN774" s="4">
        <v>1474</v>
      </c>
      <c r="AO774" s="1">
        <v>937</v>
      </c>
      <c r="AP774" s="3">
        <v>1.55</v>
      </c>
      <c r="AQ774" s="4">
        <v>1712</v>
      </c>
      <c r="AR774" s="1">
        <v>1108</v>
      </c>
      <c r="AS774" s="3">
        <v>478346.66</v>
      </c>
      <c r="AW774" t="s">
        <v>84</v>
      </c>
      <c r="BC774" s="1">
        <v>132</v>
      </c>
      <c r="BD774" s="1">
        <v>72</v>
      </c>
      <c r="BF774" t="s">
        <v>285</v>
      </c>
      <c r="BG774" t="s">
        <v>104</v>
      </c>
    </row>
    <row r="775" spans="1:59" x14ac:dyDescent="0.25">
      <c r="A775" t="s">
        <v>4125</v>
      </c>
      <c r="B775" t="s">
        <v>4126</v>
      </c>
      <c r="C775" s="1">
        <v>192</v>
      </c>
      <c r="D775" s="1">
        <v>1995</v>
      </c>
      <c r="E775" t="s">
        <v>64</v>
      </c>
      <c r="F775" t="s">
        <v>123</v>
      </c>
      <c r="G775" t="s">
        <v>4122</v>
      </c>
      <c r="H775" t="s">
        <v>4127</v>
      </c>
      <c r="I775" t="s">
        <v>4128</v>
      </c>
      <c r="J775" t="s">
        <v>4122</v>
      </c>
      <c r="K775" s="1">
        <v>3</v>
      </c>
      <c r="L775" t="s">
        <v>91</v>
      </c>
      <c r="M775" t="s">
        <v>70</v>
      </c>
      <c r="N775" t="s">
        <v>71</v>
      </c>
      <c r="O775" t="s">
        <v>118</v>
      </c>
      <c r="P775" t="s">
        <v>72</v>
      </c>
      <c r="Q775" t="s">
        <v>129</v>
      </c>
      <c r="R775" t="s">
        <v>74</v>
      </c>
      <c r="S775" t="s">
        <v>4129</v>
      </c>
      <c r="T775" s="2">
        <v>989</v>
      </c>
      <c r="U775" s="3">
        <v>1.39</v>
      </c>
      <c r="V775" s="4">
        <v>1370</v>
      </c>
      <c r="AF775" s="5">
        <v>7.8125</v>
      </c>
      <c r="AI775" s="1">
        <v>3</v>
      </c>
      <c r="AJ775" t="s">
        <v>81</v>
      </c>
      <c r="AK775" t="s">
        <v>82</v>
      </c>
      <c r="AL775" t="s">
        <v>83</v>
      </c>
      <c r="AM775" s="3">
        <v>1.34</v>
      </c>
      <c r="AN775" s="4">
        <v>1255</v>
      </c>
      <c r="AO775" s="1">
        <v>939</v>
      </c>
      <c r="AP775" s="3">
        <v>1.48</v>
      </c>
      <c r="AQ775" s="4">
        <v>1624</v>
      </c>
      <c r="AR775" s="1">
        <v>1100</v>
      </c>
      <c r="AS775" s="3">
        <v>377530.91</v>
      </c>
      <c r="AW775" t="s">
        <v>84</v>
      </c>
      <c r="BC775" s="1">
        <v>132</v>
      </c>
      <c r="BD775" s="1">
        <v>60</v>
      </c>
      <c r="BF775" t="s">
        <v>285</v>
      </c>
      <c r="BG775" t="s">
        <v>104</v>
      </c>
    </row>
    <row r="776" spans="1:59" x14ac:dyDescent="0.25">
      <c r="A776" t="s">
        <v>4130</v>
      </c>
      <c r="B776" t="s">
        <v>4131</v>
      </c>
      <c r="C776" s="1">
        <v>636</v>
      </c>
      <c r="D776" s="1">
        <v>1998</v>
      </c>
      <c r="E776" t="s">
        <v>64</v>
      </c>
      <c r="F776" t="s">
        <v>995</v>
      </c>
      <c r="G776" t="s">
        <v>4103</v>
      </c>
      <c r="H776" t="s">
        <v>4132</v>
      </c>
      <c r="I776" t="s">
        <v>4133</v>
      </c>
      <c r="J776" t="s">
        <v>4103</v>
      </c>
      <c r="K776" s="1">
        <v>4</v>
      </c>
      <c r="L776" t="s">
        <v>91</v>
      </c>
      <c r="M776" t="s">
        <v>70</v>
      </c>
      <c r="N776" t="s">
        <v>71</v>
      </c>
      <c r="P776" t="s">
        <v>72</v>
      </c>
      <c r="Q776" t="s">
        <v>73</v>
      </c>
      <c r="R776" t="s">
        <v>74</v>
      </c>
      <c r="S776" t="s">
        <v>137</v>
      </c>
      <c r="T776" s="2">
        <v>907</v>
      </c>
      <c r="U776" s="3">
        <v>1.52</v>
      </c>
      <c r="V776" s="4">
        <v>1381</v>
      </c>
      <c r="AF776" s="5">
        <v>7.8616000000000001</v>
      </c>
      <c r="AH776" s="1">
        <v>2010</v>
      </c>
      <c r="AI776" s="1">
        <v>3</v>
      </c>
      <c r="AJ776" t="s">
        <v>81</v>
      </c>
      <c r="AK776" t="s">
        <v>82</v>
      </c>
      <c r="AL776" t="s">
        <v>83</v>
      </c>
      <c r="AM776" s="3">
        <v>1.44</v>
      </c>
      <c r="AN776" s="4">
        <v>1522</v>
      </c>
      <c r="AO776" s="1">
        <v>1054</v>
      </c>
      <c r="AP776" s="3">
        <v>1.59</v>
      </c>
      <c r="AQ776" s="4">
        <v>2012</v>
      </c>
      <c r="AR776" s="1">
        <v>1266</v>
      </c>
      <c r="AS776" s="3">
        <v>1171497.5</v>
      </c>
      <c r="AW776" t="s">
        <v>84</v>
      </c>
      <c r="AY776" s="3">
        <v>1.57</v>
      </c>
      <c r="AZ776" s="4">
        <v>1178</v>
      </c>
      <c r="BA776" s="1">
        <v>748</v>
      </c>
      <c r="BB776" s="1">
        <v>346</v>
      </c>
      <c r="BC776" s="1">
        <v>230</v>
      </c>
      <c r="BD776" s="1">
        <v>60</v>
      </c>
      <c r="BF776" t="s">
        <v>4134</v>
      </c>
    </row>
    <row r="777" spans="1:59" x14ac:dyDescent="0.25">
      <c r="A777" t="s">
        <v>4135</v>
      </c>
      <c r="B777" t="s">
        <v>4136</v>
      </c>
      <c r="C777" s="1">
        <v>324</v>
      </c>
      <c r="D777" s="1">
        <v>1998</v>
      </c>
      <c r="E777" t="s">
        <v>64</v>
      </c>
      <c r="F777" t="s">
        <v>140</v>
      </c>
      <c r="G777" t="s">
        <v>2279</v>
      </c>
      <c r="H777" t="s">
        <v>4137</v>
      </c>
      <c r="I777" t="s">
        <v>4138</v>
      </c>
      <c r="J777" t="s">
        <v>2279</v>
      </c>
      <c r="K777" s="1">
        <v>4</v>
      </c>
      <c r="L777" t="s">
        <v>91</v>
      </c>
      <c r="M777" t="s">
        <v>70</v>
      </c>
      <c r="N777" t="s">
        <v>71</v>
      </c>
      <c r="P777" t="s">
        <v>72</v>
      </c>
      <c r="Q777" t="s">
        <v>140</v>
      </c>
      <c r="R777" t="s">
        <v>74</v>
      </c>
      <c r="S777" t="s">
        <v>1351</v>
      </c>
      <c r="T777" s="2">
        <v>1012</v>
      </c>
      <c r="U777" s="3">
        <v>1.83</v>
      </c>
      <c r="V777" s="4">
        <v>1852</v>
      </c>
      <c r="AF777" s="5">
        <v>1.8519000000000001</v>
      </c>
      <c r="AI777" s="1">
        <v>3</v>
      </c>
      <c r="AJ777" t="s">
        <v>81</v>
      </c>
      <c r="AK777" t="s">
        <v>82</v>
      </c>
      <c r="AL777" t="s">
        <v>83</v>
      </c>
      <c r="AM777" s="3">
        <v>1.72</v>
      </c>
      <c r="AN777" s="4">
        <v>2205</v>
      </c>
      <c r="AO777" s="1">
        <v>1278</v>
      </c>
      <c r="AP777" s="3">
        <v>1.57</v>
      </c>
      <c r="AQ777" s="4">
        <v>2390</v>
      </c>
      <c r="AR777" s="1">
        <v>1526</v>
      </c>
      <c r="AS777" s="3">
        <v>923417.62</v>
      </c>
      <c r="AW777" t="s">
        <v>84</v>
      </c>
      <c r="AY777" s="3">
        <v>1.96</v>
      </c>
      <c r="AZ777" s="4">
        <v>1606</v>
      </c>
      <c r="BA777" s="1">
        <v>818</v>
      </c>
      <c r="BB777" s="1">
        <v>196</v>
      </c>
      <c r="BC777" s="1">
        <v>112</v>
      </c>
      <c r="BD777" s="1">
        <v>16</v>
      </c>
      <c r="BF777" t="s">
        <v>566</v>
      </c>
      <c r="BG777" t="s">
        <v>104</v>
      </c>
    </row>
    <row r="778" spans="1:59" x14ac:dyDescent="0.25">
      <c r="A778" t="s">
        <v>4139</v>
      </c>
      <c r="B778" t="s">
        <v>4140</v>
      </c>
      <c r="C778" s="1">
        <v>294</v>
      </c>
      <c r="D778" s="1">
        <v>1994</v>
      </c>
      <c r="E778" t="s">
        <v>64</v>
      </c>
      <c r="F778" t="s">
        <v>269</v>
      </c>
      <c r="G778" t="s">
        <v>4141</v>
      </c>
      <c r="H778" t="s">
        <v>4142</v>
      </c>
      <c r="I778" t="s">
        <v>4143</v>
      </c>
      <c r="J778" t="s">
        <v>4141</v>
      </c>
      <c r="K778" s="1">
        <v>3</v>
      </c>
      <c r="L778" t="s">
        <v>91</v>
      </c>
      <c r="M778" t="s">
        <v>70</v>
      </c>
      <c r="N778" t="s">
        <v>71</v>
      </c>
      <c r="P778" t="s">
        <v>72</v>
      </c>
      <c r="Q778" t="s">
        <v>73</v>
      </c>
      <c r="R778" t="s">
        <v>74</v>
      </c>
      <c r="S778" t="s">
        <v>4144</v>
      </c>
      <c r="T778" s="2">
        <v>868</v>
      </c>
      <c r="U778" s="3">
        <v>1.46</v>
      </c>
      <c r="V778" s="4">
        <v>1269</v>
      </c>
      <c r="AF778" s="5">
        <v>9.1837</v>
      </c>
      <c r="AI778" s="1">
        <v>2</v>
      </c>
      <c r="AJ778" t="s">
        <v>81</v>
      </c>
      <c r="AK778" t="s">
        <v>82</v>
      </c>
      <c r="AL778" t="s">
        <v>83</v>
      </c>
      <c r="AM778" s="3">
        <v>1.41</v>
      </c>
      <c r="AN778" s="4">
        <v>1436</v>
      </c>
      <c r="AO778" s="1">
        <v>1022</v>
      </c>
      <c r="AP778" s="3">
        <v>1.34</v>
      </c>
      <c r="AQ778" s="4">
        <v>2007</v>
      </c>
      <c r="AR778" s="1">
        <v>1495</v>
      </c>
      <c r="AS778" s="3">
        <v>1014703.62</v>
      </c>
      <c r="AW778" t="s">
        <v>84</v>
      </c>
      <c r="AY778" s="3">
        <v>1.53</v>
      </c>
      <c r="AZ778" s="4">
        <v>1093</v>
      </c>
      <c r="BA778" s="1">
        <v>715</v>
      </c>
      <c r="BB778" s="1">
        <v>190</v>
      </c>
      <c r="BC778" s="1">
        <v>76</v>
      </c>
      <c r="BD778" s="1">
        <v>28</v>
      </c>
      <c r="BF778" t="s">
        <v>322</v>
      </c>
      <c r="BG778" t="s">
        <v>104</v>
      </c>
    </row>
    <row r="779" spans="1:59" x14ac:dyDescent="0.25">
      <c r="A779" t="s">
        <v>4145</v>
      </c>
      <c r="B779" t="s">
        <v>4146</v>
      </c>
      <c r="C779" s="1">
        <v>250</v>
      </c>
      <c r="D779" s="1">
        <v>2000</v>
      </c>
      <c r="E779" t="s">
        <v>64</v>
      </c>
      <c r="F779" t="s">
        <v>660</v>
      </c>
      <c r="G779" t="s">
        <v>801</v>
      </c>
      <c r="H779" t="s">
        <v>4147</v>
      </c>
      <c r="I779" t="s">
        <v>4148</v>
      </c>
      <c r="J779" t="s">
        <v>801</v>
      </c>
      <c r="K779" s="1">
        <v>3</v>
      </c>
      <c r="L779" t="s">
        <v>91</v>
      </c>
      <c r="M779" t="s">
        <v>70</v>
      </c>
      <c r="N779" t="s">
        <v>71</v>
      </c>
      <c r="P779" t="s">
        <v>72</v>
      </c>
      <c r="Q779" t="s">
        <v>664</v>
      </c>
      <c r="R779" t="s">
        <v>74</v>
      </c>
      <c r="S779" t="s">
        <v>4149</v>
      </c>
      <c r="T779" s="2">
        <v>852</v>
      </c>
      <c r="U779" s="3">
        <v>1.75</v>
      </c>
      <c r="V779" s="4">
        <v>1491</v>
      </c>
      <c r="AF779" s="5">
        <v>2.4</v>
      </c>
      <c r="AI779" s="1">
        <v>3</v>
      </c>
      <c r="AJ779" t="s">
        <v>81</v>
      </c>
      <c r="AK779" t="s">
        <v>82</v>
      </c>
      <c r="AL779" t="s">
        <v>83</v>
      </c>
      <c r="AM779" s="3">
        <v>1.64</v>
      </c>
      <c r="AN779" s="4">
        <v>1681</v>
      </c>
      <c r="AO779" s="1">
        <v>1028</v>
      </c>
      <c r="AP779" s="3">
        <v>1.63</v>
      </c>
      <c r="AQ779" s="4">
        <v>2160</v>
      </c>
      <c r="AR779" s="1">
        <v>1325</v>
      </c>
      <c r="AS779" s="3">
        <v>688826.53</v>
      </c>
      <c r="AW779" t="s">
        <v>84</v>
      </c>
      <c r="AY779" s="3">
        <v>1.88</v>
      </c>
      <c r="AZ779" s="4">
        <v>1306</v>
      </c>
      <c r="BA779" s="1">
        <v>694</v>
      </c>
      <c r="BB779" s="1">
        <v>140</v>
      </c>
      <c r="BC779" s="1">
        <v>100</v>
      </c>
      <c r="BD779" s="1">
        <v>10</v>
      </c>
    </row>
    <row r="780" spans="1:59" x14ac:dyDescent="0.25">
      <c r="A780" t="s">
        <v>4150</v>
      </c>
      <c r="B780" t="s">
        <v>4151</v>
      </c>
      <c r="C780" s="1">
        <v>280</v>
      </c>
      <c r="D780" s="1">
        <v>1998</v>
      </c>
      <c r="E780" t="s">
        <v>64</v>
      </c>
      <c r="F780" t="s">
        <v>660</v>
      </c>
      <c r="G780" t="s">
        <v>4152</v>
      </c>
      <c r="H780" t="s">
        <v>4153</v>
      </c>
      <c r="I780" t="s">
        <v>4154</v>
      </c>
      <c r="J780" t="s">
        <v>4152</v>
      </c>
      <c r="K780" s="1">
        <v>4</v>
      </c>
      <c r="L780" t="s">
        <v>91</v>
      </c>
      <c r="M780" t="s">
        <v>70</v>
      </c>
      <c r="N780" t="s">
        <v>71</v>
      </c>
      <c r="P780" t="s">
        <v>72</v>
      </c>
      <c r="Q780" t="s">
        <v>664</v>
      </c>
      <c r="R780" t="s">
        <v>74</v>
      </c>
      <c r="S780" t="s">
        <v>4155</v>
      </c>
      <c r="T780" s="2">
        <v>933</v>
      </c>
      <c r="U780" s="3">
        <v>1.42</v>
      </c>
      <c r="V780" s="4">
        <v>1326</v>
      </c>
      <c r="AF780" s="5">
        <v>7.8571</v>
      </c>
      <c r="AI780" s="1">
        <v>3</v>
      </c>
      <c r="AJ780" t="s">
        <v>81</v>
      </c>
      <c r="AK780" t="s">
        <v>82</v>
      </c>
      <c r="AL780" t="s">
        <v>83</v>
      </c>
      <c r="AM780" s="3">
        <v>1.3</v>
      </c>
      <c r="AN780" s="4">
        <v>1464</v>
      </c>
      <c r="AO780" s="1">
        <v>1126</v>
      </c>
      <c r="AP780" s="3">
        <v>1.56</v>
      </c>
      <c r="AQ780" s="4">
        <v>2050</v>
      </c>
      <c r="AR780" s="1">
        <v>1314</v>
      </c>
      <c r="AS780" s="3">
        <v>738169.61</v>
      </c>
      <c r="AW780" t="s">
        <v>84</v>
      </c>
      <c r="AY780" s="3">
        <v>1.53</v>
      </c>
      <c r="AZ780" s="4">
        <v>1173</v>
      </c>
      <c r="BA780" s="1">
        <v>766</v>
      </c>
      <c r="BB780" s="1">
        <v>156</v>
      </c>
      <c r="BC780" s="1">
        <v>112</v>
      </c>
      <c r="BD780" s="1">
        <v>12</v>
      </c>
      <c r="BF780" t="s">
        <v>4156</v>
      </c>
      <c r="BG780" t="s">
        <v>744</v>
      </c>
    </row>
    <row r="781" spans="1:59" x14ac:dyDescent="0.25">
      <c r="A781" t="s">
        <v>4157</v>
      </c>
      <c r="B781" t="s">
        <v>4158</v>
      </c>
      <c r="C781" s="1">
        <v>336</v>
      </c>
      <c r="D781" s="1">
        <v>2000</v>
      </c>
      <c r="E781" t="s">
        <v>64</v>
      </c>
      <c r="F781" t="s">
        <v>841</v>
      </c>
      <c r="G781" t="s">
        <v>1538</v>
      </c>
      <c r="H781" t="s">
        <v>4159</v>
      </c>
      <c r="I781" t="s">
        <v>4160</v>
      </c>
      <c r="J781" t="s">
        <v>1538</v>
      </c>
      <c r="K781" s="1">
        <v>4</v>
      </c>
      <c r="L781" t="s">
        <v>729</v>
      </c>
      <c r="M781" t="s">
        <v>70</v>
      </c>
      <c r="N781" t="s">
        <v>71</v>
      </c>
      <c r="P781" t="s">
        <v>72</v>
      </c>
      <c r="Q781" t="s">
        <v>841</v>
      </c>
      <c r="R781" t="s">
        <v>74</v>
      </c>
      <c r="S781" t="s">
        <v>4161</v>
      </c>
      <c r="T781" s="2">
        <v>972</v>
      </c>
      <c r="U781" s="3">
        <v>1.35</v>
      </c>
      <c r="V781" s="4">
        <v>1312</v>
      </c>
      <c r="AF781" s="5">
        <v>7.7381000000000002</v>
      </c>
      <c r="AI781" s="1">
        <v>3</v>
      </c>
      <c r="AJ781" t="s">
        <v>81</v>
      </c>
      <c r="AK781" t="s">
        <v>82</v>
      </c>
      <c r="AL781" t="s">
        <v>83</v>
      </c>
      <c r="AM781" s="3">
        <v>1.41</v>
      </c>
      <c r="AN781" s="4">
        <v>1532</v>
      </c>
      <c r="AO781" s="1">
        <v>1087</v>
      </c>
      <c r="AP781" s="3">
        <v>1.44</v>
      </c>
      <c r="AQ781" s="4">
        <v>1819</v>
      </c>
      <c r="AR781" s="1">
        <v>1262</v>
      </c>
      <c r="AS781" s="3">
        <v>808771.39</v>
      </c>
      <c r="AW781" t="s">
        <v>84</v>
      </c>
      <c r="AY781" s="3">
        <v>1.29</v>
      </c>
      <c r="AZ781" s="4">
        <v>965</v>
      </c>
      <c r="BA781" s="1">
        <v>746</v>
      </c>
      <c r="BB781" s="1">
        <v>132</v>
      </c>
      <c r="BC781" s="1">
        <v>168</v>
      </c>
      <c r="BD781" s="1">
        <v>36</v>
      </c>
    </row>
    <row r="782" spans="1:59" x14ac:dyDescent="0.25">
      <c r="A782" t="s">
        <v>4162</v>
      </c>
      <c r="B782" t="s">
        <v>4163</v>
      </c>
      <c r="C782" s="1">
        <v>376</v>
      </c>
      <c r="D782" s="1">
        <v>1999</v>
      </c>
      <c r="E782" t="s">
        <v>64</v>
      </c>
      <c r="F782" t="s">
        <v>841</v>
      </c>
      <c r="G782" t="s">
        <v>4164</v>
      </c>
      <c r="H782" t="s">
        <v>4165</v>
      </c>
      <c r="I782" t="s">
        <v>4166</v>
      </c>
      <c r="J782" t="s">
        <v>4164</v>
      </c>
      <c r="K782" s="1">
        <v>4</v>
      </c>
      <c r="L782" t="s">
        <v>729</v>
      </c>
      <c r="M782" t="s">
        <v>70</v>
      </c>
      <c r="N782" t="s">
        <v>71</v>
      </c>
      <c r="P782" t="s">
        <v>72</v>
      </c>
      <c r="Q782" t="s">
        <v>841</v>
      </c>
      <c r="R782" t="s">
        <v>74</v>
      </c>
      <c r="S782" t="s">
        <v>4167</v>
      </c>
      <c r="T782" s="2">
        <v>992</v>
      </c>
      <c r="U782" s="3">
        <v>1.54</v>
      </c>
      <c r="V782" s="4">
        <v>1525</v>
      </c>
      <c r="AF782" s="5">
        <v>1.0638000000000001</v>
      </c>
      <c r="AI782" s="1">
        <v>3</v>
      </c>
      <c r="AJ782" t="s">
        <v>81</v>
      </c>
      <c r="AK782" t="s">
        <v>82</v>
      </c>
      <c r="AL782" t="s">
        <v>83</v>
      </c>
      <c r="AM782" s="3">
        <v>1.57</v>
      </c>
      <c r="AN782" s="4">
        <v>1698</v>
      </c>
      <c r="AO782" s="1">
        <v>1081</v>
      </c>
      <c r="AP782" s="3">
        <v>1.41</v>
      </c>
      <c r="AQ782" s="4">
        <v>2097</v>
      </c>
      <c r="AR782" s="1">
        <v>1492</v>
      </c>
      <c r="AS782" s="3">
        <v>1130948.99</v>
      </c>
      <c r="AW782" t="s">
        <v>84</v>
      </c>
      <c r="AY782" s="3">
        <v>1.53</v>
      </c>
      <c r="AZ782" s="4">
        <v>1186</v>
      </c>
      <c r="BA782" s="1">
        <v>776</v>
      </c>
      <c r="BB782" s="1">
        <v>152</v>
      </c>
      <c r="BC782" s="1">
        <v>192</v>
      </c>
      <c r="BD782" s="1">
        <v>32</v>
      </c>
      <c r="BF782" t="s">
        <v>1739</v>
      </c>
      <c r="BG782" t="s">
        <v>104</v>
      </c>
    </row>
    <row r="783" spans="1:59" x14ac:dyDescent="0.25">
      <c r="A783" t="s">
        <v>4168</v>
      </c>
      <c r="B783" t="s">
        <v>4169</v>
      </c>
      <c r="C783" s="1">
        <v>262</v>
      </c>
      <c r="D783" s="1">
        <v>1999</v>
      </c>
      <c r="E783" t="s">
        <v>64</v>
      </c>
      <c r="F783" t="s">
        <v>841</v>
      </c>
      <c r="G783" t="s">
        <v>4170</v>
      </c>
      <c r="H783" t="s">
        <v>4171</v>
      </c>
      <c r="I783" t="s">
        <v>4172</v>
      </c>
      <c r="J783" t="s">
        <v>4170</v>
      </c>
      <c r="K783" s="1">
        <v>4</v>
      </c>
      <c r="L783" t="s">
        <v>91</v>
      </c>
      <c r="M783" t="s">
        <v>70</v>
      </c>
      <c r="N783" t="s">
        <v>71</v>
      </c>
      <c r="P783" t="s">
        <v>72</v>
      </c>
      <c r="Q783" t="s">
        <v>841</v>
      </c>
      <c r="R783" t="s">
        <v>74</v>
      </c>
      <c r="S783" t="s">
        <v>845</v>
      </c>
      <c r="T783" s="2">
        <v>1104</v>
      </c>
      <c r="U783" s="3">
        <v>1.4</v>
      </c>
      <c r="V783" s="4">
        <v>1549</v>
      </c>
      <c r="AF783" s="5">
        <v>12.9771</v>
      </c>
      <c r="AI783" s="1">
        <v>3</v>
      </c>
      <c r="AJ783" t="s">
        <v>81</v>
      </c>
      <c r="AK783" t="s">
        <v>82</v>
      </c>
      <c r="AL783" t="s">
        <v>83</v>
      </c>
      <c r="AM783" s="3">
        <v>1.39</v>
      </c>
      <c r="AN783" s="4">
        <v>1784</v>
      </c>
      <c r="AO783" s="1">
        <v>1283</v>
      </c>
      <c r="AP783" s="3">
        <v>1.46</v>
      </c>
      <c r="AQ783" s="4">
        <v>2090</v>
      </c>
      <c r="AR783" s="1">
        <v>1436</v>
      </c>
      <c r="AS783" s="3">
        <v>818291.31</v>
      </c>
      <c r="AW783" t="s">
        <v>84</v>
      </c>
      <c r="AY783" s="3">
        <v>1.4</v>
      </c>
      <c r="AZ783" s="4">
        <v>1237</v>
      </c>
      <c r="BA783" s="1">
        <v>882</v>
      </c>
      <c r="BB783" s="1">
        <v>126</v>
      </c>
      <c r="BC783" s="1">
        <v>112</v>
      </c>
      <c r="BD783" s="1">
        <v>24</v>
      </c>
      <c r="BF783" t="s">
        <v>4173</v>
      </c>
      <c r="BG783" t="s">
        <v>365</v>
      </c>
    </row>
    <row r="784" spans="1:59" x14ac:dyDescent="0.25">
      <c r="A784" t="s">
        <v>4174</v>
      </c>
      <c r="B784" t="s">
        <v>4175</v>
      </c>
      <c r="C784" s="1">
        <v>244</v>
      </c>
      <c r="D784" s="1">
        <v>1999</v>
      </c>
      <c r="E784" t="s">
        <v>64</v>
      </c>
      <c r="F784" t="s">
        <v>2922</v>
      </c>
      <c r="G784" t="s">
        <v>4176</v>
      </c>
      <c r="H784" t="s">
        <v>4177</v>
      </c>
      <c r="I784" t="s">
        <v>4178</v>
      </c>
      <c r="J784" t="s">
        <v>4176</v>
      </c>
      <c r="K784" s="1">
        <v>3</v>
      </c>
      <c r="L784" t="s">
        <v>91</v>
      </c>
      <c r="M784" t="s">
        <v>70</v>
      </c>
      <c r="N784" t="s">
        <v>71</v>
      </c>
      <c r="P784" t="s">
        <v>72</v>
      </c>
      <c r="Q784" t="s">
        <v>73</v>
      </c>
      <c r="R784" t="s">
        <v>74</v>
      </c>
      <c r="S784" t="s">
        <v>92</v>
      </c>
      <c r="T784" s="2">
        <v>944</v>
      </c>
      <c r="U784" s="3">
        <v>1.65</v>
      </c>
      <c r="V784" s="4">
        <v>1560</v>
      </c>
      <c r="AF784" s="5">
        <v>7.7869000000000002</v>
      </c>
      <c r="AI784" s="1">
        <v>4</v>
      </c>
      <c r="AJ784" t="s">
        <v>81</v>
      </c>
      <c r="AK784" t="s">
        <v>82</v>
      </c>
      <c r="AL784" t="s">
        <v>83</v>
      </c>
      <c r="AM784" s="3">
        <v>1.42</v>
      </c>
      <c r="AN784" s="4">
        <v>1768</v>
      </c>
      <c r="AO784" s="1">
        <v>1247</v>
      </c>
      <c r="AP784" s="3">
        <v>1.42</v>
      </c>
      <c r="AQ784" s="4">
        <v>2036</v>
      </c>
      <c r="AR784" s="1">
        <v>1434</v>
      </c>
      <c r="AS784" s="3">
        <v>933335.12</v>
      </c>
      <c r="AT784" s="3">
        <v>2.41</v>
      </c>
      <c r="AU784" s="4">
        <v>1229</v>
      </c>
      <c r="AV784" s="6">
        <v>510</v>
      </c>
      <c r="AW784" t="s">
        <v>84</v>
      </c>
      <c r="AY784" s="3">
        <v>1.9</v>
      </c>
      <c r="AZ784" s="4">
        <v>1396</v>
      </c>
      <c r="BA784" s="1">
        <v>733</v>
      </c>
      <c r="BB784" s="1">
        <v>148</v>
      </c>
      <c r="BC784" s="1">
        <v>74</v>
      </c>
      <c r="BD784" s="1">
        <v>20</v>
      </c>
      <c r="BG784" t="s">
        <v>365</v>
      </c>
    </row>
    <row r="785" spans="1:59" x14ac:dyDescent="0.25">
      <c r="A785" t="s">
        <v>4179</v>
      </c>
      <c r="B785" t="s">
        <v>4180</v>
      </c>
      <c r="C785" s="1">
        <v>60</v>
      </c>
      <c r="D785" s="1">
        <v>1998</v>
      </c>
      <c r="E785" t="s">
        <v>64</v>
      </c>
      <c r="F785" t="s">
        <v>215</v>
      </c>
      <c r="G785" t="s">
        <v>220</v>
      </c>
      <c r="H785" t="s">
        <v>4181</v>
      </c>
      <c r="I785" t="s">
        <v>4182</v>
      </c>
      <c r="J785" t="s">
        <v>220</v>
      </c>
      <c r="K785" s="1">
        <v>3</v>
      </c>
      <c r="L785" t="s">
        <v>91</v>
      </c>
      <c r="M785" t="s">
        <v>70</v>
      </c>
      <c r="N785" t="s">
        <v>71</v>
      </c>
      <c r="P785" t="s">
        <v>72</v>
      </c>
      <c r="Q785" t="s">
        <v>4183</v>
      </c>
      <c r="R785" t="s">
        <v>74</v>
      </c>
      <c r="S785" t="s">
        <v>4184</v>
      </c>
      <c r="T785" s="2">
        <v>930</v>
      </c>
      <c r="U785" s="3">
        <v>1.03</v>
      </c>
      <c r="V785" s="4">
        <v>961</v>
      </c>
      <c r="AF785" s="5">
        <v>30</v>
      </c>
      <c r="AH785" s="1">
        <v>2021</v>
      </c>
      <c r="AI785" s="1">
        <v>2</v>
      </c>
      <c r="AJ785" t="s">
        <v>81</v>
      </c>
      <c r="AK785" t="s">
        <v>82</v>
      </c>
      <c r="AL785" t="s">
        <v>83</v>
      </c>
      <c r="AM785" s="3">
        <v>1.03</v>
      </c>
      <c r="AN785" s="4">
        <v>961</v>
      </c>
      <c r="AO785" s="1">
        <v>930</v>
      </c>
      <c r="AS785" s="3">
        <v>77626.990000000005</v>
      </c>
      <c r="AW785" t="s">
        <v>84</v>
      </c>
      <c r="BC785" s="1">
        <v>60</v>
      </c>
      <c r="BF785" t="s">
        <v>731</v>
      </c>
      <c r="BG785" t="s">
        <v>104</v>
      </c>
    </row>
    <row r="786" spans="1:59" x14ac:dyDescent="0.25">
      <c r="A786" t="s">
        <v>4185</v>
      </c>
      <c r="B786" t="s">
        <v>4186</v>
      </c>
      <c r="C786" s="1">
        <v>129</v>
      </c>
      <c r="D786" s="1">
        <v>2000</v>
      </c>
      <c r="E786" t="s">
        <v>64</v>
      </c>
      <c r="F786" t="s">
        <v>215</v>
      </c>
      <c r="G786" t="s">
        <v>4187</v>
      </c>
      <c r="I786" t="s">
        <v>4187</v>
      </c>
      <c r="K786" s="1">
        <v>4</v>
      </c>
      <c r="L786" t="s">
        <v>91</v>
      </c>
      <c r="M786" t="s">
        <v>70</v>
      </c>
      <c r="N786" t="s">
        <v>71</v>
      </c>
      <c r="P786" t="s">
        <v>72</v>
      </c>
      <c r="Q786" t="s">
        <v>1384</v>
      </c>
      <c r="R786" t="s">
        <v>74</v>
      </c>
      <c r="S786" t="s">
        <v>4188</v>
      </c>
      <c r="T786" s="2">
        <v>2239</v>
      </c>
      <c r="AI786" s="1">
        <v>3</v>
      </c>
      <c r="AJ786" t="s">
        <v>81</v>
      </c>
      <c r="AK786" t="s">
        <v>82</v>
      </c>
      <c r="AL786" t="s">
        <v>83</v>
      </c>
      <c r="AO786" s="1">
        <v>2372</v>
      </c>
      <c r="AR786" s="1">
        <v>2173</v>
      </c>
      <c r="AS786" s="3">
        <v>7008.06</v>
      </c>
      <c r="AW786" t="s">
        <v>84</v>
      </c>
      <c r="BC786" s="1">
        <v>4</v>
      </c>
      <c r="BD786" s="1">
        <v>8</v>
      </c>
    </row>
    <row r="787" spans="1:59" x14ac:dyDescent="0.25">
      <c r="A787" t="s">
        <v>4189</v>
      </c>
      <c r="B787" t="s">
        <v>4190</v>
      </c>
      <c r="C787" s="1">
        <v>115</v>
      </c>
      <c r="D787" s="1">
        <v>1998</v>
      </c>
      <c r="E787" t="s">
        <v>64</v>
      </c>
      <c r="F787" t="s">
        <v>2726</v>
      </c>
      <c r="G787" t="s">
        <v>4191</v>
      </c>
      <c r="I787" t="s">
        <v>4191</v>
      </c>
      <c r="K787" s="1">
        <v>3</v>
      </c>
      <c r="L787" t="s">
        <v>91</v>
      </c>
      <c r="M787" t="s">
        <v>70</v>
      </c>
      <c r="N787" t="s">
        <v>71</v>
      </c>
      <c r="P787" t="s">
        <v>72</v>
      </c>
      <c r="Q787" t="s">
        <v>73</v>
      </c>
      <c r="R787" t="s">
        <v>74</v>
      </c>
      <c r="S787" t="s">
        <v>1568</v>
      </c>
      <c r="AI787" s="1">
        <v>4</v>
      </c>
      <c r="AJ787" t="s">
        <v>81</v>
      </c>
      <c r="AK787" t="s">
        <v>82</v>
      </c>
      <c r="AL787" t="s">
        <v>83</v>
      </c>
      <c r="AS787" s="3">
        <v>86551.62</v>
      </c>
      <c r="AW787" t="s">
        <v>84</v>
      </c>
      <c r="BB787" s="1">
        <v>115</v>
      </c>
    </row>
    <row r="788" spans="1:59" x14ac:dyDescent="0.25">
      <c r="A788" t="s">
        <v>1940</v>
      </c>
      <c r="C788" s="1">
        <v>65</v>
      </c>
      <c r="D788" s="1">
        <v>1990</v>
      </c>
      <c r="E788" t="s">
        <v>64</v>
      </c>
      <c r="F788" t="s">
        <v>97</v>
      </c>
      <c r="G788" t="s">
        <v>1941</v>
      </c>
      <c r="I788" t="s">
        <v>1942</v>
      </c>
      <c r="J788" t="s">
        <v>1941</v>
      </c>
      <c r="K788" s="1">
        <v>3</v>
      </c>
      <c r="L788" t="s">
        <v>91</v>
      </c>
      <c r="M788" t="s">
        <v>70</v>
      </c>
      <c r="N788" t="s">
        <v>127</v>
      </c>
      <c r="P788" t="s">
        <v>72</v>
      </c>
      <c r="Q788" t="s">
        <v>1943</v>
      </c>
      <c r="R788" t="s">
        <v>74</v>
      </c>
      <c r="S788" t="s">
        <v>1944</v>
      </c>
      <c r="AF788" s="5">
        <v>9.2308000000000003</v>
      </c>
      <c r="AI788" s="1">
        <v>1</v>
      </c>
      <c r="AJ788" t="s">
        <v>81</v>
      </c>
      <c r="AK788" t="s">
        <v>82</v>
      </c>
      <c r="AL788" t="s">
        <v>83</v>
      </c>
      <c r="AS788" s="3">
        <v>46727.49</v>
      </c>
      <c r="AW788" t="s">
        <v>84</v>
      </c>
      <c r="BB788" s="1">
        <v>65</v>
      </c>
    </row>
    <row r="789" spans="1:59" x14ac:dyDescent="0.25">
      <c r="A789" t="s">
        <v>4192</v>
      </c>
      <c r="B789" t="s">
        <v>4193</v>
      </c>
      <c r="C789" s="1">
        <v>390</v>
      </c>
      <c r="D789" s="1">
        <v>2000</v>
      </c>
      <c r="E789" t="s">
        <v>64</v>
      </c>
      <c r="F789" t="s">
        <v>97</v>
      </c>
      <c r="G789" t="s">
        <v>801</v>
      </c>
      <c r="H789" t="s">
        <v>4194</v>
      </c>
      <c r="I789" t="s">
        <v>4195</v>
      </c>
      <c r="J789" t="s">
        <v>801</v>
      </c>
      <c r="K789" s="1">
        <v>3</v>
      </c>
      <c r="L789" t="s">
        <v>91</v>
      </c>
      <c r="M789" t="s">
        <v>70</v>
      </c>
      <c r="N789" t="s">
        <v>71</v>
      </c>
      <c r="P789" t="s">
        <v>72</v>
      </c>
      <c r="Q789" t="s">
        <v>531</v>
      </c>
      <c r="R789" t="s">
        <v>74</v>
      </c>
      <c r="S789" t="s">
        <v>532</v>
      </c>
      <c r="T789" s="2">
        <v>882</v>
      </c>
      <c r="U789" s="3">
        <v>1.79</v>
      </c>
      <c r="V789" s="4">
        <v>1575</v>
      </c>
      <c r="AF789" s="5">
        <v>7.1795</v>
      </c>
      <c r="AI789" s="1">
        <v>3</v>
      </c>
      <c r="AJ789" t="s">
        <v>81</v>
      </c>
      <c r="AK789" t="s">
        <v>82</v>
      </c>
      <c r="AL789" t="s">
        <v>83</v>
      </c>
      <c r="AM789" s="3">
        <v>1.66</v>
      </c>
      <c r="AN789" s="4">
        <v>1660</v>
      </c>
      <c r="AO789" s="1">
        <v>1001</v>
      </c>
      <c r="AP789" s="3">
        <v>1.7</v>
      </c>
      <c r="AQ789" s="4">
        <v>2137</v>
      </c>
      <c r="AR789" s="1">
        <v>1257</v>
      </c>
      <c r="AS789" s="3">
        <v>1705269.16</v>
      </c>
      <c r="AW789" t="s">
        <v>84</v>
      </c>
      <c r="AY789" s="3">
        <v>1.98</v>
      </c>
      <c r="AZ789" s="4">
        <v>1373</v>
      </c>
      <c r="BA789" s="1">
        <v>695</v>
      </c>
      <c r="BB789" s="1">
        <v>188</v>
      </c>
      <c r="BC789" s="1">
        <v>158</v>
      </c>
      <c r="BD789" s="1">
        <v>44</v>
      </c>
    </row>
    <row r="790" spans="1:59" x14ac:dyDescent="0.25">
      <c r="A790" t="s">
        <v>4196</v>
      </c>
      <c r="B790" t="s">
        <v>4197</v>
      </c>
      <c r="C790" s="1">
        <v>316</v>
      </c>
      <c r="D790" s="1">
        <v>1997</v>
      </c>
      <c r="E790" t="s">
        <v>64</v>
      </c>
      <c r="F790" t="s">
        <v>97</v>
      </c>
      <c r="G790" t="s">
        <v>3544</v>
      </c>
      <c r="H790" t="s">
        <v>4198</v>
      </c>
      <c r="I790" t="s">
        <v>4199</v>
      </c>
      <c r="J790" t="s">
        <v>3544</v>
      </c>
      <c r="K790" s="1">
        <v>3</v>
      </c>
      <c r="L790" t="s">
        <v>91</v>
      </c>
      <c r="M790" t="s">
        <v>70</v>
      </c>
      <c r="N790" t="s">
        <v>71</v>
      </c>
      <c r="O790" t="s">
        <v>128</v>
      </c>
      <c r="P790" t="s">
        <v>72</v>
      </c>
      <c r="Q790" t="s">
        <v>531</v>
      </c>
      <c r="R790" t="s">
        <v>74</v>
      </c>
      <c r="S790" t="s">
        <v>532</v>
      </c>
      <c r="T790" s="2">
        <v>854</v>
      </c>
      <c r="U790" s="3">
        <v>1.85</v>
      </c>
      <c r="V790" s="4">
        <v>1576</v>
      </c>
      <c r="AF790" s="5">
        <v>8.2278000000000002</v>
      </c>
      <c r="AI790" s="1">
        <v>2</v>
      </c>
      <c r="AJ790" t="s">
        <v>81</v>
      </c>
      <c r="AK790" t="s">
        <v>82</v>
      </c>
      <c r="AL790" t="s">
        <v>83</v>
      </c>
      <c r="AM790" s="3">
        <v>1.9</v>
      </c>
      <c r="AN790" s="4">
        <v>1733</v>
      </c>
      <c r="AO790" s="1">
        <v>911</v>
      </c>
      <c r="AP790" s="3">
        <v>1.94</v>
      </c>
      <c r="AQ790" s="4">
        <v>2300</v>
      </c>
      <c r="AR790" s="1">
        <v>1188</v>
      </c>
      <c r="AS790" s="3">
        <v>899764.78</v>
      </c>
      <c r="AW790" t="s">
        <v>84</v>
      </c>
      <c r="AY790" s="3">
        <v>1.74</v>
      </c>
      <c r="AZ790" s="4">
        <v>1248</v>
      </c>
      <c r="BA790" s="1">
        <v>717</v>
      </c>
      <c r="BB790" s="1">
        <v>144</v>
      </c>
      <c r="BC790" s="1">
        <v>136</v>
      </c>
      <c r="BD790" s="1">
        <v>36</v>
      </c>
      <c r="BG790" t="s">
        <v>131</v>
      </c>
    </row>
    <row r="791" spans="1:59" x14ac:dyDescent="0.25">
      <c r="A791" t="s">
        <v>1954</v>
      </c>
      <c r="B791" t="s">
        <v>1955</v>
      </c>
      <c r="C791" s="1">
        <v>424</v>
      </c>
      <c r="D791" s="1">
        <v>1990</v>
      </c>
      <c r="E791" t="s">
        <v>64</v>
      </c>
      <c r="F791" t="s">
        <v>228</v>
      </c>
      <c r="G791" t="s">
        <v>1956</v>
      </c>
      <c r="H791" t="s">
        <v>1957</v>
      </c>
      <c r="I791" t="s">
        <v>1958</v>
      </c>
      <c r="J791" t="s">
        <v>1956</v>
      </c>
      <c r="K791" s="1">
        <v>4</v>
      </c>
      <c r="L791" t="s">
        <v>729</v>
      </c>
      <c r="M791" t="s">
        <v>70</v>
      </c>
      <c r="N791" t="s">
        <v>71</v>
      </c>
      <c r="P791" t="s">
        <v>72</v>
      </c>
      <c r="Q791" t="s">
        <v>152</v>
      </c>
      <c r="R791" t="s">
        <v>74</v>
      </c>
      <c r="S791" t="s">
        <v>233</v>
      </c>
      <c r="T791" s="2">
        <v>845</v>
      </c>
      <c r="U791" s="3">
        <v>1.6</v>
      </c>
      <c r="V791" s="4">
        <v>1350</v>
      </c>
      <c r="AF791" s="5">
        <v>10.613200000000001</v>
      </c>
      <c r="AH791" s="1">
        <v>2014</v>
      </c>
      <c r="AI791" s="1">
        <v>3</v>
      </c>
      <c r="AJ791" t="s">
        <v>81</v>
      </c>
      <c r="AK791" t="s">
        <v>82</v>
      </c>
      <c r="AL791" t="s">
        <v>83</v>
      </c>
      <c r="AM791" s="3">
        <v>1.44</v>
      </c>
      <c r="AN791" s="4">
        <v>1445</v>
      </c>
      <c r="AO791" s="1">
        <v>1001</v>
      </c>
      <c r="AP791" s="3">
        <v>1.36</v>
      </c>
      <c r="AQ791" s="4">
        <v>1878</v>
      </c>
      <c r="AR791" s="1">
        <v>1384</v>
      </c>
      <c r="AS791" s="3">
        <v>825108.7</v>
      </c>
      <c r="AW791" t="s">
        <v>84</v>
      </c>
      <c r="AY791" s="3">
        <v>1.81</v>
      </c>
      <c r="AZ791" s="4">
        <v>1242</v>
      </c>
      <c r="BA791" s="1">
        <v>686</v>
      </c>
      <c r="BB791" s="1">
        <v>224</v>
      </c>
      <c r="BC791" s="1">
        <v>188</v>
      </c>
      <c r="BD791" s="1">
        <v>12</v>
      </c>
    </row>
    <row r="792" spans="1:59" x14ac:dyDescent="0.25">
      <c r="A792" t="s">
        <v>4200</v>
      </c>
      <c r="B792" t="s">
        <v>4201</v>
      </c>
      <c r="C792" s="1">
        <v>456</v>
      </c>
      <c r="D792" s="1">
        <v>1995</v>
      </c>
      <c r="E792" t="s">
        <v>64</v>
      </c>
      <c r="F792" t="s">
        <v>2085</v>
      </c>
      <c r="G792" t="s">
        <v>2395</v>
      </c>
      <c r="H792" t="s">
        <v>4202</v>
      </c>
      <c r="I792" t="s">
        <v>4203</v>
      </c>
      <c r="J792" t="s">
        <v>2395</v>
      </c>
      <c r="K792" s="1">
        <v>3</v>
      </c>
      <c r="L792" t="s">
        <v>91</v>
      </c>
      <c r="M792" t="s">
        <v>70</v>
      </c>
      <c r="N792" t="s">
        <v>71</v>
      </c>
      <c r="P792" t="s">
        <v>72</v>
      </c>
      <c r="Q792" t="s">
        <v>2085</v>
      </c>
      <c r="R792" t="s">
        <v>74</v>
      </c>
      <c r="S792" t="s">
        <v>2086</v>
      </c>
      <c r="T792" s="2">
        <v>942</v>
      </c>
      <c r="U792" s="3">
        <v>1.64</v>
      </c>
      <c r="V792" s="4">
        <v>1546</v>
      </c>
      <c r="AF792" s="5">
        <v>5.2632000000000003</v>
      </c>
      <c r="AI792" s="1">
        <v>3</v>
      </c>
      <c r="AJ792" t="s">
        <v>81</v>
      </c>
      <c r="AK792" t="s">
        <v>82</v>
      </c>
      <c r="AL792" t="s">
        <v>83</v>
      </c>
      <c r="AM792" s="3">
        <v>1.58</v>
      </c>
      <c r="AN792" s="4">
        <v>1797</v>
      </c>
      <c r="AO792" s="1">
        <v>1135</v>
      </c>
      <c r="AS792" s="3">
        <v>1947538.32</v>
      </c>
      <c r="AW792" t="s">
        <v>84</v>
      </c>
      <c r="AY792" s="3">
        <v>1.7</v>
      </c>
      <c r="AZ792" s="4">
        <v>1363</v>
      </c>
      <c r="BA792" s="1">
        <v>802</v>
      </c>
      <c r="BB792" s="1">
        <v>264</v>
      </c>
      <c r="BC792" s="1">
        <v>192</v>
      </c>
    </row>
    <row r="793" spans="1:59" x14ac:dyDescent="0.25">
      <c r="A793" t="s">
        <v>4204</v>
      </c>
      <c r="B793" t="s">
        <v>4205</v>
      </c>
      <c r="C793" s="1">
        <v>240</v>
      </c>
      <c r="D793" s="1">
        <v>1997</v>
      </c>
      <c r="E793" t="s">
        <v>64</v>
      </c>
      <c r="F793" t="s">
        <v>660</v>
      </c>
      <c r="G793" t="s">
        <v>687</v>
      </c>
      <c r="H793" t="s">
        <v>4206</v>
      </c>
      <c r="I793" t="s">
        <v>779</v>
      </c>
      <c r="J793" t="s">
        <v>687</v>
      </c>
      <c r="K793" s="1">
        <v>4</v>
      </c>
      <c r="L793" t="s">
        <v>91</v>
      </c>
      <c r="M793" t="s">
        <v>70</v>
      </c>
      <c r="N793" t="s">
        <v>71</v>
      </c>
      <c r="P793" t="s">
        <v>72</v>
      </c>
      <c r="Q793" t="s">
        <v>664</v>
      </c>
      <c r="R793" t="s">
        <v>74</v>
      </c>
      <c r="S793" t="s">
        <v>4207</v>
      </c>
      <c r="T793" s="2">
        <v>864</v>
      </c>
      <c r="U793" s="3">
        <v>1.6</v>
      </c>
      <c r="V793" s="4">
        <v>1386</v>
      </c>
      <c r="AF793" s="5">
        <v>20.833300000000001</v>
      </c>
      <c r="AI793" s="1">
        <v>3</v>
      </c>
      <c r="AJ793" t="s">
        <v>81</v>
      </c>
      <c r="AK793" t="s">
        <v>82</v>
      </c>
      <c r="AL793" t="s">
        <v>83</v>
      </c>
      <c r="AM793" s="3">
        <v>1.56</v>
      </c>
      <c r="AN793" s="4">
        <v>1401</v>
      </c>
      <c r="AO793" s="1">
        <v>901</v>
      </c>
      <c r="AP793" s="3">
        <v>1.58</v>
      </c>
      <c r="AQ793" s="4">
        <v>1726</v>
      </c>
      <c r="AR793" s="1">
        <v>1094</v>
      </c>
      <c r="AS793" s="3">
        <v>0</v>
      </c>
      <c r="AW793" t="s">
        <v>84</v>
      </c>
      <c r="AY793" s="3">
        <v>1.77</v>
      </c>
      <c r="AZ793" s="4">
        <v>1142</v>
      </c>
      <c r="BA793" s="1">
        <v>645</v>
      </c>
      <c r="BB793" s="1">
        <v>64</v>
      </c>
      <c r="BC793" s="1">
        <v>136</v>
      </c>
      <c r="BD793" s="1">
        <v>40</v>
      </c>
      <c r="BF793" t="s">
        <v>1202</v>
      </c>
      <c r="BG793" t="s">
        <v>104</v>
      </c>
    </row>
    <row r="794" spans="1:59" x14ac:dyDescent="0.25">
      <c r="A794" t="s">
        <v>4208</v>
      </c>
      <c r="B794" t="s">
        <v>4209</v>
      </c>
      <c r="C794" s="1">
        <v>117</v>
      </c>
      <c r="D794" s="1">
        <v>1999</v>
      </c>
      <c r="E794" t="s">
        <v>64</v>
      </c>
      <c r="F794" t="s">
        <v>1498</v>
      </c>
      <c r="G794" t="s">
        <v>1493</v>
      </c>
      <c r="H794" t="s">
        <v>4210</v>
      </c>
      <c r="I794" t="s">
        <v>4211</v>
      </c>
      <c r="J794" t="s">
        <v>1493</v>
      </c>
      <c r="K794" s="1">
        <v>3</v>
      </c>
      <c r="L794" t="s">
        <v>91</v>
      </c>
      <c r="M794" t="s">
        <v>70</v>
      </c>
      <c r="N794" t="s">
        <v>71</v>
      </c>
      <c r="P794" t="s">
        <v>72</v>
      </c>
      <c r="Q794" t="s">
        <v>73</v>
      </c>
      <c r="R794" t="s">
        <v>74</v>
      </c>
      <c r="S794" t="s">
        <v>997</v>
      </c>
      <c r="T794" s="2">
        <v>708</v>
      </c>
      <c r="U794" s="3">
        <v>3.87</v>
      </c>
      <c r="V794" s="4">
        <v>2742</v>
      </c>
      <c r="AF794" s="5">
        <v>2.5640999999999998</v>
      </c>
      <c r="AI794" s="1">
        <v>3</v>
      </c>
      <c r="AJ794" t="s">
        <v>81</v>
      </c>
      <c r="AK794" t="s">
        <v>82</v>
      </c>
      <c r="AL794" t="s">
        <v>83</v>
      </c>
      <c r="AM794" s="3">
        <v>3.48</v>
      </c>
      <c r="AN794" s="4">
        <v>3327</v>
      </c>
      <c r="AO794" s="1">
        <v>956</v>
      </c>
      <c r="AT794" s="3">
        <v>6.1</v>
      </c>
      <c r="AU794" s="4">
        <v>2244</v>
      </c>
      <c r="AV794" s="6">
        <v>368</v>
      </c>
      <c r="AW794" t="s">
        <v>84</v>
      </c>
      <c r="AY794" s="3">
        <v>3.27</v>
      </c>
      <c r="AZ794" s="4">
        <v>2647</v>
      </c>
      <c r="BA794" s="1">
        <v>810</v>
      </c>
      <c r="BB794" s="1">
        <v>37</v>
      </c>
      <c r="BC794" s="1">
        <v>40</v>
      </c>
    </row>
    <row r="795" spans="1:59" x14ac:dyDescent="0.25">
      <c r="A795" t="s">
        <v>4212</v>
      </c>
      <c r="B795" t="s">
        <v>4213</v>
      </c>
      <c r="C795" s="1">
        <v>300</v>
      </c>
      <c r="D795" s="1">
        <v>1997</v>
      </c>
      <c r="E795" t="s">
        <v>64</v>
      </c>
      <c r="F795" t="s">
        <v>140</v>
      </c>
      <c r="G795" t="s">
        <v>236</v>
      </c>
      <c r="H795" t="s">
        <v>4214</v>
      </c>
      <c r="I795" t="s">
        <v>4215</v>
      </c>
      <c r="J795" t="s">
        <v>236</v>
      </c>
      <c r="K795" s="1">
        <v>4</v>
      </c>
      <c r="L795" t="s">
        <v>91</v>
      </c>
      <c r="M795" t="s">
        <v>70</v>
      </c>
      <c r="N795" t="s">
        <v>71</v>
      </c>
      <c r="P795" t="s">
        <v>72</v>
      </c>
      <c r="Q795" t="s">
        <v>140</v>
      </c>
      <c r="R795" t="s">
        <v>74</v>
      </c>
      <c r="S795" t="s">
        <v>4216</v>
      </c>
      <c r="T795" s="2">
        <v>975</v>
      </c>
      <c r="U795" s="3">
        <v>1.72</v>
      </c>
      <c r="V795" s="4">
        <v>1680</v>
      </c>
      <c r="AF795" s="5">
        <v>12.666700000000001</v>
      </c>
      <c r="AI795" s="1">
        <v>3</v>
      </c>
      <c r="AJ795" t="s">
        <v>81</v>
      </c>
      <c r="AK795" t="s">
        <v>82</v>
      </c>
      <c r="AL795" t="s">
        <v>83</v>
      </c>
      <c r="AM795" s="3">
        <v>1.65</v>
      </c>
      <c r="AN795" s="4">
        <v>1844</v>
      </c>
      <c r="AO795" s="1">
        <v>1119</v>
      </c>
      <c r="AS795" s="3">
        <v>898461.4</v>
      </c>
      <c r="AW795" t="s">
        <v>84</v>
      </c>
      <c r="AY795" s="3">
        <v>1.85</v>
      </c>
      <c r="AZ795" s="4">
        <v>1468</v>
      </c>
      <c r="BA795" s="1">
        <v>792</v>
      </c>
      <c r="BB795" s="1">
        <v>131</v>
      </c>
      <c r="BC795" s="1">
        <v>169</v>
      </c>
      <c r="BG795" t="s">
        <v>131</v>
      </c>
    </row>
    <row r="796" spans="1:59" x14ac:dyDescent="0.25">
      <c r="A796" t="s">
        <v>4217</v>
      </c>
      <c r="B796" t="s">
        <v>4218</v>
      </c>
      <c r="C796" s="1">
        <v>169</v>
      </c>
      <c r="D796" s="1">
        <v>1998</v>
      </c>
      <c r="E796" t="s">
        <v>64</v>
      </c>
      <c r="F796" t="s">
        <v>4219</v>
      </c>
      <c r="G796" t="s">
        <v>1762</v>
      </c>
      <c r="H796" t="s">
        <v>4220</v>
      </c>
      <c r="I796" t="s">
        <v>4221</v>
      </c>
      <c r="J796" t="s">
        <v>1762</v>
      </c>
      <c r="K796" s="1">
        <v>4</v>
      </c>
      <c r="L796" t="s">
        <v>729</v>
      </c>
      <c r="M796" t="s">
        <v>70</v>
      </c>
      <c r="N796" t="s">
        <v>71</v>
      </c>
      <c r="P796" t="s">
        <v>72</v>
      </c>
      <c r="Q796" t="s">
        <v>73</v>
      </c>
      <c r="R796" t="s">
        <v>74</v>
      </c>
      <c r="S796" t="s">
        <v>4222</v>
      </c>
      <c r="T796" s="2">
        <v>867</v>
      </c>
      <c r="U796" s="3">
        <v>2.35</v>
      </c>
      <c r="V796" s="4">
        <v>2037</v>
      </c>
      <c r="AF796" s="5">
        <v>3.5503</v>
      </c>
      <c r="AI796" s="1">
        <v>3</v>
      </c>
      <c r="AJ796" t="s">
        <v>81</v>
      </c>
      <c r="AK796" t="s">
        <v>82</v>
      </c>
      <c r="AL796" t="s">
        <v>83</v>
      </c>
      <c r="AM796" s="3">
        <v>2.2599999999999998</v>
      </c>
      <c r="AN796" s="4">
        <v>2525</v>
      </c>
      <c r="AO796" s="1">
        <v>1117</v>
      </c>
      <c r="AS796" s="3">
        <v>735326.89</v>
      </c>
      <c r="AT796" s="3">
        <v>2.34</v>
      </c>
      <c r="AU796" s="4">
        <v>1723</v>
      </c>
      <c r="AV796" s="6">
        <v>737</v>
      </c>
      <c r="AW796" t="s">
        <v>84</v>
      </c>
      <c r="AY796" s="3">
        <v>2.41</v>
      </c>
      <c r="AZ796" s="4">
        <v>1851</v>
      </c>
      <c r="BA796" s="1">
        <v>769</v>
      </c>
      <c r="BB796" s="1">
        <v>108</v>
      </c>
      <c r="BC796" s="1">
        <v>49</v>
      </c>
      <c r="BG796" t="s">
        <v>131</v>
      </c>
    </row>
    <row r="797" spans="1:59" x14ac:dyDescent="0.25">
      <c r="A797" t="s">
        <v>4223</v>
      </c>
      <c r="B797" t="s">
        <v>4224</v>
      </c>
      <c r="C797" s="1">
        <v>192</v>
      </c>
      <c r="D797" s="1">
        <v>1999</v>
      </c>
      <c r="E797" t="s">
        <v>64</v>
      </c>
      <c r="F797" t="s">
        <v>660</v>
      </c>
      <c r="G797" t="s">
        <v>2923</v>
      </c>
      <c r="H797" t="s">
        <v>4225</v>
      </c>
      <c r="I797" t="s">
        <v>4226</v>
      </c>
      <c r="J797" t="s">
        <v>2923</v>
      </c>
      <c r="K797" s="1">
        <v>3</v>
      </c>
      <c r="L797" t="s">
        <v>91</v>
      </c>
      <c r="M797" t="s">
        <v>70</v>
      </c>
      <c r="N797" t="s">
        <v>71</v>
      </c>
      <c r="O797" t="s">
        <v>118</v>
      </c>
      <c r="P797" t="s">
        <v>72</v>
      </c>
      <c r="Q797" t="s">
        <v>664</v>
      </c>
      <c r="R797" t="s">
        <v>74</v>
      </c>
      <c r="S797" t="s">
        <v>4227</v>
      </c>
      <c r="T797" s="2">
        <v>996</v>
      </c>
      <c r="U797" s="3">
        <v>1.39</v>
      </c>
      <c r="V797" s="4">
        <v>1381</v>
      </c>
      <c r="AF797" s="5">
        <v>9.375</v>
      </c>
      <c r="AI797" s="1">
        <v>2</v>
      </c>
      <c r="AJ797" t="s">
        <v>81</v>
      </c>
      <c r="AK797" t="s">
        <v>82</v>
      </c>
      <c r="AL797" t="s">
        <v>83</v>
      </c>
      <c r="AM797" s="3">
        <v>1.53</v>
      </c>
      <c r="AN797" s="4">
        <v>1583</v>
      </c>
      <c r="AO797" s="1">
        <v>1032</v>
      </c>
      <c r="AP797" s="3">
        <v>1</v>
      </c>
      <c r="AQ797" s="4">
        <v>1174</v>
      </c>
      <c r="AR797" s="1">
        <v>1175</v>
      </c>
      <c r="AS797" s="3">
        <v>212675.08</v>
      </c>
      <c r="AW797" t="s">
        <v>84</v>
      </c>
      <c r="AY797" s="3">
        <v>1.58</v>
      </c>
      <c r="AZ797" s="4">
        <v>1183</v>
      </c>
      <c r="BA797" s="1">
        <v>747</v>
      </c>
      <c r="BB797" s="1">
        <v>48</v>
      </c>
      <c r="BC797" s="1">
        <v>96</v>
      </c>
      <c r="BD797" s="1">
        <v>48</v>
      </c>
      <c r="BF797" t="s">
        <v>2293</v>
      </c>
      <c r="BG797" t="s">
        <v>104</v>
      </c>
    </row>
    <row r="798" spans="1:59" x14ac:dyDescent="0.25">
      <c r="A798" t="s">
        <v>4228</v>
      </c>
      <c r="B798" t="s">
        <v>4229</v>
      </c>
      <c r="C798" s="1">
        <v>380</v>
      </c>
      <c r="D798" s="1">
        <v>1997</v>
      </c>
      <c r="E798" t="s">
        <v>64</v>
      </c>
      <c r="F798" t="s">
        <v>140</v>
      </c>
      <c r="G798" t="s">
        <v>4230</v>
      </c>
      <c r="H798" t="s">
        <v>4231</v>
      </c>
      <c r="I798" t="s">
        <v>4232</v>
      </c>
      <c r="J798" t="s">
        <v>4230</v>
      </c>
      <c r="K798" s="1">
        <v>4</v>
      </c>
      <c r="L798" t="s">
        <v>91</v>
      </c>
      <c r="M798" t="s">
        <v>70</v>
      </c>
      <c r="N798" t="s">
        <v>71</v>
      </c>
      <c r="O798" t="s">
        <v>128</v>
      </c>
      <c r="P798" t="s">
        <v>72</v>
      </c>
      <c r="Q798" t="s">
        <v>140</v>
      </c>
      <c r="R798" t="s">
        <v>74</v>
      </c>
      <c r="S798" t="s">
        <v>1535</v>
      </c>
      <c r="T798" s="2">
        <v>984</v>
      </c>
      <c r="U798" s="3">
        <v>2.09</v>
      </c>
      <c r="V798" s="4">
        <v>2056</v>
      </c>
      <c r="AF798" s="5">
        <v>6.5789</v>
      </c>
      <c r="AI798" s="1">
        <v>2</v>
      </c>
      <c r="AJ798" t="s">
        <v>81</v>
      </c>
      <c r="AK798" t="s">
        <v>82</v>
      </c>
      <c r="AL798" t="s">
        <v>83</v>
      </c>
      <c r="AM798" s="3">
        <v>2.0099999999999998</v>
      </c>
      <c r="AN798" s="4">
        <v>2185</v>
      </c>
      <c r="AO798" s="1">
        <v>1089</v>
      </c>
      <c r="AP798" s="3">
        <v>1.65</v>
      </c>
      <c r="AQ798" s="4">
        <v>2384</v>
      </c>
      <c r="AR798" s="1">
        <v>1444</v>
      </c>
      <c r="AS798" s="3">
        <v>1366170.4</v>
      </c>
      <c r="AW798" t="s">
        <v>84</v>
      </c>
      <c r="AY798" s="3">
        <v>2.36</v>
      </c>
      <c r="AZ798" s="4">
        <v>1871</v>
      </c>
      <c r="BA798" s="1">
        <v>794</v>
      </c>
      <c r="BB798" s="1">
        <v>181</v>
      </c>
      <c r="BC798" s="1">
        <v>161</v>
      </c>
      <c r="BD798" s="1">
        <v>38</v>
      </c>
    </row>
    <row r="799" spans="1:59" x14ac:dyDescent="0.25">
      <c r="A799" t="s">
        <v>4233</v>
      </c>
      <c r="B799" t="s">
        <v>4234</v>
      </c>
      <c r="C799" s="1">
        <v>270</v>
      </c>
      <c r="D799" s="1">
        <v>1998</v>
      </c>
      <c r="E799" t="s">
        <v>64</v>
      </c>
      <c r="F799" t="s">
        <v>140</v>
      </c>
      <c r="G799" t="s">
        <v>2836</v>
      </c>
      <c r="H799" t="s">
        <v>4235</v>
      </c>
      <c r="I799" t="s">
        <v>4236</v>
      </c>
      <c r="J799" t="s">
        <v>2836</v>
      </c>
      <c r="K799" s="1">
        <v>4</v>
      </c>
      <c r="L799" t="s">
        <v>729</v>
      </c>
      <c r="M799" t="s">
        <v>70</v>
      </c>
      <c r="N799" t="s">
        <v>71</v>
      </c>
      <c r="P799" t="s">
        <v>72</v>
      </c>
      <c r="Q799" t="s">
        <v>140</v>
      </c>
      <c r="R799" t="s">
        <v>74</v>
      </c>
      <c r="S799" t="s">
        <v>1535</v>
      </c>
      <c r="T799" s="2">
        <v>1109</v>
      </c>
      <c r="U799" s="3">
        <v>1.87</v>
      </c>
      <c r="V799" s="4">
        <v>2073</v>
      </c>
      <c r="AF799" s="5">
        <v>4.4443999999999999</v>
      </c>
      <c r="AH799" s="1">
        <v>2018</v>
      </c>
      <c r="AI799" s="1">
        <v>3</v>
      </c>
      <c r="AJ799" t="s">
        <v>81</v>
      </c>
      <c r="AK799" t="s">
        <v>82</v>
      </c>
      <c r="AL799" t="s">
        <v>83</v>
      </c>
      <c r="AM799" s="3">
        <v>1.82</v>
      </c>
      <c r="AN799" s="4">
        <v>2278</v>
      </c>
      <c r="AO799" s="1">
        <v>1253</v>
      </c>
      <c r="AP799" s="3">
        <v>1.8</v>
      </c>
      <c r="AQ799" s="4">
        <v>2787</v>
      </c>
      <c r="AR799" s="1">
        <v>1545</v>
      </c>
      <c r="AS799" s="3">
        <v>905087.89</v>
      </c>
      <c r="AW799" t="s">
        <v>84</v>
      </c>
      <c r="AY799" s="3">
        <v>1.99</v>
      </c>
      <c r="AZ799" s="4">
        <v>1687</v>
      </c>
      <c r="BA799" s="1">
        <v>850</v>
      </c>
      <c r="BB799" s="1">
        <v>122</v>
      </c>
      <c r="BC799" s="1">
        <v>112</v>
      </c>
      <c r="BD799" s="1">
        <v>36</v>
      </c>
      <c r="BG799" t="s">
        <v>744</v>
      </c>
    </row>
    <row r="800" spans="1:59" x14ac:dyDescent="0.25">
      <c r="A800" t="s">
        <v>4237</v>
      </c>
      <c r="B800" t="s">
        <v>4238</v>
      </c>
      <c r="C800" s="1">
        <v>474</v>
      </c>
      <c r="D800" s="1">
        <v>1991</v>
      </c>
      <c r="E800" t="s">
        <v>64</v>
      </c>
      <c r="F800" t="s">
        <v>140</v>
      </c>
      <c r="G800" t="s">
        <v>4239</v>
      </c>
      <c r="H800" t="s">
        <v>4240</v>
      </c>
      <c r="I800" t="s">
        <v>4241</v>
      </c>
      <c r="J800" t="s">
        <v>4239</v>
      </c>
      <c r="K800" s="1">
        <v>3</v>
      </c>
      <c r="L800" t="s">
        <v>91</v>
      </c>
      <c r="M800" t="s">
        <v>70</v>
      </c>
      <c r="N800" t="s">
        <v>71</v>
      </c>
      <c r="P800" t="s">
        <v>72</v>
      </c>
      <c r="Q800" t="s">
        <v>140</v>
      </c>
      <c r="R800" t="s">
        <v>74</v>
      </c>
      <c r="S800" t="s">
        <v>1351</v>
      </c>
      <c r="T800" s="2">
        <v>885</v>
      </c>
      <c r="U800" s="3">
        <v>1.45</v>
      </c>
      <c r="V800" s="4">
        <v>1281</v>
      </c>
      <c r="AF800" s="5">
        <v>10.548500000000001</v>
      </c>
      <c r="AH800" s="1">
        <v>2015</v>
      </c>
      <c r="AI800" s="1">
        <v>2</v>
      </c>
      <c r="AJ800" t="s">
        <v>81</v>
      </c>
      <c r="AK800" t="s">
        <v>82</v>
      </c>
      <c r="AL800" t="s">
        <v>83</v>
      </c>
      <c r="AM800" s="3">
        <v>1.35</v>
      </c>
      <c r="AN800" s="4">
        <v>1339</v>
      </c>
      <c r="AO800" s="1">
        <v>991</v>
      </c>
      <c r="AP800" s="3">
        <v>1.71</v>
      </c>
      <c r="AQ800" s="4">
        <v>2008</v>
      </c>
      <c r="AR800" s="1">
        <v>1173</v>
      </c>
      <c r="AS800" s="3">
        <v>1287726.31</v>
      </c>
      <c r="AW800" t="s">
        <v>84</v>
      </c>
      <c r="AY800" s="3">
        <v>1.58</v>
      </c>
      <c r="AZ800" s="4">
        <v>1062</v>
      </c>
      <c r="BA800" s="1">
        <v>674</v>
      </c>
      <c r="BB800" s="1">
        <v>176</v>
      </c>
      <c r="BC800" s="1">
        <v>266</v>
      </c>
      <c r="BD800" s="1">
        <v>32</v>
      </c>
      <c r="BG800" t="s">
        <v>131</v>
      </c>
    </row>
    <row r="801" spans="1:59" x14ac:dyDescent="0.25">
      <c r="A801" t="s">
        <v>4242</v>
      </c>
      <c r="B801" t="s">
        <v>4243</v>
      </c>
      <c r="C801" s="1">
        <v>180</v>
      </c>
      <c r="D801" s="1">
        <v>1998</v>
      </c>
      <c r="E801" t="s">
        <v>64</v>
      </c>
      <c r="F801" t="s">
        <v>140</v>
      </c>
      <c r="G801" t="s">
        <v>4244</v>
      </c>
      <c r="H801" t="s">
        <v>4245</v>
      </c>
      <c r="I801" t="s">
        <v>4246</v>
      </c>
      <c r="J801" t="s">
        <v>4244</v>
      </c>
      <c r="K801" s="1">
        <v>4</v>
      </c>
      <c r="L801" t="s">
        <v>729</v>
      </c>
      <c r="M801" t="s">
        <v>70</v>
      </c>
      <c r="N801" t="s">
        <v>71</v>
      </c>
      <c r="P801" t="s">
        <v>72</v>
      </c>
      <c r="Q801" t="s">
        <v>140</v>
      </c>
      <c r="R801" t="s">
        <v>74</v>
      </c>
      <c r="S801" t="s">
        <v>1351</v>
      </c>
      <c r="T801" s="2">
        <v>1191</v>
      </c>
      <c r="U801" s="3">
        <v>1.82</v>
      </c>
      <c r="V801" s="4">
        <v>2170</v>
      </c>
      <c r="AF801" s="5">
        <v>7.7778</v>
      </c>
      <c r="AH801" s="1">
        <v>2020</v>
      </c>
      <c r="AI801" s="1">
        <v>3</v>
      </c>
      <c r="AJ801" t="s">
        <v>81</v>
      </c>
      <c r="AK801" t="s">
        <v>82</v>
      </c>
      <c r="AL801" t="s">
        <v>83</v>
      </c>
      <c r="AM801" s="3">
        <v>1.75</v>
      </c>
      <c r="AN801" s="4">
        <v>2259</v>
      </c>
      <c r="AO801" s="1">
        <v>1289</v>
      </c>
      <c r="AP801" s="3">
        <v>1.74</v>
      </c>
      <c r="AQ801" s="4">
        <v>2631</v>
      </c>
      <c r="AR801" s="1">
        <v>1513</v>
      </c>
      <c r="AS801" s="3">
        <v>681609.44</v>
      </c>
      <c r="AW801" t="s">
        <v>84</v>
      </c>
      <c r="AY801" s="3">
        <v>2.02</v>
      </c>
      <c r="AZ801" s="4">
        <v>1757</v>
      </c>
      <c r="BA801" s="1">
        <v>868</v>
      </c>
      <c r="BB801" s="1">
        <v>66</v>
      </c>
      <c r="BC801" s="1">
        <v>68</v>
      </c>
      <c r="BD801" s="1">
        <v>46</v>
      </c>
    </row>
    <row r="802" spans="1:59" x14ac:dyDescent="0.25">
      <c r="A802" t="s">
        <v>4247</v>
      </c>
      <c r="B802" t="s">
        <v>4248</v>
      </c>
      <c r="C802" s="1">
        <v>1562</v>
      </c>
      <c r="D802" s="1">
        <v>1999</v>
      </c>
      <c r="E802" t="s">
        <v>64</v>
      </c>
      <c r="F802" t="s">
        <v>551</v>
      </c>
      <c r="G802" t="s">
        <v>2383</v>
      </c>
      <c r="H802" t="s">
        <v>4249</v>
      </c>
      <c r="I802" t="s">
        <v>4250</v>
      </c>
      <c r="J802" t="s">
        <v>2383</v>
      </c>
      <c r="K802" s="1">
        <v>4</v>
      </c>
      <c r="L802" t="s">
        <v>91</v>
      </c>
      <c r="M802" t="s">
        <v>70</v>
      </c>
      <c r="N802" t="s">
        <v>71</v>
      </c>
      <c r="P802" t="s">
        <v>72</v>
      </c>
      <c r="Q802" t="s">
        <v>3413</v>
      </c>
      <c r="R802" t="s">
        <v>74</v>
      </c>
      <c r="S802" t="s">
        <v>3416</v>
      </c>
      <c r="T802" s="2">
        <v>1046</v>
      </c>
      <c r="U802" s="3">
        <v>1.85</v>
      </c>
      <c r="V802" s="4">
        <v>1935</v>
      </c>
      <c r="AF802" s="5">
        <v>7.8745000000000003</v>
      </c>
      <c r="AI802" s="1">
        <v>4</v>
      </c>
      <c r="AJ802" t="s">
        <v>81</v>
      </c>
      <c r="AK802" t="s">
        <v>82</v>
      </c>
      <c r="AL802" t="s">
        <v>83</v>
      </c>
      <c r="AM802" s="3">
        <v>1.77</v>
      </c>
      <c r="AN802" s="4">
        <v>2352</v>
      </c>
      <c r="AO802" s="1">
        <v>1332</v>
      </c>
      <c r="AP802" s="3">
        <v>1.83</v>
      </c>
      <c r="AQ802" s="4">
        <v>3167</v>
      </c>
      <c r="AR802" s="1">
        <v>1730</v>
      </c>
      <c r="AS802" s="3">
        <v>1637016.45</v>
      </c>
      <c r="AT802" s="3">
        <v>2.29</v>
      </c>
      <c r="AU802" s="4">
        <v>1587</v>
      </c>
      <c r="AV802" s="6">
        <v>692</v>
      </c>
      <c r="AW802" t="s">
        <v>84</v>
      </c>
      <c r="AY802" s="3">
        <v>1.94</v>
      </c>
      <c r="AZ802" s="4">
        <v>1591</v>
      </c>
      <c r="BA802" s="1">
        <v>821</v>
      </c>
      <c r="BB802" s="1">
        <v>932</v>
      </c>
      <c r="BC802" s="1">
        <v>540</v>
      </c>
      <c r="BD802" s="1">
        <v>84</v>
      </c>
    </row>
    <row r="803" spans="1:59" x14ac:dyDescent="0.25">
      <c r="A803" t="s">
        <v>4251</v>
      </c>
      <c r="B803" t="s">
        <v>4252</v>
      </c>
      <c r="C803" s="1">
        <v>314</v>
      </c>
      <c r="D803" s="1">
        <v>1996</v>
      </c>
      <c r="E803" t="s">
        <v>64</v>
      </c>
      <c r="F803" t="s">
        <v>4253</v>
      </c>
      <c r="G803" t="s">
        <v>397</v>
      </c>
      <c r="H803" t="s">
        <v>4254</v>
      </c>
      <c r="I803" t="s">
        <v>4255</v>
      </c>
      <c r="J803" t="s">
        <v>397</v>
      </c>
      <c r="K803" s="1">
        <v>4</v>
      </c>
      <c r="L803" t="s">
        <v>729</v>
      </c>
      <c r="M803" t="s">
        <v>70</v>
      </c>
      <c r="N803" t="s">
        <v>71</v>
      </c>
      <c r="O803" t="s">
        <v>118</v>
      </c>
      <c r="P803" t="s">
        <v>72</v>
      </c>
      <c r="Q803" t="s">
        <v>73</v>
      </c>
      <c r="R803" t="s">
        <v>74</v>
      </c>
      <c r="S803" t="s">
        <v>4256</v>
      </c>
      <c r="T803" s="2">
        <v>695</v>
      </c>
      <c r="U803" s="3">
        <v>2.04</v>
      </c>
      <c r="V803" s="4">
        <v>1421</v>
      </c>
      <c r="AF803" s="5">
        <v>9.8726000000000003</v>
      </c>
      <c r="AI803" s="1">
        <v>4</v>
      </c>
      <c r="AJ803" t="s">
        <v>81</v>
      </c>
      <c r="AK803" t="s">
        <v>82</v>
      </c>
      <c r="AL803" t="s">
        <v>83</v>
      </c>
      <c r="AM803" s="3">
        <v>1.88</v>
      </c>
      <c r="AN803" s="4">
        <v>1783</v>
      </c>
      <c r="AO803" s="1">
        <v>947</v>
      </c>
      <c r="AS803" s="3">
        <v>1162215.6000000001</v>
      </c>
      <c r="AT803" s="3">
        <v>2.57</v>
      </c>
      <c r="AU803" s="4">
        <v>1119</v>
      </c>
      <c r="AV803" s="6">
        <v>436</v>
      </c>
      <c r="AW803" t="s">
        <v>84</v>
      </c>
      <c r="AY803" s="3">
        <v>2.06</v>
      </c>
      <c r="AZ803" s="4">
        <v>1372</v>
      </c>
      <c r="BA803" s="1">
        <v>665</v>
      </c>
      <c r="BB803" s="1">
        <v>262</v>
      </c>
      <c r="BC803" s="1">
        <v>42</v>
      </c>
      <c r="BF803" t="s">
        <v>261</v>
      </c>
      <c r="BG803" t="s">
        <v>104</v>
      </c>
    </row>
    <row r="804" spans="1:59" x14ac:dyDescent="0.25">
      <c r="A804" t="s">
        <v>4257</v>
      </c>
      <c r="B804" t="s">
        <v>4258</v>
      </c>
      <c r="C804" s="1">
        <v>108</v>
      </c>
      <c r="D804" s="1">
        <v>1995</v>
      </c>
      <c r="E804" t="s">
        <v>64</v>
      </c>
      <c r="F804" t="s">
        <v>87</v>
      </c>
      <c r="G804" t="s">
        <v>4259</v>
      </c>
      <c r="H804" t="s">
        <v>4260</v>
      </c>
      <c r="I804" t="s">
        <v>4261</v>
      </c>
      <c r="J804" t="s">
        <v>4259</v>
      </c>
      <c r="K804" s="1">
        <v>3</v>
      </c>
      <c r="L804" t="s">
        <v>91</v>
      </c>
      <c r="M804" t="s">
        <v>70</v>
      </c>
      <c r="N804" t="s">
        <v>71</v>
      </c>
      <c r="P804" t="s">
        <v>72</v>
      </c>
      <c r="Q804" t="s">
        <v>73</v>
      </c>
      <c r="R804" t="s">
        <v>74</v>
      </c>
      <c r="S804" t="s">
        <v>4262</v>
      </c>
      <c r="AI804" s="1">
        <v>3</v>
      </c>
      <c r="AJ804" t="s">
        <v>81</v>
      </c>
      <c r="AK804" t="s">
        <v>82</v>
      </c>
      <c r="AL804" t="s">
        <v>83</v>
      </c>
      <c r="AS804" s="3">
        <v>144016.21</v>
      </c>
      <c r="AW804" t="s">
        <v>84</v>
      </c>
    </row>
    <row r="805" spans="1:59" x14ac:dyDescent="0.25">
      <c r="A805" t="s">
        <v>4263</v>
      </c>
      <c r="B805" t="s">
        <v>4264</v>
      </c>
      <c r="C805" s="1">
        <v>120</v>
      </c>
      <c r="D805" s="1">
        <v>1999</v>
      </c>
      <c r="E805" t="s">
        <v>64</v>
      </c>
      <c r="F805" t="s">
        <v>439</v>
      </c>
      <c r="G805" t="s">
        <v>929</v>
      </c>
      <c r="H805" t="s">
        <v>4265</v>
      </c>
      <c r="I805" t="s">
        <v>4266</v>
      </c>
      <c r="J805" t="s">
        <v>929</v>
      </c>
      <c r="K805" s="1">
        <v>4</v>
      </c>
      <c r="L805" t="s">
        <v>729</v>
      </c>
      <c r="M805" t="s">
        <v>70</v>
      </c>
      <c r="N805" t="s">
        <v>71</v>
      </c>
      <c r="P805" t="s">
        <v>72</v>
      </c>
      <c r="Q805" t="s">
        <v>442</v>
      </c>
      <c r="R805" t="s">
        <v>74</v>
      </c>
      <c r="S805" t="s">
        <v>443</v>
      </c>
      <c r="T805" s="2">
        <v>866</v>
      </c>
      <c r="U805" s="3">
        <v>1.46</v>
      </c>
      <c r="V805" s="4">
        <v>1262</v>
      </c>
      <c r="AF805" s="5">
        <v>3.3332999999999999</v>
      </c>
      <c r="AI805" s="1">
        <v>2</v>
      </c>
      <c r="AJ805" t="s">
        <v>81</v>
      </c>
      <c r="AK805" t="s">
        <v>82</v>
      </c>
      <c r="AL805" t="s">
        <v>83</v>
      </c>
      <c r="AM805" s="3">
        <v>1.37</v>
      </c>
      <c r="AN805" s="4">
        <v>1266</v>
      </c>
      <c r="AO805" s="1">
        <v>925</v>
      </c>
      <c r="AP805" s="3">
        <v>1.34</v>
      </c>
      <c r="AQ805" s="4">
        <v>1525</v>
      </c>
      <c r="AR805" s="1">
        <v>1140</v>
      </c>
      <c r="AS805" s="3">
        <v>98714.8</v>
      </c>
      <c r="AW805" t="s">
        <v>84</v>
      </c>
      <c r="AY805" s="3">
        <v>1.64</v>
      </c>
      <c r="AZ805" s="4">
        <v>1214</v>
      </c>
      <c r="BA805" s="1">
        <v>742</v>
      </c>
      <c r="BB805" s="1">
        <v>48</v>
      </c>
      <c r="BC805" s="1">
        <v>64</v>
      </c>
      <c r="BD805" s="1">
        <v>8</v>
      </c>
      <c r="BG805" t="s">
        <v>365</v>
      </c>
    </row>
    <row r="806" spans="1:59" x14ac:dyDescent="0.25">
      <c r="A806" t="s">
        <v>4267</v>
      </c>
      <c r="B806" t="s">
        <v>4268</v>
      </c>
      <c r="C806" s="1">
        <v>240</v>
      </c>
      <c r="D806" s="1">
        <v>2000</v>
      </c>
      <c r="E806" t="s">
        <v>64</v>
      </c>
      <c r="F806" t="s">
        <v>110</v>
      </c>
      <c r="G806" t="s">
        <v>3902</v>
      </c>
      <c r="H806" t="s">
        <v>4269</v>
      </c>
      <c r="J806" t="s">
        <v>3902</v>
      </c>
      <c r="K806" s="1">
        <v>4</v>
      </c>
      <c r="L806" t="s">
        <v>91</v>
      </c>
      <c r="M806" t="s">
        <v>70</v>
      </c>
      <c r="N806" t="s">
        <v>71</v>
      </c>
      <c r="O806" t="s">
        <v>118</v>
      </c>
      <c r="P806" t="s">
        <v>72</v>
      </c>
      <c r="Q806" t="s">
        <v>110</v>
      </c>
      <c r="R806" t="s">
        <v>74</v>
      </c>
      <c r="S806" t="s">
        <v>4270</v>
      </c>
      <c r="T806" s="2">
        <v>950</v>
      </c>
      <c r="U806" s="3">
        <v>1.36</v>
      </c>
      <c r="V806" s="4">
        <v>1287</v>
      </c>
      <c r="AF806" s="5">
        <v>19.583300000000001</v>
      </c>
      <c r="AI806" s="1">
        <v>3</v>
      </c>
      <c r="AJ806" t="s">
        <v>81</v>
      </c>
      <c r="AK806" t="s">
        <v>82</v>
      </c>
      <c r="AL806" t="s">
        <v>83</v>
      </c>
      <c r="AM806" s="3">
        <v>1.37</v>
      </c>
      <c r="AN806" s="4">
        <v>1335</v>
      </c>
      <c r="AO806" s="1">
        <v>975</v>
      </c>
      <c r="AP806" s="3">
        <v>1.17</v>
      </c>
      <c r="AQ806" s="4">
        <v>1531</v>
      </c>
      <c r="AR806" s="1">
        <v>1308</v>
      </c>
      <c r="AS806" s="3">
        <v>391494.7</v>
      </c>
      <c r="AW806" t="s">
        <v>84</v>
      </c>
      <c r="AY806" s="3">
        <v>1.47</v>
      </c>
      <c r="AZ806" s="4">
        <v>1116</v>
      </c>
      <c r="BA806" s="1">
        <v>761</v>
      </c>
      <c r="BB806" s="1">
        <v>84</v>
      </c>
      <c r="BC806" s="1">
        <v>120</v>
      </c>
      <c r="BD806" s="1">
        <v>36</v>
      </c>
      <c r="BG806" t="s">
        <v>94</v>
      </c>
    </row>
    <row r="807" spans="1:59" x14ac:dyDescent="0.25">
      <c r="A807" t="s">
        <v>4271</v>
      </c>
      <c r="B807" t="s">
        <v>4272</v>
      </c>
      <c r="C807" s="1">
        <v>117</v>
      </c>
      <c r="D807" s="1">
        <v>1999</v>
      </c>
      <c r="E807" t="s">
        <v>64</v>
      </c>
      <c r="F807" t="s">
        <v>87</v>
      </c>
      <c r="G807" t="s">
        <v>4273</v>
      </c>
      <c r="I807" t="s">
        <v>4273</v>
      </c>
      <c r="K807" s="1">
        <v>3</v>
      </c>
      <c r="L807" t="s">
        <v>91</v>
      </c>
      <c r="M807" t="s">
        <v>70</v>
      </c>
      <c r="N807" t="s">
        <v>71</v>
      </c>
      <c r="P807" t="s">
        <v>72</v>
      </c>
      <c r="Q807" t="s">
        <v>73</v>
      </c>
      <c r="R807" t="s">
        <v>74</v>
      </c>
      <c r="S807" t="s">
        <v>92</v>
      </c>
      <c r="T807" s="2">
        <v>1173</v>
      </c>
      <c r="AI807" s="1">
        <v>3</v>
      </c>
      <c r="AJ807" t="s">
        <v>81</v>
      </c>
      <c r="AK807" t="s">
        <v>82</v>
      </c>
      <c r="AL807" t="s">
        <v>83</v>
      </c>
      <c r="AO807" s="1">
        <v>1295</v>
      </c>
      <c r="AR807" s="1">
        <v>1711</v>
      </c>
      <c r="AS807" s="3">
        <v>6189.89</v>
      </c>
      <c r="AW807" t="s">
        <v>84</v>
      </c>
      <c r="BA807" s="1">
        <v>514</v>
      </c>
      <c r="BB807" s="1">
        <v>39</v>
      </c>
      <c r="BC807" s="1">
        <v>39</v>
      </c>
      <c r="BD807" s="1">
        <v>39</v>
      </c>
      <c r="BF807" t="s">
        <v>4274</v>
      </c>
      <c r="BG807" t="s">
        <v>744</v>
      </c>
    </row>
    <row r="808" spans="1:59" x14ac:dyDescent="0.25">
      <c r="A808" t="s">
        <v>4275</v>
      </c>
      <c r="B808" t="s">
        <v>4276</v>
      </c>
      <c r="C808" s="1">
        <v>224</v>
      </c>
      <c r="D808" s="1">
        <v>1998</v>
      </c>
      <c r="E808" t="s">
        <v>64</v>
      </c>
      <c r="F808" t="s">
        <v>2027</v>
      </c>
      <c r="G808" t="s">
        <v>552</v>
      </c>
      <c r="H808" t="s">
        <v>4277</v>
      </c>
      <c r="I808" t="s">
        <v>4278</v>
      </c>
      <c r="J808" t="s">
        <v>552</v>
      </c>
      <c r="K808" s="1">
        <v>4</v>
      </c>
      <c r="L808" t="s">
        <v>729</v>
      </c>
      <c r="M808" t="s">
        <v>70</v>
      </c>
      <c r="N808" t="s">
        <v>71</v>
      </c>
      <c r="P808" t="s">
        <v>72</v>
      </c>
      <c r="Q808" t="s">
        <v>4279</v>
      </c>
      <c r="R808" t="s">
        <v>74</v>
      </c>
      <c r="S808" t="s">
        <v>4280</v>
      </c>
      <c r="T808" s="2">
        <v>957</v>
      </c>
      <c r="U808" s="3">
        <v>1.51</v>
      </c>
      <c r="V808" s="4">
        <v>1444</v>
      </c>
      <c r="AF808" s="5">
        <v>13.8393</v>
      </c>
      <c r="AI808" s="1">
        <v>2</v>
      </c>
      <c r="AJ808" t="s">
        <v>81</v>
      </c>
      <c r="AK808" t="s">
        <v>82</v>
      </c>
      <c r="AL808" t="s">
        <v>83</v>
      </c>
      <c r="AM808" s="3">
        <v>1.37</v>
      </c>
      <c r="AN808" s="4">
        <v>1510</v>
      </c>
      <c r="AO808" s="1">
        <v>1100</v>
      </c>
      <c r="AP808" s="3">
        <v>1.48</v>
      </c>
      <c r="AQ808" s="4">
        <v>1852</v>
      </c>
      <c r="AR808" s="1">
        <v>1250</v>
      </c>
      <c r="AS808" s="3">
        <v>479286.46</v>
      </c>
      <c r="AW808" t="s">
        <v>84</v>
      </c>
      <c r="AY808" s="3">
        <v>1.73</v>
      </c>
      <c r="AZ808" s="4">
        <v>1242</v>
      </c>
      <c r="BA808" s="1">
        <v>717</v>
      </c>
      <c r="BB808" s="1">
        <v>96</v>
      </c>
      <c r="BC808" s="1">
        <v>96</v>
      </c>
      <c r="BD808" s="1">
        <v>32</v>
      </c>
    </row>
    <row r="809" spans="1:59" x14ac:dyDescent="0.25">
      <c r="A809" t="s">
        <v>4281</v>
      </c>
      <c r="B809" t="s">
        <v>4282</v>
      </c>
      <c r="C809" s="1">
        <v>84</v>
      </c>
      <c r="D809" s="1">
        <v>1996</v>
      </c>
      <c r="E809" t="s">
        <v>64</v>
      </c>
      <c r="F809" t="s">
        <v>114</v>
      </c>
      <c r="G809" t="s">
        <v>4283</v>
      </c>
      <c r="H809" t="s">
        <v>4284</v>
      </c>
      <c r="I809" t="s">
        <v>4285</v>
      </c>
      <c r="J809" t="s">
        <v>4283</v>
      </c>
      <c r="K809" s="1">
        <v>3</v>
      </c>
      <c r="L809" t="s">
        <v>69</v>
      </c>
      <c r="M809" t="s">
        <v>70</v>
      </c>
      <c r="N809" t="s">
        <v>71</v>
      </c>
      <c r="P809" t="s">
        <v>72</v>
      </c>
      <c r="Q809" t="s">
        <v>917</v>
      </c>
      <c r="R809" t="s">
        <v>74</v>
      </c>
      <c r="S809" t="s">
        <v>4286</v>
      </c>
      <c r="T809" s="2">
        <v>644</v>
      </c>
      <c r="U809" s="3">
        <v>1.98</v>
      </c>
      <c r="V809" s="4">
        <v>1273</v>
      </c>
      <c r="AF809" s="5">
        <v>15.4762</v>
      </c>
      <c r="AI809" s="1">
        <v>2</v>
      </c>
      <c r="AJ809" t="s">
        <v>81</v>
      </c>
      <c r="AK809" t="s">
        <v>82</v>
      </c>
      <c r="AL809" t="s">
        <v>83</v>
      </c>
      <c r="AM809" s="3">
        <v>1.8</v>
      </c>
      <c r="AN809" s="4">
        <v>1487</v>
      </c>
      <c r="AO809" s="1">
        <v>825</v>
      </c>
      <c r="AS809" s="3">
        <v>163642.59</v>
      </c>
      <c r="AW809" t="s">
        <v>84</v>
      </c>
      <c r="AY809" s="3">
        <v>2.1</v>
      </c>
      <c r="AZ809" s="4">
        <v>1167</v>
      </c>
      <c r="BA809" s="1">
        <v>555</v>
      </c>
      <c r="BB809" s="1">
        <v>56</v>
      </c>
      <c r="BC809" s="1">
        <v>28</v>
      </c>
      <c r="BG809" t="s">
        <v>131</v>
      </c>
    </row>
    <row r="810" spans="1:59" x14ac:dyDescent="0.25">
      <c r="A810" t="s">
        <v>4287</v>
      </c>
      <c r="B810" t="s">
        <v>4288</v>
      </c>
      <c r="C810" s="1">
        <v>100</v>
      </c>
      <c r="D810" s="1">
        <v>2000</v>
      </c>
      <c r="E810" t="s">
        <v>64</v>
      </c>
      <c r="F810" t="s">
        <v>114</v>
      </c>
      <c r="G810" t="s">
        <v>4289</v>
      </c>
      <c r="I810" t="s">
        <v>4290</v>
      </c>
      <c r="J810" t="s">
        <v>4289</v>
      </c>
      <c r="K810" s="1">
        <v>2</v>
      </c>
      <c r="L810" t="s">
        <v>91</v>
      </c>
      <c r="M810" t="s">
        <v>70</v>
      </c>
      <c r="N810" t="s">
        <v>127</v>
      </c>
      <c r="P810" t="s">
        <v>72</v>
      </c>
      <c r="Q810" t="s">
        <v>917</v>
      </c>
      <c r="R810" t="s">
        <v>74</v>
      </c>
      <c r="S810" t="s">
        <v>4291</v>
      </c>
      <c r="AF810" s="5">
        <v>4</v>
      </c>
      <c r="AI810" s="1">
        <v>1</v>
      </c>
      <c r="AJ810" t="s">
        <v>81</v>
      </c>
      <c r="AK810" t="s">
        <v>82</v>
      </c>
      <c r="AL810" t="s">
        <v>83</v>
      </c>
      <c r="AS810" s="3">
        <v>648.91</v>
      </c>
      <c r="AW810" t="s">
        <v>84</v>
      </c>
    </row>
    <row r="811" spans="1:59" x14ac:dyDescent="0.25">
      <c r="A811" t="s">
        <v>4292</v>
      </c>
      <c r="B811" t="s">
        <v>4293</v>
      </c>
      <c r="C811" s="1">
        <v>60</v>
      </c>
      <c r="D811" s="1">
        <v>1999</v>
      </c>
      <c r="E811" t="s">
        <v>64</v>
      </c>
      <c r="F811" t="s">
        <v>477</v>
      </c>
      <c r="G811" t="s">
        <v>4294</v>
      </c>
      <c r="I811" t="s">
        <v>4295</v>
      </c>
      <c r="J811" t="s">
        <v>4294</v>
      </c>
      <c r="K811" s="1">
        <v>3</v>
      </c>
      <c r="L811" t="s">
        <v>91</v>
      </c>
      <c r="M811" t="s">
        <v>70</v>
      </c>
      <c r="N811" t="s">
        <v>71</v>
      </c>
      <c r="P811" t="s">
        <v>72</v>
      </c>
      <c r="Q811" t="s">
        <v>110</v>
      </c>
      <c r="R811" t="s">
        <v>74</v>
      </c>
      <c r="S811" t="s">
        <v>4296</v>
      </c>
      <c r="AF811" s="5">
        <v>11.666700000000001</v>
      </c>
      <c r="AG811" s="1">
        <v>1</v>
      </c>
      <c r="AI811" s="1">
        <v>2</v>
      </c>
      <c r="AJ811" t="s">
        <v>81</v>
      </c>
      <c r="AK811" t="s">
        <v>82</v>
      </c>
      <c r="AL811" t="s">
        <v>83</v>
      </c>
      <c r="AW811" t="s">
        <v>84</v>
      </c>
    </row>
    <row r="812" spans="1:59" x14ac:dyDescent="0.25">
      <c r="A812" t="s">
        <v>4297</v>
      </c>
      <c r="B812" t="s">
        <v>2894</v>
      </c>
      <c r="C812" s="1">
        <v>100</v>
      </c>
      <c r="D812" s="1">
        <v>1998</v>
      </c>
      <c r="E812" t="s">
        <v>64</v>
      </c>
      <c r="F812" t="s">
        <v>301</v>
      </c>
      <c r="G812" t="s">
        <v>4298</v>
      </c>
      <c r="H812" t="s">
        <v>4299</v>
      </c>
      <c r="I812" t="s">
        <v>4300</v>
      </c>
      <c r="J812" t="s">
        <v>4298</v>
      </c>
      <c r="K812" s="1">
        <v>3</v>
      </c>
      <c r="L812" t="s">
        <v>91</v>
      </c>
      <c r="M812" t="s">
        <v>70</v>
      </c>
      <c r="N812" t="s">
        <v>71</v>
      </c>
      <c r="P812" t="s">
        <v>72</v>
      </c>
      <c r="Q812" t="s">
        <v>152</v>
      </c>
      <c r="R812" t="s">
        <v>74</v>
      </c>
      <c r="S812" t="s">
        <v>2072</v>
      </c>
      <c r="V812" s="4">
        <v>1161</v>
      </c>
      <c r="AF812" s="5">
        <v>2</v>
      </c>
      <c r="AI812" s="1">
        <v>2</v>
      </c>
      <c r="AJ812" t="s">
        <v>81</v>
      </c>
      <c r="AK812" t="s">
        <v>82</v>
      </c>
      <c r="AL812" t="s">
        <v>83</v>
      </c>
      <c r="AN812" s="4">
        <v>1161</v>
      </c>
      <c r="AS812" s="3">
        <v>207558.9</v>
      </c>
      <c r="AW812" t="s">
        <v>84</v>
      </c>
      <c r="BC812" s="1">
        <v>100</v>
      </c>
      <c r="BG812" t="s">
        <v>131</v>
      </c>
    </row>
    <row r="813" spans="1:59" x14ac:dyDescent="0.25">
      <c r="A813" t="s">
        <v>4301</v>
      </c>
      <c r="B813" t="s">
        <v>4302</v>
      </c>
      <c r="C813" s="1">
        <v>70</v>
      </c>
      <c r="D813" s="1">
        <v>1994</v>
      </c>
      <c r="E813" t="s">
        <v>64</v>
      </c>
      <c r="F813" t="s">
        <v>301</v>
      </c>
      <c r="H813" t="s">
        <v>4302</v>
      </c>
      <c r="K813" s="1">
        <v>2</v>
      </c>
      <c r="L813" t="s">
        <v>69</v>
      </c>
      <c r="M813" t="s">
        <v>70</v>
      </c>
      <c r="N813" t="s">
        <v>71</v>
      </c>
      <c r="P813" t="s">
        <v>72</v>
      </c>
      <c r="Q813" t="s">
        <v>152</v>
      </c>
      <c r="R813" t="s">
        <v>74</v>
      </c>
      <c r="S813" t="s">
        <v>4303</v>
      </c>
      <c r="AI813" s="1">
        <v>2</v>
      </c>
      <c r="AJ813" t="s">
        <v>81</v>
      </c>
      <c r="AK813" t="s">
        <v>82</v>
      </c>
      <c r="AL813" t="s">
        <v>83</v>
      </c>
      <c r="AS813" s="3">
        <v>202341.31</v>
      </c>
      <c r="AW813" t="s">
        <v>84</v>
      </c>
      <c r="BF813" t="s">
        <v>4304</v>
      </c>
      <c r="BG813" t="s">
        <v>131</v>
      </c>
    </row>
    <row r="814" spans="1:59" x14ac:dyDescent="0.25">
      <c r="A814" t="s">
        <v>4305</v>
      </c>
      <c r="B814" t="s">
        <v>4306</v>
      </c>
      <c r="C814" s="1">
        <v>109</v>
      </c>
      <c r="D814" s="1">
        <v>1998</v>
      </c>
      <c r="E814" t="s">
        <v>64</v>
      </c>
      <c r="F814" t="s">
        <v>156</v>
      </c>
      <c r="G814" t="s">
        <v>4307</v>
      </c>
      <c r="I814" t="s">
        <v>4308</v>
      </c>
      <c r="J814" t="s">
        <v>4307</v>
      </c>
      <c r="K814" s="1">
        <v>2</v>
      </c>
      <c r="L814" t="s">
        <v>69</v>
      </c>
      <c r="M814" t="s">
        <v>70</v>
      </c>
      <c r="N814" t="s">
        <v>127</v>
      </c>
      <c r="P814" t="s">
        <v>72</v>
      </c>
      <c r="Q814" t="s">
        <v>73</v>
      </c>
      <c r="R814" t="s">
        <v>74</v>
      </c>
      <c r="S814" t="s">
        <v>4309</v>
      </c>
      <c r="AF814" s="5">
        <v>11.0092</v>
      </c>
      <c r="AJ814" t="s">
        <v>81</v>
      </c>
      <c r="AK814" t="s">
        <v>82</v>
      </c>
      <c r="AL814" t="s">
        <v>83</v>
      </c>
      <c r="AS814" s="3">
        <v>287402.13</v>
      </c>
      <c r="AW814" t="s">
        <v>84</v>
      </c>
      <c r="BB814" s="1">
        <v>109</v>
      </c>
    </row>
    <row r="815" spans="1:59" x14ac:dyDescent="0.25">
      <c r="A815" t="s">
        <v>4310</v>
      </c>
      <c r="B815" t="s">
        <v>4311</v>
      </c>
      <c r="C815" s="1">
        <v>113</v>
      </c>
      <c r="D815" s="1">
        <v>1992</v>
      </c>
      <c r="E815" t="s">
        <v>64</v>
      </c>
      <c r="F815" t="s">
        <v>215</v>
      </c>
      <c r="G815" t="s">
        <v>4312</v>
      </c>
      <c r="I815" t="s">
        <v>4313</v>
      </c>
      <c r="J815" t="s">
        <v>4312</v>
      </c>
      <c r="K815" s="1">
        <v>3</v>
      </c>
      <c r="L815" t="s">
        <v>69</v>
      </c>
      <c r="M815" t="s">
        <v>70</v>
      </c>
      <c r="N815" t="s">
        <v>127</v>
      </c>
      <c r="P815" t="s">
        <v>72</v>
      </c>
      <c r="Q815" t="s">
        <v>215</v>
      </c>
      <c r="R815" t="s">
        <v>74</v>
      </c>
      <c r="S815" t="s">
        <v>4314</v>
      </c>
      <c r="AF815" s="5">
        <v>14.1593</v>
      </c>
      <c r="AI815" s="1">
        <v>1</v>
      </c>
      <c r="AJ815" t="s">
        <v>81</v>
      </c>
      <c r="AK815" t="s">
        <v>82</v>
      </c>
      <c r="AL815" t="s">
        <v>83</v>
      </c>
      <c r="AS815" s="3">
        <v>90413.68</v>
      </c>
      <c r="AW815" t="s">
        <v>84</v>
      </c>
      <c r="BB815" s="1">
        <v>100</v>
      </c>
      <c r="BC815" s="1">
        <v>13</v>
      </c>
      <c r="BF815" t="s">
        <v>1708</v>
      </c>
      <c r="BG815" t="s">
        <v>104</v>
      </c>
    </row>
    <row r="816" spans="1:59" x14ac:dyDescent="0.25">
      <c r="A816" t="s">
        <v>4315</v>
      </c>
      <c r="B816" t="s">
        <v>4316</v>
      </c>
      <c r="C816" s="1">
        <v>200</v>
      </c>
      <c r="D816" s="1">
        <v>1998</v>
      </c>
      <c r="E816" t="s">
        <v>64</v>
      </c>
      <c r="F816" t="s">
        <v>228</v>
      </c>
      <c r="G816" t="s">
        <v>4316</v>
      </c>
      <c r="H816" t="s">
        <v>4316</v>
      </c>
      <c r="I816" t="s">
        <v>4317</v>
      </c>
      <c r="J816" t="s">
        <v>4316</v>
      </c>
      <c r="K816" s="1">
        <v>3</v>
      </c>
      <c r="L816" t="s">
        <v>69</v>
      </c>
      <c r="M816" t="s">
        <v>70</v>
      </c>
      <c r="N816" t="s">
        <v>127</v>
      </c>
      <c r="P816" t="s">
        <v>72</v>
      </c>
      <c r="Q816" t="s">
        <v>393</v>
      </c>
      <c r="R816" t="s">
        <v>74</v>
      </c>
      <c r="S816" t="s">
        <v>2646</v>
      </c>
      <c r="AF816" s="5">
        <v>7.5</v>
      </c>
      <c r="AI816" s="1">
        <v>1</v>
      </c>
      <c r="AJ816" t="s">
        <v>81</v>
      </c>
      <c r="AK816" t="s">
        <v>82</v>
      </c>
      <c r="AL816" t="s">
        <v>83</v>
      </c>
      <c r="AS816" s="3">
        <v>28445.95</v>
      </c>
      <c r="AW816" t="s">
        <v>84</v>
      </c>
      <c r="BC816" s="1">
        <v>200</v>
      </c>
      <c r="BF816" t="s">
        <v>2283</v>
      </c>
      <c r="BG816" t="s">
        <v>104</v>
      </c>
    </row>
    <row r="817" spans="1:59" x14ac:dyDescent="0.25">
      <c r="A817" t="s">
        <v>4318</v>
      </c>
      <c r="B817" t="s">
        <v>4319</v>
      </c>
      <c r="C817" s="1">
        <v>80</v>
      </c>
      <c r="D817" s="1">
        <v>1996</v>
      </c>
      <c r="E817" t="s">
        <v>64</v>
      </c>
      <c r="F817" t="s">
        <v>215</v>
      </c>
      <c r="G817" t="s">
        <v>4320</v>
      </c>
      <c r="I817" t="s">
        <v>4320</v>
      </c>
      <c r="K817" s="1">
        <v>2</v>
      </c>
      <c r="L817" t="s">
        <v>69</v>
      </c>
      <c r="M817" t="s">
        <v>70</v>
      </c>
      <c r="N817" t="s">
        <v>127</v>
      </c>
      <c r="P817" t="s">
        <v>72</v>
      </c>
      <c r="Q817" t="s">
        <v>4321</v>
      </c>
      <c r="R817" t="s">
        <v>74</v>
      </c>
      <c r="S817" t="s">
        <v>4322</v>
      </c>
      <c r="AF817" s="5">
        <v>13.75</v>
      </c>
      <c r="AI817" s="1">
        <v>1</v>
      </c>
      <c r="AJ817" t="s">
        <v>81</v>
      </c>
      <c r="AK817" t="s">
        <v>82</v>
      </c>
      <c r="AL817" t="s">
        <v>83</v>
      </c>
      <c r="AS817" s="3">
        <v>2167.9</v>
      </c>
      <c r="AW817" t="s">
        <v>84</v>
      </c>
    </row>
    <row r="818" spans="1:59" x14ac:dyDescent="0.25">
      <c r="A818" t="s">
        <v>4323</v>
      </c>
      <c r="B818" t="s">
        <v>4324</v>
      </c>
      <c r="C818" s="1">
        <v>78</v>
      </c>
      <c r="D818" s="1">
        <v>1998</v>
      </c>
      <c r="E818" t="s">
        <v>64</v>
      </c>
      <c r="F818" t="s">
        <v>168</v>
      </c>
      <c r="G818" t="s">
        <v>4325</v>
      </c>
      <c r="I818" t="s">
        <v>4325</v>
      </c>
      <c r="J818" t="s">
        <v>4325</v>
      </c>
      <c r="K818" s="1">
        <v>3</v>
      </c>
      <c r="L818" t="s">
        <v>91</v>
      </c>
      <c r="M818" t="s">
        <v>70</v>
      </c>
      <c r="N818" t="s">
        <v>127</v>
      </c>
      <c r="P818" t="s">
        <v>72</v>
      </c>
      <c r="Q818" t="s">
        <v>172</v>
      </c>
      <c r="R818" t="s">
        <v>74</v>
      </c>
      <c r="S818" t="s">
        <v>4326</v>
      </c>
      <c r="AF818" s="5">
        <v>11.538500000000001</v>
      </c>
      <c r="AI818" s="1">
        <v>1</v>
      </c>
      <c r="AJ818" t="s">
        <v>81</v>
      </c>
      <c r="AK818" t="s">
        <v>82</v>
      </c>
      <c r="AL818" t="s">
        <v>83</v>
      </c>
      <c r="AW818" t="s">
        <v>84</v>
      </c>
    </row>
    <row r="819" spans="1:59" x14ac:dyDescent="0.25">
      <c r="A819" t="s">
        <v>4327</v>
      </c>
      <c r="C819" s="1">
        <v>58</v>
      </c>
      <c r="D819" s="1">
        <v>2000</v>
      </c>
      <c r="E819" t="s">
        <v>64</v>
      </c>
      <c r="F819" t="s">
        <v>123</v>
      </c>
      <c r="G819" t="s">
        <v>4328</v>
      </c>
      <c r="I819" t="s">
        <v>4328</v>
      </c>
      <c r="K819" s="1">
        <v>3</v>
      </c>
      <c r="L819" t="s">
        <v>91</v>
      </c>
      <c r="M819" t="s">
        <v>70</v>
      </c>
      <c r="N819" t="s">
        <v>127</v>
      </c>
      <c r="P819" t="s">
        <v>72</v>
      </c>
      <c r="Q819" t="s">
        <v>2038</v>
      </c>
      <c r="R819" t="s">
        <v>74</v>
      </c>
      <c r="S819" t="s">
        <v>4329</v>
      </c>
      <c r="AF819" s="5">
        <v>8.6206999999999994</v>
      </c>
      <c r="AI819" s="1">
        <v>1</v>
      </c>
      <c r="AJ819" t="s">
        <v>81</v>
      </c>
      <c r="AK819" t="s">
        <v>82</v>
      </c>
      <c r="AL819" t="s">
        <v>83</v>
      </c>
      <c r="AS819" s="3">
        <v>43669.08</v>
      </c>
      <c r="AW819" t="s">
        <v>84</v>
      </c>
    </row>
    <row r="820" spans="1:59" x14ac:dyDescent="0.25">
      <c r="A820" t="s">
        <v>4330</v>
      </c>
      <c r="C820" s="1">
        <v>53</v>
      </c>
      <c r="D820" s="1">
        <v>1995</v>
      </c>
      <c r="E820" t="s">
        <v>64</v>
      </c>
      <c r="F820" t="s">
        <v>3716</v>
      </c>
      <c r="G820" t="s">
        <v>4331</v>
      </c>
      <c r="I820" t="s">
        <v>4332</v>
      </c>
      <c r="J820" t="s">
        <v>4331</v>
      </c>
      <c r="K820" s="1">
        <v>2</v>
      </c>
      <c r="L820" t="s">
        <v>69</v>
      </c>
      <c r="M820" t="s">
        <v>70</v>
      </c>
      <c r="N820" t="s">
        <v>127</v>
      </c>
      <c r="P820" t="s">
        <v>72</v>
      </c>
      <c r="Q820" t="s">
        <v>73</v>
      </c>
      <c r="R820" t="s">
        <v>74</v>
      </c>
      <c r="S820" t="s">
        <v>4333</v>
      </c>
      <c r="AF820" s="5">
        <v>9.4339999999999993</v>
      </c>
      <c r="AI820" s="1">
        <v>1</v>
      </c>
      <c r="AJ820" t="s">
        <v>81</v>
      </c>
      <c r="AK820" t="s">
        <v>82</v>
      </c>
      <c r="AL820" t="s">
        <v>83</v>
      </c>
      <c r="AS820" s="3">
        <v>63382.15</v>
      </c>
      <c r="AW820" t="s">
        <v>84</v>
      </c>
      <c r="BG820" t="s">
        <v>131</v>
      </c>
    </row>
    <row r="821" spans="1:59" x14ac:dyDescent="0.25">
      <c r="A821" t="s">
        <v>2043</v>
      </c>
      <c r="B821" t="s">
        <v>2044</v>
      </c>
      <c r="C821" s="1">
        <v>205</v>
      </c>
      <c r="D821" s="1">
        <v>1990</v>
      </c>
      <c r="E821" t="s">
        <v>64</v>
      </c>
      <c r="F821" t="s">
        <v>97</v>
      </c>
      <c r="G821" t="s">
        <v>1941</v>
      </c>
      <c r="I821" t="s">
        <v>2045</v>
      </c>
      <c r="J821" t="s">
        <v>1941</v>
      </c>
      <c r="K821" s="1">
        <v>2</v>
      </c>
      <c r="L821" t="s">
        <v>69</v>
      </c>
      <c r="M821" t="s">
        <v>70</v>
      </c>
      <c r="N821" t="s">
        <v>127</v>
      </c>
      <c r="P821" t="s">
        <v>72</v>
      </c>
      <c r="Q821" t="s">
        <v>2046</v>
      </c>
      <c r="R821" t="s">
        <v>74</v>
      </c>
      <c r="S821" t="s">
        <v>2047</v>
      </c>
      <c r="AF821" s="5">
        <v>9.2683</v>
      </c>
      <c r="AJ821" t="s">
        <v>81</v>
      </c>
      <c r="AK821" t="s">
        <v>82</v>
      </c>
      <c r="AL821" t="s">
        <v>83</v>
      </c>
      <c r="AS821" s="3">
        <v>318421.59999999998</v>
      </c>
      <c r="AW821" t="s">
        <v>84</v>
      </c>
      <c r="BC821" s="1">
        <v>205</v>
      </c>
      <c r="BG821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AE98DF3F8014F890D6DADDAA7A5FD" ma:contentTypeVersion="16" ma:contentTypeDescription="Create a new document." ma:contentTypeScope="" ma:versionID="0bccdc254488a9569a9ab44d3931786c">
  <xsd:schema xmlns:xsd="http://www.w3.org/2001/XMLSchema" xmlns:xs="http://www.w3.org/2001/XMLSchema" xmlns:p="http://schemas.microsoft.com/office/2006/metadata/properties" xmlns:ns2="a7df6106-b9c1-4aed-9c4f-da2c8997c8f8" xmlns:ns3="98c50d23-9e42-4782-ab7e-aa66352cbcfc" targetNamespace="http://schemas.microsoft.com/office/2006/metadata/properties" ma:root="true" ma:fieldsID="4a54d63147a8a4333b554ae0ce5692c9" ns2:_="" ns3:_="">
    <xsd:import namespace="a7df6106-b9c1-4aed-9c4f-da2c8997c8f8"/>
    <xsd:import namespace="98c50d23-9e42-4782-ab7e-aa66352cbc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f6106-b9c1-4aed-9c4f-da2c8997c8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d4cb4e-d90f-40cb-816b-25cad9b58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50d23-9e42-4782-ab7e-aa66352cbcf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ea0202e-44b7-438b-9c79-0d33016ea493}" ma:internalName="TaxCatchAll" ma:showField="CatchAllData" ma:web="98c50d23-9e42-4782-ab7e-aa66352cbc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df6106-b9c1-4aed-9c4f-da2c8997c8f8">
      <Terms xmlns="http://schemas.microsoft.com/office/infopath/2007/PartnerControls"/>
    </lcf76f155ced4ddcb4097134ff3c332f>
    <TaxCatchAll xmlns="98c50d23-9e42-4782-ab7e-aa66352cbcfc" xsi:nil="true"/>
  </documentManagement>
</p:properties>
</file>

<file path=customXml/itemProps1.xml><?xml version="1.0" encoding="utf-8"?>
<ds:datastoreItem xmlns:ds="http://schemas.openxmlformats.org/officeDocument/2006/customXml" ds:itemID="{1E1B2BF0-86F3-4A28-A57D-BB25F666DB0C}"/>
</file>

<file path=customXml/itemProps2.xml><?xml version="1.0" encoding="utf-8"?>
<ds:datastoreItem xmlns:ds="http://schemas.openxmlformats.org/officeDocument/2006/customXml" ds:itemID="{8FF74C0F-7F10-438A-BD11-06F3F4CB4997}"/>
</file>

<file path=customXml/itemProps3.xml><?xml version="1.0" encoding="utf-8"?>
<ds:datastoreItem xmlns:ds="http://schemas.openxmlformats.org/officeDocument/2006/customXml" ds:itemID="{C6997D63-FE10-417F-A875-14633506B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Export041626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Turman</dc:creator>
  <cp:lastModifiedBy>Austin Turman</cp:lastModifiedBy>
  <dcterms:created xsi:type="dcterms:W3CDTF">2026-04-16T20:24:01Z</dcterms:created>
  <dcterms:modified xsi:type="dcterms:W3CDTF">2026-04-16T22:09:19Z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0x010100E4AAE98DF3F8014F890D6DADDAA7A5FD</vt:lpwstr>
  </property>
</Properties>
</file>